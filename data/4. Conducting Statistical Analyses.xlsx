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maryk\Desktop\DATA ANALYST\"/>
    </mc:Choice>
  </mc:AlternateContent>
  <xr:revisionPtr revIDLastSave="0" documentId="13_ncr:1_{FC137FE3-AF6C-4DDE-823F-E3F22ADCB43C}" xr6:coauthVersionLast="47" xr6:coauthVersionMax="47" xr10:uidLastSave="{00000000-0000-0000-0000-000000000000}"/>
  <bookViews>
    <workbookView xWindow="-108" yWindow="-108" windowWidth="23256" windowHeight="12456" activeTab="1" xr2:uid="{6AE566E0-DC26-4EB3-BD21-E1487AB12151}"/>
  </bookViews>
  <sheets>
    <sheet name="Integrated Data Set" sheetId="1" r:id="rId1"/>
    <sheet name="Statistical Analysis" sheetId="2" r:id="rId2"/>
    <sheet name="Study Data Set " sheetId="11" r:id="rId3"/>
    <sheet name="Flu Deaths 85+" sheetId="3" r:id="rId4"/>
    <sheet name="Population 85+" sheetId="5" r:id="rId5"/>
    <sheet name="Total Population" sheetId="13" r:id="rId6"/>
    <sheet name="Pivot Deaths 85+" sheetId="9" r:id="rId7"/>
    <sheet name="Pivot Population 85+" sheetId="8" r:id="rId8"/>
    <sheet name="Pivot Total Population" sheetId="7" r:id="rId9"/>
  </sheets>
  <externalReferences>
    <externalReference r:id="rId10"/>
  </externalReferences>
  <calcPr calcId="191029"/>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 l="1"/>
  <c r="D12" i="2" s="1"/>
  <c r="F10" i="2"/>
  <c r="F9" i="2"/>
  <c r="E10" i="2"/>
  <c r="E9" i="2"/>
  <c r="D10" i="2"/>
  <c r="D9" i="2"/>
  <c r="F7" i="13"/>
  <c r="G5" i="13"/>
  <c r="G3" i="5"/>
  <c r="J5" i="3"/>
  <c r="D18" i="2"/>
  <c r="F11" i="2"/>
  <c r="F12" i="2" s="1"/>
  <c r="E11" i="2"/>
  <c r="E12" i="2" s="1"/>
  <c r="F13" i="13"/>
  <c r="F12" i="13"/>
  <c r="F12" i="5"/>
  <c r="F11" i="5"/>
  <c r="I15" i="3"/>
  <c r="I14" i="3"/>
  <c r="F9" i="13"/>
  <c r="F8" i="13"/>
  <c r="A7" i="13"/>
  <c r="F7" i="2" s="1"/>
  <c r="D7" i="3"/>
  <c r="D7" i="2" s="1"/>
  <c r="D6" i="3"/>
  <c r="D6" i="2" s="1"/>
  <c r="A4" i="5"/>
  <c r="E6" i="2" s="1"/>
  <c r="A5" i="5"/>
  <c r="E7" i="2" s="1"/>
  <c r="A6" i="13"/>
  <c r="A8" i="13" s="1"/>
  <c r="A5" i="13"/>
  <c r="F10" i="13" l="1"/>
  <c r="F14" i="13"/>
  <c r="F16" i="13" s="1"/>
  <c r="I16" i="3"/>
  <c r="I17" i="3" s="1"/>
  <c r="F6" i="2"/>
  <c r="F13" i="5"/>
  <c r="F14" i="5" s="1"/>
  <c r="A11" i="13"/>
  <c r="A14" i="13" s="1"/>
  <c r="A17" i="13" s="1"/>
  <c r="A20" i="13" s="1"/>
  <c r="A23" i="13" s="1"/>
  <c r="A26" i="13" s="1"/>
  <c r="F8" i="2"/>
  <c r="A10" i="13"/>
  <c r="A13" i="13" s="1"/>
  <c r="A16" i="13" s="1"/>
  <c r="A19" i="13" s="1"/>
  <c r="A22" i="13" s="1"/>
  <c r="A25" i="13" s="1"/>
  <c r="I18" i="3" l="1"/>
  <c r="F15" i="13"/>
  <c r="F15" i="5"/>
  <c r="I7" i="3"/>
  <c r="I6" i="3"/>
  <c r="F5" i="5"/>
  <c r="F4" i="5"/>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3" i="1"/>
  <c r="G364" i="1"/>
  <c r="G362" i="1"/>
  <c r="G361" i="1"/>
  <c r="G360" i="1"/>
  <c r="G359" i="1"/>
  <c r="G358" i="1"/>
  <c r="G356" i="1"/>
  <c r="G357" i="1"/>
  <c r="G355" i="1"/>
  <c r="G354" i="1"/>
  <c r="G353" i="1"/>
  <c r="G352" i="1"/>
  <c r="G351" i="1"/>
  <c r="G350" i="1"/>
  <c r="G348" i="1"/>
  <c r="G349" i="1"/>
  <c r="G347" i="1"/>
  <c r="G346" i="1"/>
  <c r="G345" i="1"/>
  <c r="G344" i="1"/>
  <c r="G342" i="1"/>
  <c r="G343" i="1"/>
  <c r="G341" i="1"/>
  <c r="G340" i="1"/>
  <c r="G339" i="1"/>
  <c r="G338" i="1"/>
  <c r="G337" i="1"/>
  <c r="G336" i="1"/>
  <c r="G334" i="1"/>
  <c r="G335" i="1"/>
  <c r="G333" i="1"/>
  <c r="G332" i="1"/>
  <c r="G331" i="1"/>
  <c r="G330" i="1"/>
  <c r="G329" i="1"/>
  <c r="G327" i="1"/>
  <c r="G328" i="1"/>
  <c r="G326" i="1"/>
  <c r="G325" i="1"/>
  <c r="G324" i="1"/>
  <c r="G323" i="1"/>
  <c r="G322" i="1"/>
  <c r="G321" i="1"/>
  <c r="G320" i="1"/>
  <c r="G319" i="1"/>
  <c r="G318" i="1"/>
  <c r="G317" i="1"/>
  <c r="G316" i="1"/>
  <c r="G315" i="1"/>
  <c r="G314" i="1"/>
  <c r="G313" i="1"/>
  <c r="G312" i="1"/>
  <c r="G311" i="1"/>
  <c r="G310" i="1"/>
  <c r="G309" i="1"/>
  <c r="G308" i="1"/>
  <c r="G307" i="1"/>
  <c r="G305" i="1"/>
  <c r="G306" i="1"/>
  <c r="G304" i="1"/>
  <c r="G303" i="1"/>
  <c r="G302" i="1"/>
  <c r="G301" i="1"/>
  <c r="G300" i="1"/>
  <c r="G299" i="1"/>
  <c r="G298" i="1"/>
  <c r="G297" i="1"/>
  <c r="G295" i="1"/>
  <c r="G296" i="1"/>
  <c r="G294" i="1"/>
  <c r="G293" i="1"/>
  <c r="G292" i="1"/>
  <c r="G291" i="1"/>
  <c r="G290" i="1"/>
  <c r="G289" i="1"/>
  <c r="G288" i="1"/>
  <c r="G287" i="1"/>
  <c r="G286" i="1"/>
  <c r="G285" i="1"/>
  <c r="G284" i="1"/>
  <c r="G283" i="1"/>
  <c r="G282" i="1"/>
  <c r="G281" i="1"/>
  <c r="G280" i="1"/>
  <c r="G279" i="1"/>
  <c r="G278" i="1"/>
  <c r="G276" i="1"/>
  <c r="G277" i="1"/>
  <c r="G275" i="1"/>
  <c r="G273" i="1"/>
  <c r="G274" i="1"/>
  <c r="G272" i="1"/>
  <c r="G270" i="1"/>
  <c r="G271" i="1"/>
  <c r="G269" i="1"/>
  <c r="G268" i="1"/>
  <c r="G267" i="1"/>
  <c r="G266" i="1"/>
  <c r="G265" i="1"/>
  <c r="G264" i="1"/>
  <c r="G263" i="1"/>
  <c r="G262" i="1"/>
  <c r="G261" i="1"/>
  <c r="G260" i="1"/>
  <c r="G259" i="1"/>
  <c r="G255" i="1"/>
  <c r="G258" i="1"/>
  <c r="G257" i="1"/>
  <c r="G254" i="1"/>
  <c r="G256" i="1"/>
  <c r="G253" i="1"/>
  <c r="G252" i="1"/>
  <c r="G251" i="1"/>
  <c r="G250" i="1"/>
  <c r="G249" i="1"/>
  <c r="G248" i="1"/>
  <c r="G246" i="1"/>
  <c r="G247" i="1"/>
  <c r="G245" i="1"/>
  <c r="G244" i="1"/>
  <c r="G243" i="1"/>
  <c r="G242" i="1"/>
  <c r="G241" i="1"/>
  <c r="G240" i="1"/>
  <c r="G239" i="1"/>
  <c r="G237" i="1"/>
  <c r="G238" i="1"/>
  <c r="G234" i="1"/>
  <c r="G236" i="1"/>
  <c r="G235" i="1"/>
  <c r="G233" i="1"/>
  <c r="G232" i="1"/>
  <c r="G231" i="1"/>
  <c r="G230" i="1"/>
  <c r="G229" i="1"/>
  <c r="G228" i="1"/>
  <c r="G227" i="1"/>
  <c r="G226" i="1"/>
  <c r="G225" i="1"/>
  <c r="G223" i="1"/>
  <c r="G224" i="1"/>
  <c r="G222" i="1"/>
  <c r="G220" i="1"/>
  <c r="G221" i="1"/>
  <c r="G219" i="1"/>
  <c r="G218" i="1"/>
  <c r="G217" i="1"/>
  <c r="G216" i="1"/>
  <c r="G215" i="1"/>
  <c r="G214" i="1"/>
  <c r="G213" i="1"/>
  <c r="G212" i="1"/>
  <c r="G211" i="1"/>
  <c r="G210" i="1"/>
  <c r="G209" i="1"/>
  <c r="G208" i="1"/>
  <c r="G207" i="1"/>
  <c r="G206" i="1"/>
  <c r="G205" i="1"/>
  <c r="G204" i="1"/>
  <c r="G203" i="1"/>
  <c r="G202" i="1"/>
  <c r="G201" i="1"/>
  <c r="G199" i="1"/>
  <c r="G200" i="1"/>
  <c r="G198" i="1"/>
  <c r="G197" i="1"/>
  <c r="G196" i="1"/>
  <c r="G195" i="1"/>
  <c r="G194" i="1"/>
  <c r="G193" i="1"/>
  <c r="G192" i="1"/>
  <c r="G191" i="1"/>
  <c r="G190" i="1"/>
  <c r="G189" i="1"/>
  <c r="G188" i="1"/>
  <c r="G187" i="1"/>
  <c r="G186" i="1"/>
  <c r="G185" i="1"/>
  <c r="G184" i="1"/>
  <c r="G183" i="1"/>
  <c r="G182" i="1"/>
  <c r="G181" i="1"/>
  <c r="G180" i="1"/>
  <c r="G179" i="1"/>
  <c r="G178" i="1"/>
  <c r="G176" i="1"/>
  <c r="G177"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6" i="1"/>
  <c r="G147" i="1"/>
  <c r="G145" i="1"/>
  <c r="G144" i="1"/>
  <c r="G143" i="1"/>
  <c r="G142" i="1"/>
  <c r="G141" i="1"/>
  <c r="G140" i="1"/>
  <c r="G139" i="1"/>
  <c r="G138" i="1"/>
  <c r="G137" i="1"/>
  <c r="G136" i="1"/>
  <c r="G135" i="1"/>
  <c r="G133" i="1"/>
  <c r="G134" i="1"/>
  <c r="G132" i="1"/>
  <c r="G131" i="1"/>
  <c r="G130" i="1"/>
  <c r="G128" i="1"/>
  <c r="G129" i="1"/>
  <c r="G127" i="1"/>
  <c r="G126" i="1"/>
  <c r="G124" i="1"/>
  <c r="G125" i="1"/>
  <c r="G123" i="1"/>
  <c r="G122" i="1"/>
  <c r="G121" i="1"/>
  <c r="G120" i="1"/>
  <c r="G119" i="1"/>
  <c r="G118" i="1"/>
  <c r="G117" i="1"/>
  <c r="G116" i="1"/>
  <c r="G114" i="1"/>
  <c r="G115" i="1"/>
  <c r="G113" i="1"/>
  <c r="G112" i="1"/>
  <c r="G110" i="1"/>
  <c r="G109" i="1"/>
  <c r="G111" i="1"/>
  <c r="G108" i="1"/>
  <c r="G107" i="1"/>
  <c r="G105" i="1"/>
  <c r="G106" i="1"/>
  <c r="G104" i="1"/>
  <c r="G103" i="1"/>
  <c r="G100" i="1"/>
  <c r="G101" i="1"/>
  <c r="G102" i="1"/>
  <c r="G99" i="1"/>
  <c r="G98" i="1"/>
  <c r="G96" i="1"/>
  <c r="G97" i="1"/>
  <c r="G93" i="1"/>
  <c r="G95" i="1"/>
  <c r="G94" i="1"/>
  <c r="G90" i="1"/>
  <c r="G91" i="1"/>
  <c r="G92" i="1"/>
  <c r="G89" i="1"/>
  <c r="G88" i="1"/>
  <c r="G87" i="1"/>
  <c r="G86" i="1"/>
  <c r="G85" i="1"/>
  <c r="G84" i="1"/>
  <c r="G82" i="1"/>
  <c r="G83" i="1"/>
  <c r="G79" i="1"/>
  <c r="G81" i="1"/>
  <c r="G80" i="1"/>
  <c r="G78" i="1"/>
  <c r="G77" i="1"/>
  <c r="G76" i="1"/>
  <c r="G74" i="1"/>
  <c r="G75" i="1"/>
  <c r="G73" i="1"/>
  <c r="G72" i="1"/>
  <c r="G71" i="1"/>
  <c r="G70" i="1"/>
  <c r="G69" i="1"/>
  <c r="G68" i="1"/>
  <c r="G66" i="1"/>
  <c r="G67" i="1"/>
  <c r="G65" i="1"/>
  <c r="G64" i="1"/>
  <c r="G63" i="1"/>
  <c r="G62" i="1"/>
  <c r="G61" i="1"/>
  <c r="G60" i="1"/>
  <c r="G59" i="1"/>
  <c r="G58" i="1"/>
  <c r="G57" i="1"/>
  <c r="G56" i="1"/>
  <c r="G54" i="1"/>
  <c r="G55" i="1"/>
  <c r="G52" i="1"/>
  <c r="G53" i="1"/>
  <c r="G49" i="1"/>
  <c r="G50" i="1"/>
  <c r="G48" i="1"/>
  <c r="G51" i="1"/>
  <c r="G47" i="1"/>
  <c r="G46" i="1"/>
  <c r="G45" i="1"/>
  <c r="G43" i="1"/>
  <c r="G44" i="1"/>
  <c r="G42" i="1"/>
  <c r="G39" i="1"/>
  <c r="G40" i="1"/>
  <c r="G41" i="1"/>
  <c r="G37" i="1"/>
  <c r="G31" i="1"/>
  <c r="G32" i="1"/>
  <c r="G36" i="1"/>
  <c r="G30" i="1"/>
  <c r="G35" i="1"/>
  <c r="G29" i="1"/>
  <c r="G34" i="1"/>
  <c r="G24" i="1"/>
  <c r="G27" i="1"/>
  <c r="G15" i="1"/>
  <c r="G14" i="1"/>
  <c r="G33" i="1"/>
  <c r="G16" i="1"/>
  <c r="G17" i="1"/>
  <c r="G18" i="1"/>
  <c r="G26" i="1"/>
  <c r="G28" i="1"/>
  <c r="G7" i="1"/>
  <c r="G19" i="1"/>
  <c r="G20" i="1"/>
  <c r="G23" i="1"/>
  <c r="G21" i="1"/>
  <c r="G5" i="1"/>
  <c r="G4" i="1"/>
  <c r="G22" i="1"/>
  <c r="G3" i="1"/>
  <c r="G8" i="1"/>
  <c r="G2" i="1"/>
  <c r="G6" i="1"/>
  <c r="G10" i="1"/>
  <c r="G9" i="1"/>
  <c r="G25" i="1"/>
  <c r="G11" i="1"/>
  <c r="G12" i="1"/>
  <c r="G13" i="1"/>
  <c r="G38"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3" i="1"/>
  <c r="R364" i="1"/>
  <c r="R362" i="1"/>
  <c r="R361" i="1"/>
  <c r="R360" i="1"/>
  <c r="R359" i="1"/>
  <c r="R358" i="1"/>
  <c r="R356" i="1"/>
  <c r="R357" i="1"/>
  <c r="R355" i="1"/>
  <c r="R354" i="1"/>
  <c r="R353" i="1"/>
  <c r="R352" i="1"/>
  <c r="R351" i="1"/>
  <c r="R350" i="1"/>
  <c r="R348" i="1"/>
  <c r="R349" i="1"/>
  <c r="R347" i="1"/>
  <c r="R346" i="1"/>
  <c r="R345" i="1"/>
  <c r="R344" i="1"/>
  <c r="R342" i="1"/>
  <c r="R343" i="1"/>
  <c r="R341" i="1"/>
  <c r="R340" i="1"/>
  <c r="R339" i="1"/>
  <c r="R338" i="1"/>
  <c r="R337" i="1"/>
  <c r="R336" i="1"/>
  <c r="R334" i="1"/>
  <c r="R335" i="1"/>
  <c r="R333" i="1"/>
  <c r="R332" i="1"/>
  <c r="R331" i="1"/>
  <c r="R330" i="1"/>
  <c r="R329" i="1"/>
  <c r="R327" i="1"/>
  <c r="R328" i="1"/>
  <c r="R326" i="1"/>
  <c r="R325" i="1"/>
  <c r="R324" i="1"/>
  <c r="R323" i="1"/>
  <c r="R322" i="1"/>
  <c r="R321" i="1"/>
  <c r="R320" i="1"/>
  <c r="R319" i="1"/>
  <c r="R318" i="1"/>
  <c r="R317" i="1"/>
  <c r="R316" i="1"/>
  <c r="R315" i="1"/>
  <c r="R314" i="1"/>
  <c r="R313" i="1"/>
  <c r="R312" i="1"/>
  <c r="R311" i="1"/>
  <c r="R310" i="1"/>
  <c r="R309" i="1"/>
  <c r="R308" i="1"/>
  <c r="R307" i="1"/>
  <c r="R305" i="1"/>
  <c r="R306" i="1"/>
  <c r="R304" i="1"/>
  <c r="R303" i="1"/>
  <c r="R302" i="1"/>
  <c r="R301" i="1"/>
  <c r="R300" i="1"/>
  <c r="R299" i="1"/>
  <c r="R298" i="1"/>
  <c r="R297" i="1"/>
  <c r="R295" i="1"/>
  <c r="R296" i="1"/>
  <c r="R294" i="1"/>
  <c r="R293" i="1"/>
  <c r="R292" i="1"/>
  <c r="R291" i="1"/>
  <c r="R290" i="1"/>
  <c r="R289" i="1"/>
  <c r="R288" i="1"/>
  <c r="R287" i="1"/>
  <c r="R286" i="1"/>
  <c r="R285" i="1"/>
  <c r="R284" i="1"/>
  <c r="R283" i="1"/>
  <c r="R282" i="1"/>
  <c r="R281" i="1"/>
  <c r="R280" i="1"/>
  <c r="R279" i="1"/>
  <c r="R278" i="1"/>
  <c r="R276" i="1"/>
  <c r="R277" i="1"/>
  <c r="R275" i="1"/>
  <c r="R273" i="1"/>
  <c r="R274" i="1"/>
  <c r="R272" i="1"/>
  <c r="R270" i="1"/>
  <c r="R271" i="1"/>
  <c r="R269" i="1"/>
  <c r="R268" i="1"/>
  <c r="R267" i="1"/>
  <c r="R266" i="1"/>
  <c r="R265" i="1"/>
  <c r="R264" i="1"/>
  <c r="R263" i="1"/>
  <c r="R262" i="1"/>
  <c r="R261" i="1"/>
  <c r="R260" i="1"/>
  <c r="R259" i="1"/>
  <c r="R255" i="1"/>
  <c r="R258" i="1"/>
  <c r="R257" i="1"/>
  <c r="R254" i="1"/>
  <c r="R256" i="1"/>
  <c r="R253" i="1"/>
  <c r="R252" i="1"/>
  <c r="R251" i="1"/>
  <c r="R250" i="1"/>
  <c r="R249" i="1"/>
  <c r="R248" i="1"/>
  <c r="R246" i="1"/>
  <c r="R247" i="1"/>
  <c r="R245" i="1"/>
  <c r="R244" i="1"/>
  <c r="R243" i="1"/>
  <c r="R242" i="1"/>
  <c r="R241" i="1"/>
  <c r="R240" i="1"/>
  <c r="R239" i="1"/>
  <c r="R237" i="1"/>
  <c r="R238" i="1"/>
  <c r="R234" i="1"/>
  <c r="R236" i="1"/>
  <c r="R235" i="1"/>
  <c r="R233" i="1"/>
  <c r="R232" i="1"/>
  <c r="R231" i="1"/>
  <c r="R230" i="1"/>
  <c r="R229" i="1"/>
  <c r="R228" i="1"/>
  <c r="R227" i="1"/>
  <c r="R226" i="1"/>
  <c r="R225" i="1"/>
  <c r="R223" i="1"/>
  <c r="R224" i="1"/>
  <c r="R222" i="1"/>
  <c r="R220" i="1"/>
  <c r="R221" i="1"/>
  <c r="R219" i="1"/>
  <c r="R218" i="1"/>
  <c r="R217" i="1"/>
  <c r="R216" i="1"/>
  <c r="R215" i="1"/>
  <c r="R214" i="1"/>
  <c r="R213" i="1"/>
  <c r="R212" i="1"/>
  <c r="R211" i="1"/>
  <c r="R210" i="1"/>
  <c r="R209" i="1"/>
  <c r="R208" i="1"/>
  <c r="R207" i="1"/>
  <c r="R206" i="1"/>
  <c r="R205" i="1"/>
  <c r="R204" i="1"/>
  <c r="R203" i="1"/>
  <c r="R202" i="1"/>
  <c r="R201" i="1"/>
  <c r="R199" i="1"/>
  <c r="R200" i="1"/>
  <c r="R198" i="1"/>
  <c r="R197" i="1"/>
  <c r="R196" i="1"/>
  <c r="R195" i="1"/>
  <c r="R194" i="1"/>
  <c r="R193" i="1"/>
  <c r="R192" i="1"/>
  <c r="R191" i="1"/>
  <c r="R190" i="1"/>
  <c r="R189" i="1"/>
  <c r="R188" i="1"/>
  <c r="R187" i="1"/>
  <c r="R186" i="1"/>
  <c r="R185" i="1"/>
  <c r="R184" i="1"/>
  <c r="R183" i="1"/>
  <c r="R182" i="1"/>
  <c r="R181" i="1"/>
  <c r="R180" i="1"/>
  <c r="R179" i="1"/>
  <c r="R178" i="1"/>
  <c r="R176" i="1"/>
  <c r="R177"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6" i="1"/>
  <c r="R147" i="1"/>
  <c r="R145" i="1"/>
  <c r="R144" i="1"/>
  <c r="R143" i="1"/>
  <c r="R142" i="1"/>
  <c r="R141" i="1"/>
  <c r="R140" i="1"/>
  <c r="R139" i="1"/>
  <c r="R138" i="1"/>
  <c r="R137" i="1"/>
  <c r="R136" i="1"/>
  <c r="R135" i="1"/>
  <c r="R133" i="1"/>
  <c r="R134" i="1"/>
  <c r="R132" i="1"/>
  <c r="R131" i="1"/>
  <c r="R130" i="1"/>
  <c r="R128" i="1"/>
  <c r="R129" i="1"/>
  <c r="R127" i="1"/>
  <c r="R126" i="1"/>
  <c r="R124" i="1"/>
  <c r="R125" i="1"/>
  <c r="R123" i="1"/>
  <c r="R122" i="1"/>
  <c r="R121" i="1"/>
  <c r="R120" i="1"/>
  <c r="R119" i="1"/>
  <c r="R118" i="1"/>
  <c r="R117" i="1"/>
  <c r="R116" i="1"/>
  <c r="R114" i="1"/>
  <c r="R115" i="1"/>
  <c r="R113" i="1"/>
  <c r="R112" i="1"/>
  <c r="R110" i="1"/>
  <c r="R109" i="1"/>
  <c r="R111" i="1"/>
  <c r="R108" i="1"/>
  <c r="R107" i="1"/>
  <c r="R105" i="1"/>
  <c r="R106" i="1"/>
  <c r="R104" i="1"/>
  <c r="R103" i="1"/>
  <c r="R100" i="1"/>
  <c r="R101" i="1"/>
  <c r="R102" i="1"/>
  <c r="R99" i="1"/>
  <c r="R98" i="1"/>
  <c r="R96" i="1"/>
  <c r="R97" i="1"/>
  <c r="R93" i="1"/>
  <c r="R95" i="1"/>
  <c r="R94" i="1"/>
  <c r="R90" i="1"/>
  <c r="R91" i="1"/>
  <c r="R92" i="1"/>
  <c r="R89" i="1"/>
  <c r="R88" i="1"/>
  <c r="R87" i="1"/>
  <c r="R86" i="1"/>
  <c r="R85" i="1"/>
  <c r="R84" i="1"/>
  <c r="R82" i="1"/>
  <c r="R83" i="1"/>
  <c r="R79" i="1"/>
  <c r="R81" i="1"/>
  <c r="R80" i="1"/>
  <c r="R78" i="1"/>
  <c r="R77" i="1"/>
  <c r="R76" i="1"/>
  <c r="R74" i="1"/>
  <c r="R75" i="1"/>
  <c r="R73" i="1"/>
  <c r="R72" i="1"/>
  <c r="R71" i="1"/>
  <c r="R70" i="1"/>
  <c r="R69" i="1"/>
  <c r="R68" i="1"/>
  <c r="R66" i="1"/>
  <c r="R67" i="1"/>
  <c r="R65" i="1"/>
  <c r="R64" i="1"/>
  <c r="R63" i="1"/>
  <c r="R62" i="1"/>
  <c r="R61" i="1"/>
  <c r="R60" i="1"/>
  <c r="R59" i="1"/>
  <c r="R58" i="1"/>
  <c r="R57" i="1"/>
  <c r="R56" i="1"/>
  <c r="R54" i="1"/>
  <c r="R55" i="1"/>
  <c r="R52" i="1"/>
  <c r="R53" i="1"/>
  <c r="R49" i="1"/>
  <c r="R50" i="1"/>
  <c r="R48" i="1"/>
  <c r="R51" i="1"/>
  <c r="R47" i="1"/>
  <c r="R46" i="1"/>
  <c r="R45" i="1"/>
  <c r="R43" i="1"/>
  <c r="R44" i="1"/>
  <c r="R42" i="1"/>
  <c r="R39" i="1"/>
  <c r="R40" i="1"/>
  <c r="R41" i="1"/>
  <c r="R37" i="1"/>
  <c r="R31" i="1"/>
  <c r="R32" i="1"/>
  <c r="R36" i="1"/>
  <c r="R30" i="1"/>
  <c r="R35" i="1"/>
  <c r="R29" i="1"/>
  <c r="R34" i="1"/>
  <c r="R24" i="1"/>
  <c r="R27" i="1"/>
  <c r="R15" i="1"/>
  <c r="R14" i="1"/>
  <c r="R33" i="1"/>
  <c r="R16" i="1"/>
  <c r="R17" i="1"/>
  <c r="R18" i="1"/>
  <c r="R26" i="1"/>
  <c r="R28" i="1"/>
  <c r="R7" i="1"/>
  <c r="R19" i="1"/>
  <c r="R20" i="1"/>
  <c r="R23" i="1"/>
  <c r="R21" i="1"/>
  <c r="R5" i="1"/>
  <c r="R4" i="1"/>
  <c r="R22" i="1"/>
  <c r="R3" i="1"/>
  <c r="R8" i="1"/>
  <c r="R2" i="1"/>
  <c r="R6" i="1"/>
  <c r="R10" i="1"/>
  <c r="R9" i="1"/>
  <c r="R25" i="1"/>
  <c r="R11" i="1"/>
  <c r="R12" i="1"/>
  <c r="R13" i="1"/>
  <c r="R38" i="1"/>
  <c r="A6" i="5"/>
  <c r="F7" i="5"/>
  <c r="F6" i="5"/>
  <c r="A3" i="5"/>
  <c r="I9" i="3"/>
  <c r="I8" i="3"/>
  <c r="D5" i="3"/>
  <c r="D8" i="3"/>
  <c r="AC406" i="1"/>
  <c r="AN406" i="1"/>
  <c r="AM406" i="1"/>
  <c r="AL406" i="1"/>
  <c r="AK406" i="1"/>
  <c r="AF406" i="1"/>
  <c r="AJ406" i="1"/>
  <c r="AI406" i="1"/>
  <c r="AH406" i="1"/>
  <c r="AG406" i="1"/>
  <c r="AE406" i="1"/>
  <c r="AC407" i="1"/>
  <c r="AN407" i="1"/>
  <c r="AM407" i="1"/>
  <c r="AL407" i="1"/>
  <c r="AK407" i="1"/>
  <c r="AF407" i="1"/>
  <c r="AJ407" i="1"/>
  <c r="AI407" i="1"/>
  <c r="AH407" i="1"/>
  <c r="AG407" i="1"/>
  <c r="AE407" i="1"/>
  <c r="AJ429" i="1"/>
  <c r="AG429" i="1"/>
  <c r="AC429" i="1"/>
  <c r="AN429" i="1"/>
  <c r="AM429" i="1"/>
  <c r="AL429" i="1"/>
  <c r="AK429" i="1"/>
  <c r="AF429" i="1"/>
  <c r="AI429" i="1"/>
  <c r="AE429" i="1"/>
  <c r="AI436" i="1"/>
  <c r="AC436" i="1"/>
  <c r="AD436" i="1" s="1"/>
  <c r="AN436" i="1"/>
  <c r="AM436" i="1"/>
  <c r="AL436" i="1"/>
  <c r="AK436" i="1"/>
  <c r="AF436" i="1"/>
  <c r="AJ436" i="1"/>
  <c r="AH436" i="1"/>
  <c r="AE436" i="1"/>
  <c r="AC431" i="1"/>
  <c r="AN431" i="1"/>
  <c r="AM431" i="1"/>
  <c r="AL431" i="1"/>
  <c r="AK431" i="1"/>
  <c r="AF431" i="1"/>
  <c r="AJ431" i="1"/>
  <c r="AI431" i="1"/>
  <c r="AH431" i="1"/>
  <c r="AG431" i="1"/>
  <c r="AE431" i="1"/>
  <c r="AC435" i="1"/>
  <c r="AN435" i="1"/>
  <c r="AM435" i="1"/>
  <c r="AL435" i="1"/>
  <c r="AK435" i="1"/>
  <c r="AJ435" i="1"/>
  <c r="AI435" i="1"/>
  <c r="AH435" i="1"/>
  <c r="AG435" i="1"/>
  <c r="AE435" i="1"/>
  <c r="AC402" i="1"/>
  <c r="AN402" i="1"/>
  <c r="AM402" i="1"/>
  <c r="AL402" i="1"/>
  <c r="AK402" i="1"/>
  <c r="AF402" i="1"/>
  <c r="AJ402" i="1"/>
  <c r="AI402" i="1"/>
  <c r="AH402" i="1"/>
  <c r="AG402" i="1"/>
  <c r="AE402" i="1"/>
  <c r="AH437" i="1"/>
  <c r="AC437" i="1"/>
  <c r="AN437" i="1"/>
  <c r="AM437" i="1"/>
  <c r="AL437" i="1"/>
  <c r="AK437" i="1"/>
  <c r="AF437" i="1"/>
  <c r="AJ437" i="1"/>
  <c r="AI437" i="1"/>
  <c r="AG437" i="1"/>
  <c r="AE437" i="1"/>
  <c r="AG410" i="1"/>
  <c r="AC410" i="1"/>
  <c r="AN410" i="1"/>
  <c r="AM410" i="1"/>
  <c r="AL410" i="1"/>
  <c r="AK410" i="1"/>
  <c r="AF410" i="1"/>
  <c r="AJ410" i="1"/>
  <c r="AI410" i="1"/>
  <c r="AH410" i="1"/>
  <c r="AE410" i="1"/>
  <c r="AI425" i="1"/>
  <c r="AC425" i="1"/>
  <c r="AN425" i="1"/>
  <c r="AM425" i="1"/>
  <c r="AL425" i="1"/>
  <c r="AK425" i="1"/>
  <c r="AF425" i="1"/>
  <c r="AJ425" i="1"/>
  <c r="AH425" i="1"/>
  <c r="AG425" i="1"/>
  <c r="AE425" i="1"/>
  <c r="AH404" i="1"/>
  <c r="AC404" i="1"/>
  <c r="AN404" i="1"/>
  <c r="AM404" i="1"/>
  <c r="AL404" i="1"/>
  <c r="AK404" i="1"/>
  <c r="AF404" i="1"/>
  <c r="AJ404" i="1"/>
  <c r="AI404" i="1"/>
  <c r="AG404" i="1"/>
  <c r="AE404" i="1"/>
  <c r="AC414" i="1"/>
  <c r="AN414" i="1"/>
  <c r="AM414" i="1"/>
  <c r="AL414" i="1"/>
  <c r="AK414" i="1"/>
  <c r="AF414" i="1"/>
  <c r="AJ414" i="1"/>
  <c r="AI414" i="1"/>
  <c r="AG414" i="1"/>
  <c r="AE414" i="1"/>
  <c r="AC434" i="1"/>
  <c r="AN434" i="1"/>
  <c r="AM434" i="1"/>
  <c r="AL434" i="1"/>
  <c r="AK434" i="1"/>
  <c r="AF434" i="1"/>
  <c r="AJ434" i="1"/>
  <c r="AI434" i="1"/>
  <c r="AH434" i="1"/>
  <c r="AG434" i="1"/>
  <c r="AE434" i="1"/>
  <c r="AH417" i="1"/>
  <c r="AC417" i="1"/>
  <c r="AN417" i="1"/>
  <c r="AM417" i="1"/>
  <c r="AL417" i="1"/>
  <c r="AK417" i="1"/>
  <c r="AF417" i="1"/>
  <c r="AJ417" i="1"/>
  <c r="AI417" i="1"/>
  <c r="AG417" i="1"/>
  <c r="AE417" i="1"/>
  <c r="AC416" i="1"/>
  <c r="AN416" i="1"/>
  <c r="AM416" i="1"/>
  <c r="AL416" i="1"/>
  <c r="AK416" i="1"/>
  <c r="AF416" i="1"/>
  <c r="AJ416" i="1"/>
  <c r="AI416" i="1"/>
  <c r="AH416" i="1"/>
  <c r="AG416" i="1"/>
  <c r="AE416" i="1"/>
  <c r="AC217" i="1"/>
  <c r="AN217" i="1"/>
  <c r="AM217" i="1"/>
  <c r="AL217" i="1"/>
  <c r="AK217" i="1"/>
  <c r="AF217" i="1"/>
  <c r="AJ217" i="1"/>
  <c r="AI217" i="1"/>
  <c r="AH217" i="1"/>
  <c r="AG217" i="1"/>
  <c r="AE217" i="1"/>
  <c r="AH415" i="1"/>
  <c r="AC415" i="1"/>
  <c r="AN415" i="1"/>
  <c r="AM415" i="1"/>
  <c r="AL415" i="1"/>
  <c r="AK415" i="1"/>
  <c r="AF415" i="1"/>
  <c r="AJ415" i="1"/>
  <c r="AI415" i="1"/>
  <c r="AG415" i="1"/>
  <c r="AE415" i="1"/>
  <c r="AJ421" i="1"/>
  <c r="AG421" i="1"/>
  <c r="AC421" i="1"/>
  <c r="AN421" i="1"/>
  <c r="AM421" i="1"/>
  <c r="AL421" i="1"/>
  <c r="AK421" i="1"/>
  <c r="AF421" i="1"/>
  <c r="AI421" i="1"/>
  <c r="AE421" i="1"/>
  <c r="AI453" i="1"/>
  <c r="AC453" i="1"/>
  <c r="AN453" i="1"/>
  <c r="AM453" i="1"/>
  <c r="AL453" i="1"/>
  <c r="AK453" i="1"/>
  <c r="AF453" i="1"/>
  <c r="AJ453" i="1"/>
  <c r="AH453" i="1"/>
  <c r="AG453" i="1"/>
  <c r="AE453" i="1"/>
  <c r="AC455" i="1"/>
  <c r="AN455" i="1"/>
  <c r="AM455" i="1"/>
  <c r="AL455" i="1"/>
  <c r="AK455" i="1"/>
  <c r="AF455" i="1"/>
  <c r="AJ455" i="1"/>
  <c r="AI455" i="1"/>
  <c r="AH455" i="1"/>
  <c r="AG455" i="1"/>
  <c r="AE455" i="1"/>
  <c r="AJ452" i="1"/>
  <c r="AG452" i="1"/>
  <c r="AC452" i="1"/>
  <c r="AN452" i="1"/>
  <c r="AM452" i="1"/>
  <c r="AL452" i="1"/>
  <c r="AK452" i="1"/>
  <c r="AF452" i="1"/>
  <c r="AI452" i="1"/>
  <c r="AH452" i="1"/>
  <c r="AE452" i="1"/>
  <c r="AC241" i="1"/>
  <c r="AN241" i="1"/>
  <c r="AM241" i="1"/>
  <c r="AL241" i="1"/>
  <c r="AK241" i="1"/>
  <c r="AF241" i="1"/>
  <c r="AJ241" i="1"/>
  <c r="AI241" i="1"/>
  <c r="AH241" i="1"/>
  <c r="AG241" i="1"/>
  <c r="AE241" i="1"/>
  <c r="AH438" i="1"/>
  <c r="AC438" i="1"/>
  <c r="AN438" i="1"/>
  <c r="AM438" i="1"/>
  <c r="AL438" i="1"/>
  <c r="AK438" i="1"/>
  <c r="AF438" i="1"/>
  <c r="AJ438" i="1"/>
  <c r="AI438" i="1"/>
  <c r="AG438" i="1"/>
  <c r="AE438" i="1"/>
  <c r="AJ263" i="1"/>
  <c r="AG263" i="1"/>
  <c r="AC263" i="1"/>
  <c r="AN263" i="1"/>
  <c r="AM263" i="1"/>
  <c r="AL263" i="1"/>
  <c r="AK263" i="1"/>
  <c r="AF263" i="1"/>
  <c r="AI263" i="1"/>
  <c r="AE263" i="1"/>
  <c r="AI458" i="1"/>
  <c r="AC458" i="1"/>
  <c r="AN458" i="1"/>
  <c r="AM458" i="1"/>
  <c r="AL458" i="1"/>
  <c r="AK458" i="1"/>
  <c r="AF458" i="1"/>
  <c r="AJ458" i="1"/>
  <c r="AH458" i="1"/>
  <c r="AG458" i="1"/>
  <c r="AE458" i="1"/>
  <c r="AH456" i="1"/>
  <c r="AC456" i="1"/>
  <c r="AN456" i="1"/>
  <c r="AM456" i="1"/>
  <c r="AL456" i="1"/>
  <c r="AK456" i="1"/>
  <c r="AF456" i="1"/>
  <c r="AJ456" i="1"/>
  <c r="AI456" i="1"/>
  <c r="AG456" i="1"/>
  <c r="AG457" i="1"/>
  <c r="AC457" i="1"/>
  <c r="AN457" i="1"/>
  <c r="AM457" i="1"/>
  <c r="AL457" i="1"/>
  <c r="AK457" i="1"/>
  <c r="AF457" i="1"/>
  <c r="AJ457" i="1"/>
  <c r="AI457" i="1"/>
  <c r="AH457" i="1"/>
  <c r="AE457" i="1"/>
  <c r="AI201" i="1"/>
  <c r="AC201" i="1"/>
  <c r="AN201" i="1"/>
  <c r="AM201" i="1"/>
  <c r="AL201" i="1"/>
  <c r="AK201" i="1"/>
  <c r="AF201" i="1"/>
  <c r="AJ201" i="1"/>
  <c r="AH201" i="1"/>
  <c r="AG201" i="1"/>
  <c r="AE201" i="1"/>
  <c r="AH335" i="1"/>
  <c r="AC335" i="1"/>
  <c r="AN335" i="1"/>
  <c r="AM335" i="1"/>
  <c r="AL335" i="1"/>
  <c r="AK335" i="1"/>
  <c r="AF335" i="1"/>
  <c r="AJ335" i="1"/>
  <c r="AI335" i="1"/>
  <c r="AG335" i="1"/>
  <c r="AC346" i="1"/>
  <c r="AN346" i="1"/>
  <c r="AM346" i="1"/>
  <c r="AL346" i="1"/>
  <c r="AK346" i="1"/>
  <c r="AF346" i="1"/>
  <c r="AJ346" i="1"/>
  <c r="AI346" i="1"/>
  <c r="AH346" i="1"/>
  <c r="AG346" i="1"/>
  <c r="AE346" i="1"/>
  <c r="AC231" i="1"/>
  <c r="AN231" i="1"/>
  <c r="AM231" i="1"/>
  <c r="AL231" i="1"/>
  <c r="AK231" i="1"/>
  <c r="AF231" i="1"/>
  <c r="AJ231" i="1"/>
  <c r="AI231" i="1"/>
  <c r="AH231" i="1"/>
  <c r="AG231" i="1"/>
  <c r="AE231" i="1"/>
  <c r="AC271" i="1"/>
  <c r="AN271" i="1"/>
  <c r="AM271" i="1"/>
  <c r="AL271" i="1"/>
  <c r="AK271" i="1"/>
  <c r="AF271" i="1"/>
  <c r="AJ271" i="1"/>
  <c r="AI271" i="1"/>
  <c r="AH271" i="1"/>
  <c r="AG271" i="1"/>
  <c r="AC459" i="1"/>
  <c r="AN459" i="1"/>
  <c r="AM459" i="1"/>
  <c r="AL459" i="1"/>
  <c r="AK459" i="1"/>
  <c r="AF459" i="1"/>
  <c r="AJ459" i="1"/>
  <c r="AI459" i="1"/>
  <c r="AH459" i="1"/>
  <c r="AG459" i="1"/>
  <c r="AE459" i="1"/>
  <c r="AC270" i="1"/>
  <c r="AN270" i="1"/>
  <c r="AM270" i="1"/>
  <c r="AL270" i="1"/>
  <c r="AK270" i="1"/>
  <c r="AF270" i="1"/>
  <c r="AJ270" i="1"/>
  <c r="AI270" i="1"/>
  <c r="AH270" i="1"/>
  <c r="AG270" i="1"/>
  <c r="AE270" i="1"/>
  <c r="AK196" i="1"/>
  <c r="AJ196" i="1"/>
  <c r="AE196" i="1"/>
  <c r="AC196" i="1"/>
  <c r="AN196" i="1"/>
  <c r="AM196" i="1"/>
  <c r="AL196" i="1"/>
  <c r="AF196" i="1"/>
  <c r="AI196" i="1"/>
  <c r="AH196" i="1"/>
  <c r="AG196" i="1"/>
  <c r="AJ297" i="1"/>
  <c r="AC297" i="1"/>
  <c r="AN297" i="1"/>
  <c r="AM297" i="1"/>
  <c r="AL297" i="1"/>
  <c r="AK297" i="1"/>
  <c r="AF297" i="1"/>
  <c r="AI297" i="1"/>
  <c r="AH297" i="1"/>
  <c r="AG297" i="1"/>
  <c r="AE297" i="1"/>
  <c r="AC197" i="1"/>
  <c r="AN197" i="1"/>
  <c r="AM197" i="1"/>
  <c r="AL197" i="1"/>
  <c r="AK197" i="1"/>
  <c r="AF197" i="1"/>
  <c r="AJ197" i="1"/>
  <c r="AI197" i="1"/>
  <c r="AH197" i="1"/>
  <c r="AG197" i="1"/>
  <c r="AE197" i="1"/>
  <c r="AH360" i="1"/>
  <c r="AC360" i="1"/>
  <c r="AN360" i="1"/>
  <c r="AM360" i="1"/>
  <c r="AL360" i="1"/>
  <c r="AK360" i="1"/>
  <c r="AF360" i="1"/>
  <c r="AJ360" i="1"/>
  <c r="AI360" i="1"/>
  <c r="AG360" i="1"/>
  <c r="AJ460" i="1"/>
  <c r="AG460" i="1"/>
  <c r="AC460" i="1"/>
  <c r="AN460" i="1"/>
  <c r="AM460" i="1"/>
  <c r="AL460" i="1"/>
  <c r="AK460" i="1"/>
  <c r="AF460" i="1"/>
  <c r="AI460" i="1"/>
  <c r="AH460" i="1"/>
  <c r="AE460" i="1"/>
  <c r="AI232" i="1"/>
  <c r="AC232" i="1"/>
  <c r="AN232" i="1"/>
  <c r="AM232" i="1"/>
  <c r="AL232" i="1"/>
  <c r="AK232" i="1"/>
  <c r="AF232" i="1"/>
  <c r="AJ232" i="1"/>
  <c r="AH232" i="1"/>
  <c r="AG232" i="1"/>
  <c r="AE232" i="1"/>
  <c r="AC454" i="1"/>
  <c r="AN454" i="1"/>
  <c r="AM454" i="1"/>
  <c r="AL454" i="1"/>
  <c r="AK454" i="1"/>
  <c r="AF454" i="1"/>
  <c r="AJ454" i="1"/>
  <c r="AI454" i="1"/>
  <c r="AH454" i="1"/>
  <c r="AG454" i="1"/>
  <c r="AJ349" i="1"/>
  <c r="AC349" i="1"/>
  <c r="AN349" i="1"/>
  <c r="AM349" i="1"/>
  <c r="AL349" i="1"/>
  <c r="AK349" i="1"/>
  <c r="AF349" i="1"/>
  <c r="AI349" i="1"/>
  <c r="AH349" i="1"/>
  <c r="AG349" i="1"/>
  <c r="AE349" i="1"/>
  <c r="AG354" i="1"/>
  <c r="AC354" i="1"/>
  <c r="AN354" i="1"/>
  <c r="AM354" i="1"/>
  <c r="AL354" i="1"/>
  <c r="AK354" i="1"/>
  <c r="AF354" i="1"/>
  <c r="AJ354" i="1"/>
  <c r="AI354" i="1"/>
  <c r="AH354" i="1"/>
  <c r="AE354" i="1"/>
  <c r="AI256" i="1"/>
  <c r="AC256" i="1"/>
  <c r="AN256" i="1"/>
  <c r="AM256" i="1"/>
  <c r="AL256" i="1"/>
  <c r="AK256" i="1"/>
  <c r="AF256" i="1"/>
  <c r="AJ256" i="1"/>
  <c r="AH256" i="1"/>
  <c r="AG256" i="1"/>
  <c r="AE256" i="1"/>
  <c r="AN173" i="1"/>
  <c r="AC173" i="1"/>
  <c r="AM173" i="1"/>
  <c r="AL173" i="1"/>
  <c r="AK173" i="1"/>
  <c r="AF173" i="1"/>
  <c r="AJ173" i="1"/>
  <c r="AI173" i="1"/>
  <c r="AH173" i="1"/>
  <c r="AG173" i="1"/>
  <c r="AE173" i="1"/>
  <c r="AC304" i="1"/>
  <c r="AN304" i="1"/>
  <c r="AM304" i="1"/>
  <c r="AL304" i="1"/>
  <c r="AK304" i="1"/>
  <c r="AF304" i="1"/>
  <c r="AJ304" i="1"/>
  <c r="AI304" i="1"/>
  <c r="AG304" i="1"/>
  <c r="AE304" i="1"/>
  <c r="AI329" i="1"/>
  <c r="AH329" i="1"/>
  <c r="AC329" i="1"/>
  <c r="AN329" i="1"/>
  <c r="AM329" i="1"/>
  <c r="AL329" i="1"/>
  <c r="AK329" i="1"/>
  <c r="AF329" i="1"/>
  <c r="AJ329" i="1"/>
  <c r="AE329" i="1"/>
  <c r="AG306" i="1"/>
  <c r="AC306" i="1"/>
  <c r="AN306" i="1"/>
  <c r="AM306" i="1"/>
  <c r="AL306" i="1"/>
  <c r="AK306" i="1"/>
  <c r="AF306" i="1"/>
  <c r="AJ306" i="1"/>
  <c r="AI306" i="1"/>
  <c r="AH306" i="1"/>
  <c r="AC215" i="1"/>
  <c r="AN215" i="1"/>
  <c r="AM215" i="1"/>
  <c r="AL215" i="1"/>
  <c r="AK215" i="1"/>
  <c r="AF215" i="1"/>
  <c r="AJ215" i="1"/>
  <c r="AI215" i="1"/>
  <c r="AH215" i="1"/>
  <c r="AG215" i="1"/>
  <c r="AE215" i="1"/>
  <c r="AI364" i="1"/>
  <c r="AC364" i="1"/>
  <c r="AN364" i="1"/>
  <c r="AM364" i="1"/>
  <c r="AL364" i="1"/>
  <c r="AK364" i="1"/>
  <c r="AF364" i="1"/>
  <c r="AJ364" i="1"/>
  <c r="AH364" i="1"/>
  <c r="AG364" i="1"/>
  <c r="AE364" i="1"/>
  <c r="AJ247" i="1"/>
  <c r="AH247" i="1"/>
  <c r="AC247" i="1"/>
  <c r="AN247" i="1"/>
  <c r="AM247" i="1"/>
  <c r="AL247" i="1"/>
  <c r="AK247" i="1"/>
  <c r="AF247" i="1"/>
  <c r="AI247" i="1"/>
  <c r="AG247" i="1"/>
  <c r="AE247" i="1"/>
  <c r="AJ181" i="1"/>
  <c r="AG181" i="1"/>
  <c r="AC181" i="1"/>
  <c r="AN181" i="1"/>
  <c r="AM181" i="1"/>
  <c r="AL181" i="1"/>
  <c r="AK181" i="1"/>
  <c r="AF181" i="1"/>
  <c r="AI181" i="1"/>
  <c r="AE181" i="1"/>
  <c r="AI317" i="1"/>
  <c r="AC317" i="1"/>
  <c r="AN317" i="1"/>
  <c r="AM317" i="1"/>
  <c r="AL317" i="1"/>
  <c r="AK317" i="1"/>
  <c r="AF317" i="1"/>
  <c r="AJ317" i="1"/>
  <c r="AH317" i="1"/>
  <c r="AE317" i="1"/>
  <c r="AH300" i="1"/>
  <c r="AC300" i="1"/>
  <c r="AN300" i="1"/>
  <c r="AM300" i="1"/>
  <c r="AL300" i="1"/>
  <c r="AK300" i="1"/>
  <c r="AF300" i="1"/>
  <c r="AJ300" i="1"/>
  <c r="AI300" i="1"/>
  <c r="AG300" i="1"/>
  <c r="AC202" i="1"/>
  <c r="AN202" i="1"/>
  <c r="AM202" i="1"/>
  <c r="AL202" i="1"/>
  <c r="AK202" i="1"/>
  <c r="AF202" i="1"/>
  <c r="AJ202" i="1"/>
  <c r="AI202" i="1"/>
  <c r="AH202" i="1"/>
  <c r="AG202" i="1"/>
  <c r="AE202" i="1"/>
  <c r="AC340" i="1"/>
  <c r="AN340" i="1"/>
  <c r="AM340" i="1"/>
  <c r="AL340" i="1"/>
  <c r="AK340" i="1"/>
  <c r="AF340" i="1"/>
  <c r="AJ340" i="1"/>
  <c r="AI340" i="1"/>
  <c r="AH340" i="1"/>
  <c r="AG340" i="1"/>
  <c r="AE340" i="1"/>
  <c r="AN343" i="1"/>
  <c r="AH343" i="1"/>
  <c r="AC343" i="1"/>
  <c r="AM343" i="1"/>
  <c r="AL343" i="1"/>
  <c r="AK343" i="1"/>
  <c r="AF343" i="1"/>
  <c r="AJ343" i="1"/>
  <c r="AI343" i="1"/>
  <c r="AG343" i="1"/>
  <c r="AE343" i="1"/>
  <c r="AJ326" i="1"/>
  <c r="AI326" i="1"/>
  <c r="AG326" i="1"/>
  <c r="AC326" i="1"/>
  <c r="AN326" i="1"/>
  <c r="AM326" i="1"/>
  <c r="AL326" i="1"/>
  <c r="AK326" i="1"/>
  <c r="AF326" i="1"/>
  <c r="AE326" i="1"/>
  <c r="AL332" i="1"/>
  <c r="AH332" i="1"/>
  <c r="AC332" i="1"/>
  <c r="AN332" i="1"/>
  <c r="AM332" i="1"/>
  <c r="AK332" i="1"/>
  <c r="AF332" i="1"/>
  <c r="AJ332" i="1"/>
  <c r="AI332" i="1"/>
  <c r="AE332" i="1"/>
  <c r="AF368" i="1"/>
  <c r="AC368" i="1"/>
  <c r="AN368" i="1"/>
  <c r="AM368" i="1"/>
  <c r="AL368" i="1"/>
  <c r="AK368" i="1"/>
  <c r="AJ368" i="1"/>
  <c r="AI368" i="1"/>
  <c r="AH368" i="1"/>
  <c r="AG368" i="1"/>
  <c r="AC355" i="1"/>
  <c r="AN355" i="1"/>
  <c r="AM355" i="1"/>
  <c r="AL355" i="1"/>
  <c r="AK355" i="1"/>
  <c r="AF355" i="1"/>
  <c r="AJ355" i="1"/>
  <c r="AI355" i="1"/>
  <c r="AH355" i="1"/>
  <c r="AG355" i="1"/>
  <c r="AE355" i="1"/>
  <c r="AC372" i="1"/>
  <c r="AN372" i="1"/>
  <c r="AM372" i="1"/>
  <c r="AL372" i="1"/>
  <c r="AK372" i="1"/>
  <c r="AF372" i="1"/>
  <c r="AJ372" i="1"/>
  <c r="AI372" i="1"/>
  <c r="AH372" i="1"/>
  <c r="AG372" i="1"/>
  <c r="AE372" i="1"/>
  <c r="AJ325" i="1"/>
  <c r="AC325" i="1"/>
  <c r="AN325" i="1"/>
  <c r="AM325" i="1"/>
  <c r="AL325" i="1"/>
  <c r="AK325" i="1"/>
  <c r="AF325" i="1"/>
  <c r="AI325" i="1"/>
  <c r="AH325" i="1"/>
  <c r="AG325" i="1"/>
  <c r="AE325" i="1"/>
  <c r="AI219" i="1"/>
  <c r="AG219" i="1"/>
  <c r="AC219" i="1"/>
  <c r="AN219" i="1"/>
  <c r="AM219" i="1"/>
  <c r="AL219" i="1"/>
  <c r="AK219" i="1"/>
  <c r="AF219" i="1"/>
  <c r="AJ219" i="1"/>
  <c r="AE219" i="1"/>
  <c r="AL373" i="1"/>
  <c r="AI373" i="1"/>
  <c r="AC373" i="1"/>
  <c r="AN373" i="1"/>
  <c r="AM373" i="1"/>
  <c r="AK373" i="1"/>
  <c r="AF373" i="1"/>
  <c r="AJ373" i="1"/>
  <c r="AH373" i="1"/>
  <c r="AE373" i="1"/>
  <c r="AK378" i="1"/>
  <c r="AC378" i="1"/>
  <c r="AN378" i="1"/>
  <c r="AM378" i="1"/>
  <c r="AL378" i="1"/>
  <c r="AF378" i="1"/>
  <c r="AJ378" i="1"/>
  <c r="AI378" i="1"/>
  <c r="AH378" i="1"/>
  <c r="AG378" i="1"/>
  <c r="AJ401" i="1"/>
  <c r="AG401" i="1"/>
  <c r="AC401" i="1"/>
  <c r="AN401" i="1"/>
  <c r="AM401" i="1"/>
  <c r="AL401" i="1"/>
  <c r="AK401" i="1"/>
  <c r="AF401" i="1"/>
  <c r="AI401" i="1"/>
  <c r="AH401" i="1"/>
  <c r="AE401" i="1"/>
  <c r="AI203" i="1"/>
  <c r="AC203" i="1"/>
  <c r="AN203" i="1"/>
  <c r="AM203" i="1"/>
  <c r="AL203" i="1"/>
  <c r="AK203" i="1"/>
  <c r="AF203" i="1"/>
  <c r="AJ203" i="1"/>
  <c r="AH203" i="1"/>
  <c r="AG203" i="1"/>
  <c r="AE203" i="1"/>
  <c r="AC316" i="1"/>
  <c r="AN316" i="1"/>
  <c r="AM316" i="1"/>
  <c r="AL316" i="1"/>
  <c r="AK316" i="1"/>
  <c r="AF316" i="1"/>
  <c r="AJ316" i="1"/>
  <c r="AI316" i="1"/>
  <c r="AH316" i="1"/>
  <c r="AG316" i="1"/>
  <c r="AE316" i="1"/>
  <c r="AJ411" i="1"/>
  <c r="AG411" i="1"/>
  <c r="AC411" i="1"/>
  <c r="AN411" i="1"/>
  <c r="AM411" i="1"/>
  <c r="AL411" i="1"/>
  <c r="AK411" i="1"/>
  <c r="AF411" i="1"/>
  <c r="AI411" i="1"/>
  <c r="AE411" i="1"/>
  <c r="AI185" i="1"/>
  <c r="AC185" i="1"/>
  <c r="AN185" i="1"/>
  <c r="AM185" i="1"/>
  <c r="AL185" i="1"/>
  <c r="AK185" i="1"/>
  <c r="AF185" i="1"/>
  <c r="AJ185" i="1"/>
  <c r="AH185" i="1"/>
  <c r="AE185" i="1"/>
  <c r="AK398" i="1"/>
  <c r="AE398" i="1"/>
  <c r="AC398" i="1"/>
  <c r="AN398" i="1"/>
  <c r="AM398" i="1"/>
  <c r="AL398" i="1"/>
  <c r="AF398" i="1"/>
  <c r="AJ398" i="1"/>
  <c r="AI398" i="1"/>
  <c r="AH398" i="1"/>
  <c r="AG398" i="1"/>
  <c r="AJ382" i="1"/>
  <c r="AG382" i="1"/>
  <c r="AC382" i="1"/>
  <c r="AN382" i="1"/>
  <c r="AM382" i="1"/>
  <c r="AL382" i="1"/>
  <c r="AK382" i="1"/>
  <c r="AF382" i="1"/>
  <c r="AI382" i="1"/>
  <c r="AH382" i="1"/>
  <c r="AE382" i="1"/>
  <c r="AC262" i="1"/>
  <c r="AN262" i="1"/>
  <c r="AM262" i="1"/>
  <c r="AL262" i="1"/>
  <c r="AK262" i="1"/>
  <c r="AF262" i="1"/>
  <c r="AJ262" i="1"/>
  <c r="AI262" i="1"/>
  <c r="AH262" i="1"/>
  <c r="AG262" i="1"/>
  <c r="AE262" i="1"/>
  <c r="AJ189" i="1"/>
  <c r="AH189" i="1"/>
  <c r="AC189" i="1"/>
  <c r="AN189" i="1"/>
  <c r="AM189" i="1"/>
  <c r="AL189" i="1"/>
  <c r="AK189" i="1"/>
  <c r="AF189" i="1"/>
  <c r="AI189" i="1"/>
  <c r="AG189" i="1"/>
  <c r="AE189" i="1"/>
  <c r="AG319" i="1"/>
  <c r="AC319" i="1"/>
  <c r="AN319" i="1"/>
  <c r="AM319" i="1"/>
  <c r="AL319" i="1"/>
  <c r="AK319" i="1"/>
  <c r="AF319" i="1"/>
  <c r="AJ319" i="1"/>
  <c r="AI319" i="1"/>
  <c r="AE319" i="1"/>
  <c r="AC391" i="1"/>
  <c r="AN391" i="1"/>
  <c r="AM391" i="1"/>
  <c r="AL391" i="1"/>
  <c r="AK391" i="1"/>
  <c r="AF391" i="1"/>
  <c r="AJ391" i="1"/>
  <c r="AI391" i="1"/>
  <c r="AH391" i="1"/>
  <c r="AE391" i="1"/>
  <c r="AH200" i="1"/>
  <c r="AC200" i="1"/>
  <c r="AN200" i="1"/>
  <c r="AM200" i="1"/>
  <c r="AL200" i="1"/>
  <c r="AK200" i="1"/>
  <c r="AF200" i="1"/>
  <c r="AJ200" i="1"/>
  <c r="AI200" i="1"/>
  <c r="AG200" i="1"/>
  <c r="AE200" i="1"/>
  <c r="AG244" i="1"/>
  <c r="AC244" i="1"/>
  <c r="AN244" i="1"/>
  <c r="AM244" i="1"/>
  <c r="AL244" i="1"/>
  <c r="AK244" i="1"/>
  <c r="AF244" i="1"/>
  <c r="AJ244" i="1"/>
  <c r="AI244" i="1"/>
  <c r="AH244" i="1"/>
  <c r="AE244" i="1"/>
  <c r="AC224" i="1"/>
  <c r="AN224" i="1"/>
  <c r="AM224" i="1"/>
  <c r="AL224" i="1"/>
  <c r="AK224" i="1"/>
  <c r="AF224" i="1"/>
  <c r="AJ224" i="1"/>
  <c r="AI224" i="1"/>
  <c r="AH224" i="1"/>
  <c r="AG224" i="1"/>
  <c r="AE224" i="1"/>
  <c r="AH314" i="1"/>
  <c r="AC314" i="1"/>
  <c r="AN314" i="1"/>
  <c r="AM314" i="1"/>
  <c r="AL314" i="1"/>
  <c r="AK314" i="1"/>
  <c r="AF314" i="1"/>
  <c r="AJ314" i="1"/>
  <c r="AI314" i="1"/>
  <c r="AG314" i="1"/>
  <c r="AG254" i="1"/>
  <c r="AC254" i="1"/>
  <c r="AN254" i="1"/>
  <c r="AM254" i="1"/>
  <c r="AL254" i="1"/>
  <c r="AK254" i="1"/>
  <c r="AF254" i="1"/>
  <c r="AJ254" i="1"/>
  <c r="AI254" i="1"/>
  <c r="AH254" i="1"/>
  <c r="AE254" i="1"/>
  <c r="AM361" i="1"/>
  <c r="AC361" i="1"/>
  <c r="AN361" i="1"/>
  <c r="AL361" i="1"/>
  <c r="AK361" i="1"/>
  <c r="AF361" i="1"/>
  <c r="AJ361" i="1"/>
  <c r="AI361" i="1"/>
  <c r="AH361" i="1"/>
  <c r="AG361" i="1"/>
  <c r="AE361" i="1"/>
  <c r="AJ337" i="1"/>
  <c r="AC337" i="1"/>
  <c r="AD337" i="1" s="1"/>
  <c r="AO337" i="1" s="1"/>
  <c r="AN337" i="1"/>
  <c r="AM337" i="1"/>
  <c r="AL337" i="1"/>
  <c r="AK337" i="1"/>
  <c r="AF337" i="1"/>
  <c r="AI337" i="1"/>
  <c r="AH337" i="1"/>
  <c r="AG337" i="1"/>
  <c r="AC377" i="1"/>
  <c r="AN377" i="1"/>
  <c r="AM377" i="1"/>
  <c r="AL377" i="1"/>
  <c r="AK377" i="1"/>
  <c r="AF377" i="1"/>
  <c r="AJ377" i="1"/>
  <c r="AI377" i="1"/>
  <c r="AH377" i="1"/>
  <c r="AG377" i="1"/>
  <c r="AE377" i="1"/>
  <c r="AH418" i="1"/>
  <c r="AC418" i="1"/>
  <c r="AN418" i="1"/>
  <c r="AM418" i="1"/>
  <c r="AL418" i="1"/>
  <c r="AK418" i="1"/>
  <c r="AF418" i="1"/>
  <c r="AJ418" i="1"/>
  <c r="AI418" i="1"/>
  <c r="AG418" i="1"/>
  <c r="AE418" i="1"/>
  <c r="AN348" i="1"/>
  <c r="AG348" i="1"/>
  <c r="AC348" i="1"/>
  <c r="AM348" i="1"/>
  <c r="AL348" i="1"/>
  <c r="AK348" i="1"/>
  <c r="AF348" i="1"/>
  <c r="AJ348" i="1"/>
  <c r="AI348" i="1"/>
  <c r="AH348" i="1"/>
  <c r="AE348" i="1"/>
  <c r="AJ207" i="1"/>
  <c r="AG207" i="1"/>
  <c r="AC207" i="1"/>
  <c r="AN207" i="1"/>
  <c r="AM207" i="1"/>
  <c r="AL207" i="1"/>
  <c r="AK207" i="1"/>
  <c r="AF207" i="1"/>
  <c r="AI207" i="1"/>
  <c r="AE207" i="1"/>
  <c r="AI422" i="1"/>
  <c r="AC422" i="1"/>
  <c r="AN422" i="1"/>
  <c r="AM422" i="1"/>
  <c r="AL422" i="1"/>
  <c r="AK422" i="1"/>
  <c r="AF422" i="1"/>
  <c r="AJ422" i="1"/>
  <c r="AH422" i="1"/>
  <c r="AG422" i="1"/>
  <c r="AE422" i="1"/>
  <c r="AH389" i="1"/>
  <c r="AE389" i="1"/>
  <c r="AC389" i="1"/>
  <c r="AN389" i="1"/>
  <c r="AM389" i="1"/>
  <c r="AL389" i="1"/>
  <c r="AK389" i="1"/>
  <c r="AF389" i="1"/>
  <c r="AJ389" i="1"/>
  <c r="AI389" i="1"/>
  <c r="AG389" i="1"/>
  <c r="AJ424" i="1"/>
  <c r="AI424" i="1"/>
  <c r="AG424" i="1"/>
  <c r="AC424" i="1"/>
  <c r="AN424" i="1"/>
  <c r="AM424" i="1"/>
  <c r="AL424" i="1"/>
  <c r="AK424" i="1"/>
  <c r="AF424" i="1"/>
  <c r="AH424" i="1"/>
  <c r="AE424" i="1"/>
  <c r="AI428" i="1"/>
  <c r="AC428" i="1"/>
  <c r="AN428" i="1"/>
  <c r="AM428" i="1"/>
  <c r="AL428" i="1"/>
  <c r="AK428" i="1"/>
  <c r="AF428" i="1"/>
  <c r="AJ428" i="1"/>
  <c r="AH428" i="1"/>
  <c r="AG428" i="1"/>
  <c r="AE428" i="1"/>
  <c r="AN420" i="1"/>
  <c r="AH420" i="1"/>
  <c r="AC420" i="1"/>
  <c r="AM420" i="1"/>
  <c r="AL420" i="1"/>
  <c r="AK420" i="1"/>
  <c r="AF420" i="1"/>
  <c r="AJ420" i="1"/>
  <c r="AI420" i="1"/>
  <c r="AG420" i="1"/>
  <c r="AE420" i="1"/>
  <c r="AG312" i="1"/>
  <c r="AC312" i="1"/>
  <c r="AN312" i="1"/>
  <c r="AM312" i="1"/>
  <c r="AL312" i="1"/>
  <c r="AK312" i="1"/>
  <c r="AF312" i="1"/>
  <c r="AJ312" i="1"/>
  <c r="AI312" i="1"/>
  <c r="AE312" i="1"/>
  <c r="AI194" i="1"/>
  <c r="AC194" i="1"/>
  <c r="AN194" i="1"/>
  <c r="AM194" i="1"/>
  <c r="AL194" i="1"/>
  <c r="AK194" i="1"/>
  <c r="AF194" i="1"/>
  <c r="AJ194" i="1"/>
  <c r="AH194" i="1"/>
  <c r="AG194" i="1"/>
  <c r="AE194" i="1"/>
  <c r="AJ283" i="1"/>
  <c r="AC283" i="1"/>
  <c r="AN283" i="1"/>
  <c r="AM283" i="1"/>
  <c r="AL283" i="1"/>
  <c r="AK283" i="1"/>
  <c r="AF283" i="1"/>
  <c r="AI283" i="1"/>
  <c r="AH283" i="1"/>
  <c r="AG283" i="1"/>
  <c r="AC259" i="1"/>
  <c r="AN259" i="1"/>
  <c r="AM259" i="1"/>
  <c r="AL259" i="1"/>
  <c r="AK259" i="1"/>
  <c r="AF259" i="1"/>
  <c r="AJ259" i="1"/>
  <c r="AI259" i="1"/>
  <c r="AH259" i="1"/>
  <c r="AG259" i="1"/>
  <c r="AE259" i="1"/>
  <c r="AH412" i="1"/>
  <c r="AC412" i="1"/>
  <c r="AN412" i="1"/>
  <c r="AM412" i="1"/>
  <c r="AL412" i="1"/>
  <c r="AK412" i="1"/>
  <c r="AF412" i="1"/>
  <c r="AJ412" i="1"/>
  <c r="AI412" i="1"/>
  <c r="AG412" i="1"/>
  <c r="AE412" i="1"/>
  <c r="AN423" i="1"/>
  <c r="AG423" i="1"/>
  <c r="AC423" i="1"/>
  <c r="AM423" i="1"/>
  <c r="AL423" i="1"/>
  <c r="AK423" i="1"/>
  <c r="AF423" i="1"/>
  <c r="AJ423" i="1"/>
  <c r="AI423" i="1"/>
  <c r="AH423" i="1"/>
  <c r="AE423" i="1"/>
  <c r="AM427" i="1"/>
  <c r="AC427" i="1"/>
  <c r="AN427" i="1"/>
  <c r="AL427" i="1"/>
  <c r="AK427" i="1"/>
  <c r="AF427" i="1"/>
  <c r="AJ427" i="1"/>
  <c r="AI427" i="1"/>
  <c r="AG427" i="1"/>
  <c r="AE427" i="1"/>
  <c r="AI272" i="1"/>
  <c r="AC272" i="1"/>
  <c r="AN272" i="1"/>
  <c r="AM272" i="1"/>
  <c r="AL272" i="1"/>
  <c r="AK272" i="1"/>
  <c r="AF272" i="1"/>
  <c r="AJ272" i="1"/>
  <c r="AH272" i="1"/>
  <c r="AG272" i="1"/>
  <c r="AE272" i="1"/>
  <c r="AJ287" i="1"/>
  <c r="AH287" i="1"/>
  <c r="AC287" i="1"/>
  <c r="AN287" i="1"/>
  <c r="AM287" i="1"/>
  <c r="AL287" i="1"/>
  <c r="AK287" i="1"/>
  <c r="AF287" i="1"/>
  <c r="AI287" i="1"/>
  <c r="AG287" i="1"/>
  <c r="AI426" i="1"/>
  <c r="AC426" i="1"/>
  <c r="AN426" i="1"/>
  <c r="AM426" i="1"/>
  <c r="AL426" i="1"/>
  <c r="AK426" i="1"/>
  <c r="AF426" i="1"/>
  <c r="AJ426" i="1"/>
  <c r="AH426" i="1"/>
  <c r="AG426" i="1"/>
  <c r="AE426" i="1"/>
  <c r="AI310" i="1"/>
  <c r="AH310" i="1"/>
  <c r="AC310" i="1"/>
  <c r="AN310" i="1"/>
  <c r="AM310" i="1"/>
  <c r="AL310" i="1"/>
  <c r="AK310" i="1"/>
  <c r="AF310" i="1"/>
  <c r="AJ310" i="1"/>
  <c r="AG310" i="1"/>
  <c r="AE310" i="1"/>
  <c r="AH384" i="1"/>
  <c r="AG384" i="1"/>
  <c r="AC384" i="1"/>
  <c r="AN384" i="1"/>
  <c r="AM384" i="1"/>
  <c r="AL384" i="1"/>
  <c r="AK384" i="1"/>
  <c r="AF384" i="1"/>
  <c r="AJ384" i="1"/>
  <c r="AI384" i="1"/>
  <c r="AE384" i="1"/>
  <c r="AG145" i="1"/>
  <c r="AC145" i="1"/>
  <c r="AN145" i="1"/>
  <c r="AM145" i="1"/>
  <c r="AL145" i="1"/>
  <c r="AK145" i="1"/>
  <c r="AF145" i="1"/>
  <c r="AJ145" i="1"/>
  <c r="AI145" i="1"/>
  <c r="AH145" i="1"/>
  <c r="AE145" i="1"/>
  <c r="AC396" i="1"/>
  <c r="AN396" i="1"/>
  <c r="AM396" i="1"/>
  <c r="AL396" i="1"/>
  <c r="AK396" i="1"/>
  <c r="AF396" i="1"/>
  <c r="AJ396" i="1"/>
  <c r="AI396" i="1"/>
  <c r="AH396" i="1"/>
  <c r="AG396" i="1"/>
  <c r="AE396" i="1"/>
  <c r="AJ363" i="1"/>
  <c r="AC363" i="1"/>
  <c r="AN363" i="1"/>
  <c r="AM363" i="1"/>
  <c r="AL363" i="1"/>
  <c r="AK363" i="1"/>
  <c r="AF363" i="1"/>
  <c r="AI363" i="1"/>
  <c r="AH363" i="1"/>
  <c r="AG363" i="1"/>
  <c r="AJ408" i="1"/>
  <c r="AC408" i="1"/>
  <c r="AN408" i="1"/>
  <c r="AM408" i="1"/>
  <c r="AL408" i="1"/>
  <c r="AK408" i="1"/>
  <c r="AF408" i="1"/>
  <c r="AI408" i="1"/>
  <c r="AH408" i="1"/>
  <c r="AG408" i="1"/>
  <c r="AE408" i="1"/>
  <c r="AH430" i="1"/>
  <c r="AC430" i="1"/>
  <c r="AN430" i="1"/>
  <c r="AM430" i="1"/>
  <c r="AL430" i="1"/>
  <c r="AK430" i="1"/>
  <c r="AF430" i="1"/>
  <c r="AJ430" i="1"/>
  <c r="AI430" i="1"/>
  <c r="AG430" i="1"/>
  <c r="AE430" i="1"/>
  <c r="AG385" i="1"/>
  <c r="AC385" i="1"/>
  <c r="AN385" i="1"/>
  <c r="AM385" i="1"/>
  <c r="AL385" i="1"/>
  <c r="AK385" i="1"/>
  <c r="AF385" i="1"/>
  <c r="AJ385" i="1"/>
  <c r="AI385" i="1"/>
  <c r="AH385" i="1"/>
  <c r="AE385" i="1"/>
  <c r="AJ277" i="1"/>
  <c r="AC277" i="1"/>
  <c r="AN277" i="1"/>
  <c r="AM277" i="1"/>
  <c r="AL277" i="1"/>
  <c r="AK277" i="1"/>
  <c r="AF277" i="1"/>
  <c r="AI277" i="1"/>
  <c r="AH277" i="1"/>
  <c r="AE277" i="1"/>
  <c r="AC392" i="1"/>
  <c r="AN392" i="1"/>
  <c r="AM392" i="1"/>
  <c r="AL392" i="1"/>
  <c r="AK392" i="1"/>
  <c r="AF392" i="1"/>
  <c r="AJ392" i="1"/>
  <c r="AI392" i="1"/>
  <c r="AH392" i="1"/>
  <c r="AG392" i="1"/>
  <c r="AK296" i="1"/>
  <c r="AH296" i="1"/>
  <c r="AC296" i="1"/>
  <c r="AN296" i="1"/>
  <c r="AM296" i="1"/>
  <c r="AL296" i="1"/>
  <c r="AF296" i="1"/>
  <c r="AJ296" i="1"/>
  <c r="AI296" i="1"/>
  <c r="AG296" i="1"/>
  <c r="AE296" i="1"/>
  <c r="AI405" i="1"/>
  <c r="AC405" i="1"/>
  <c r="AN405" i="1"/>
  <c r="AM405" i="1"/>
  <c r="AL405" i="1"/>
  <c r="AK405" i="1"/>
  <c r="AF405" i="1"/>
  <c r="AJ405" i="1"/>
  <c r="AH405" i="1"/>
  <c r="AG405" i="1"/>
  <c r="AE405" i="1"/>
  <c r="AH308" i="1"/>
  <c r="AC308" i="1"/>
  <c r="AN308" i="1"/>
  <c r="AM308" i="1"/>
  <c r="AL308" i="1"/>
  <c r="AK308" i="1"/>
  <c r="AF308" i="1"/>
  <c r="AJ308" i="1"/>
  <c r="AI308" i="1"/>
  <c r="AG308" i="1"/>
  <c r="AE308" i="1"/>
  <c r="AN299" i="1"/>
  <c r="AG299" i="1"/>
  <c r="AC299" i="1"/>
  <c r="AM299" i="1"/>
  <c r="AL299" i="1"/>
  <c r="AK299" i="1"/>
  <c r="AF299" i="1"/>
  <c r="AJ299" i="1"/>
  <c r="AI299" i="1"/>
  <c r="AH299" i="1"/>
  <c r="AE299" i="1"/>
  <c r="AG180" i="1"/>
  <c r="AC180" i="1"/>
  <c r="AN180" i="1"/>
  <c r="AM180" i="1"/>
  <c r="AL180" i="1"/>
  <c r="AK180" i="1"/>
  <c r="AF180" i="1"/>
  <c r="AJ180" i="1"/>
  <c r="AI180" i="1"/>
  <c r="AH180" i="1"/>
  <c r="AE180" i="1"/>
  <c r="AC374" i="1"/>
  <c r="AN374" i="1"/>
  <c r="AM374" i="1"/>
  <c r="AL374" i="1"/>
  <c r="AK374" i="1"/>
  <c r="AF374" i="1"/>
  <c r="AJ374" i="1"/>
  <c r="AI374" i="1"/>
  <c r="AH374" i="1"/>
  <c r="AG374" i="1"/>
  <c r="AJ307" i="1"/>
  <c r="AH307" i="1"/>
  <c r="AC307" i="1"/>
  <c r="AN307" i="1"/>
  <c r="AM307" i="1"/>
  <c r="AL307" i="1"/>
  <c r="AK307" i="1"/>
  <c r="AF307" i="1"/>
  <c r="AI307" i="1"/>
  <c r="AG307" i="1"/>
  <c r="AC359" i="1"/>
  <c r="AN359" i="1"/>
  <c r="AM359" i="1"/>
  <c r="AL359" i="1"/>
  <c r="AK359" i="1"/>
  <c r="AF359" i="1"/>
  <c r="AJ359" i="1"/>
  <c r="AI359" i="1"/>
  <c r="AH359" i="1"/>
  <c r="AG359" i="1"/>
  <c r="AE359" i="1"/>
  <c r="AG294" i="1"/>
  <c r="AC294" i="1"/>
  <c r="AN294" i="1"/>
  <c r="AM294" i="1"/>
  <c r="AL294" i="1"/>
  <c r="AK294" i="1"/>
  <c r="AF294" i="1"/>
  <c r="AJ294" i="1"/>
  <c r="AI294" i="1"/>
  <c r="AH294" i="1"/>
  <c r="AE294" i="1"/>
  <c r="AC370" i="1"/>
  <c r="AN370" i="1"/>
  <c r="AM370" i="1"/>
  <c r="AL370" i="1"/>
  <c r="AK370" i="1"/>
  <c r="AF370" i="1"/>
  <c r="AJ370" i="1"/>
  <c r="AI370" i="1"/>
  <c r="AH370" i="1"/>
  <c r="AG370" i="1"/>
  <c r="AC432" i="1"/>
  <c r="AN432" i="1"/>
  <c r="AM432" i="1"/>
  <c r="AL432" i="1"/>
  <c r="AK432" i="1"/>
  <c r="AF432" i="1"/>
  <c r="AJ432" i="1"/>
  <c r="AI432" i="1"/>
  <c r="AH432" i="1"/>
  <c r="AG432" i="1"/>
  <c r="AE432" i="1"/>
  <c r="AC303" i="1"/>
  <c r="AN303" i="1"/>
  <c r="AM303" i="1"/>
  <c r="AL303" i="1"/>
  <c r="AK303" i="1"/>
  <c r="AF303" i="1"/>
  <c r="AJ303" i="1"/>
  <c r="AI303" i="1"/>
  <c r="AH303" i="1"/>
  <c r="AG303" i="1"/>
  <c r="AE303" i="1"/>
  <c r="AC289" i="1"/>
  <c r="AN289" i="1"/>
  <c r="AM289" i="1"/>
  <c r="AL289" i="1"/>
  <c r="AK289" i="1"/>
  <c r="AF289" i="1"/>
  <c r="AJ289" i="1"/>
  <c r="AI289" i="1"/>
  <c r="AH289" i="1"/>
  <c r="AG289" i="1"/>
  <c r="AE289" i="1"/>
  <c r="AH394" i="1"/>
  <c r="AC394" i="1"/>
  <c r="AN394" i="1"/>
  <c r="AM394" i="1"/>
  <c r="AL394" i="1"/>
  <c r="AK394" i="1"/>
  <c r="AF394" i="1"/>
  <c r="AJ394" i="1"/>
  <c r="AG394" i="1"/>
  <c r="AE394" i="1"/>
  <c r="AI381" i="1"/>
  <c r="AG381" i="1"/>
  <c r="AC381" i="1"/>
  <c r="AN381" i="1"/>
  <c r="AM381" i="1"/>
  <c r="AL381" i="1"/>
  <c r="AK381" i="1"/>
  <c r="AF381" i="1"/>
  <c r="AJ381" i="1"/>
  <c r="AH381" i="1"/>
  <c r="AE381" i="1"/>
  <c r="AC433" i="1"/>
  <c r="AD433" i="1" s="1"/>
  <c r="AO433" i="1" s="1"/>
  <c r="AN433" i="1"/>
  <c r="AM433" i="1"/>
  <c r="AL433" i="1"/>
  <c r="AK433" i="1"/>
  <c r="AF433" i="1"/>
  <c r="AJ433" i="1"/>
  <c r="AI433" i="1"/>
  <c r="AH433" i="1"/>
  <c r="AG433" i="1"/>
  <c r="AC403" i="1"/>
  <c r="AN403" i="1"/>
  <c r="AM403" i="1"/>
  <c r="AL403" i="1"/>
  <c r="AK403" i="1"/>
  <c r="AF403" i="1"/>
  <c r="AJ403" i="1"/>
  <c r="AI403" i="1"/>
  <c r="AH403" i="1"/>
  <c r="AG403" i="1"/>
  <c r="AE403" i="1"/>
  <c r="AJ399" i="1"/>
  <c r="AC399" i="1"/>
  <c r="AN399" i="1"/>
  <c r="AM399" i="1"/>
  <c r="AL399" i="1"/>
  <c r="AK399" i="1"/>
  <c r="AF399" i="1"/>
  <c r="AI399" i="1"/>
  <c r="AH399" i="1"/>
  <c r="AG399" i="1"/>
  <c r="AE399" i="1"/>
  <c r="AC302" i="1"/>
  <c r="AN302" i="1"/>
  <c r="AM302" i="1"/>
  <c r="AL302" i="1"/>
  <c r="AK302" i="1"/>
  <c r="AF302" i="1"/>
  <c r="AJ302" i="1"/>
  <c r="AI302" i="1"/>
  <c r="AH302" i="1"/>
  <c r="AG302" i="1"/>
  <c r="AE302" i="1"/>
  <c r="AH367" i="1"/>
  <c r="AC367" i="1"/>
  <c r="AN367" i="1"/>
  <c r="AM367" i="1"/>
  <c r="AL367" i="1"/>
  <c r="AK367" i="1"/>
  <c r="AF367" i="1"/>
  <c r="AJ367" i="1"/>
  <c r="AI367" i="1"/>
  <c r="AG367" i="1"/>
  <c r="AE367" i="1"/>
  <c r="AG298" i="1"/>
  <c r="AC298" i="1"/>
  <c r="AN298" i="1"/>
  <c r="AM298" i="1"/>
  <c r="AL298" i="1"/>
  <c r="AK298" i="1"/>
  <c r="AF298" i="1"/>
  <c r="AJ298" i="1"/>
  <c r="AI298" i="1"/>
  <c r="AH298" i="1"/>
  <c r="AE298" i="1"/>
  <c r="AC313" i="1"/>
  <c r="AN313" i="1"/>
  <c r="AM313" i="1"/>
  <c r="AL313" i="1"/>
  <c r="AK313" i="1"/>
  <c r="AF313" i="1"/>
  <c r="AJ313" i="1"/>
  <c r="AI313" i="1"/>
  <c r="AH313" i="1"/>
  <c r="AE313" i="1"/>
  <c r="AC311" i="1"/>
  <c r="AN311" i="1"/>
  <c r="AM311" i="1"/>
  <c r="AL311" i="1"/>
  <c r="AK311" i="1"/>
  <c r="AF311" i="1"/>
  <c r="AJ311" i="1"/>
  <c r="AI311" i="1"/>
  <c r="AH311" i="1"/>
  <c r="AG311" i="1"/>
  <c r="AE311" i="1"/>
  <c r="AJ154" i="1"/>
  <c r="AC154" i="1"/>
  <c r="AN154" i="1"/>
  <c r="AM154" i="1"/>
  <c r="AL154" i="1"/>
  <c r="AK154" i="1"/>
  <c r="AF154" i="1"/>
  <c r="AI154" i="1"/>
  <c r="AH154" i="1"/>
  <c r="AG154" i="1"/>
  <c r="AE154" i="1"/>
  <c r="AC161" i="1"/>
  <c r="AN161" i="1"/>
  <c r="AM161" i="1"/>
  <c r="AL161" i="1"/>
  <c r="AK161" i="1"/>
  <c r="AF161" i="1"/>
  <c r="AJ161" i="1"/>
  <c r="AI161" i="1"/>
  <c r="AH161" i="1"/>
  <c r="AG161" i="1"/>
  <c r="AE161" i="1"/>
  <c r="AC328" i="1"/>
  <c r="AN328" i="1"/>
  <c r="AM328" i="1"/>
  <c r="AL328" i="1"/>
  <c r="AK328" i="1"/>
  <c r="AF328" i="1"/>
  <c r="AJ328" i="1"/>
  <c r="AI328" i="1"/>
  <c r="AH328" i="1"/>
  <c r="AG328" i="1"/>
  <c r="AE328" i="1"/>
  <c r="AC182" i="1"/>
  <c r="AN182" i="1"/>
  <c r="AM182" i="1"/>
  <c r="AL182" i="1"/>
  <c r="AK182" i="1"/>
  <c r="AF182" i="1"/>
  <c r="AJ182" i="1"/>
  <c r="AI182" i="1"/>
  <c r="AH182" i="1"/>
  <c r="AG182" i="1"/>
  <c r="AE182" i="1"/>
  <c r="AC380" i="1"/>
  <c r="AD380" i="1" s="1"/>
  <c r="AN380" i="1"/>
  <c r="AM380" i="1"/>
  <c r="AL380" i="1"/>
  <c r="AK380" i="1"/>
  <c r="AF380" i="1"/>
  <c r="AJ380" i="1"/>
  <c r="AI380" i="1"/>
  <c r="AH380" i="1"/>
  <c r="AE380" i="1"/>
  <c r="AC388" i="1"/>
  <c r="AN388" i="1"/>
  <c r="AM388" i="1"/>
  <c r="AL388" i="1"/>
  <c r="AK388" i="1"/>
  <c r="AF388" i="1"/>
  <c r="AJ388" i="1"/>
  <c r="AI388" i="1"/>
  <c r="AH388" i="1"/>
  <c r="AG388" i="1"/>
  <c r="AE388" i="1"/>
  <c r="AC331" i="1"/>
  <c r="AN331" i="1"/>
  <c r="AM331" i="1"/>
  <c r="AL331" i="1"/>
  <c r="AK331" i="1"/>
  <c r="AF331" i="1"/>
  <c r="AJ331" i="1"/>
  <c r="AI331" i="1"/>
  <c r="AH331" i="1"/>
  <c r="AG331" i="1"/>
  <c r="AE331" i="1"/>
  <c r="AC151" i="1"/>
  <c r="AN151" i="1"/>
  <c r="AM151" i="1"/>
  <c r="AL151" i="1"/>
  <c r="AK151" i="1"/>
  <c r="AF151" i="1"/>
  <c r="AJ151" i="1"/>
  <c r="AI151" i="1"/>
  <c r="AH151" i="1"/>
  <c r="AG151" i="1"/>
  <c r="AE151" i="1"/>
  <c r="AC318" i="1"/>
  <c r="AN318" i="1"/>
  <c r="AM318" i="1"/>
  <c r="AL318" i="1"/>
  <c r="AK318" i="1"/>
  <c r="AF318" i="1"/>
  <c r="AJ318" i="1"/>
  <c r="AI318" i="1"/>
  <c r="AH318" i="1"/>
  <c r="AG318" i="1"/>
  <c r="AE318" i="1"/>
  <c r="AC301" i="1"/>
  <c r="AN301" i="1"/>
  <c r="AM301" i="1"/>
  <c r="AL301" i="1"/>
  <c r="AK301" i="1"/>
  <c r="AF301" i="1"/>
  <c r="AJ301" i="1"/>
  <c r="AI301" i="1"/>
  <c r="AG301" i="1"/>
  <c r="AE301" i="1"/>
  <c r="AC336" i="1"/>
  <c r="AD336" i="1" s="1"/>
  <c r="AO336" i="1" s="1"/>
  <c r="AN336" i="1"/>
  <c r="AM336" i="1"/>
  <c r="AL336" i="1"/>
  <c r="AK336" i="1"/>
  <c r="AF336" i="1"/>
  <c r="AJ336" i="1"/>
  <c r="AI336" i="1"/>
  <c r="AH336" i="1"/>
  <c r="AE336" i="1"/>
  <c r="AC171" i="1"/>
  <c r="AN171" i="1"/>
  <c r="AM171" i="1"/>
  <c r="AL171" i="1"/>
  <c r="AK171" i="1"/>
  <c r="AF171" i="1"/>
  <c r="AJ171" i="1"/>
  <c r="AI171" i="1"/>
  <c r="AH171" i="1"/>
  <c r="AG171" i="1"/>
  <c r="AE171" i="1"/>
  <c r="AC439" i="1"/>
  <c r="AN439" i="1"/>
  <c r="AM439" i="1"/>
  <c r="AL439" i="1"/>
  <c r="AK439" i="1"/>
  <c r="AF439" i="1"/>
  <c r="AJ439" i="1"/>
  <c r="AI439" i="1"/>
  <c r="AH439" i="1"/>
  <c r="AG439" i="1"/>
  <c r="AE439" i="1"/>
  <c r="AC387" i="1"/>
  <c r="AN387" i="1"/>
  <c r="AM387" i="1"/>
  <c r="AL387" i="1"/>
  <c r="AK387" i="1"/>
  <c r="AF387" i="1"/>
  <c r="AJ387" i="1"/>
  <c r="AI387" i="1"/>
  <c r="AH387" i="1"/>
  <c r="AG387" i="1"/>
  <c r="AE387" i="1"/>
  <c r="AC186" i="1"/>
  <c r="AN186" i="1"/>
  <c r="AM186" i="1"/>
  <c r="AL186" i="1"/>
  <c r="AK186" i="1"/>
  <c r="AF186" i="1"/>
  <c r="AJ186" i="1"/>
  <c r="AI186" i="1"/>
  <c r="AH186" i="1"/>
  <c r="AG186" i="1"/>
  <c r="AE186" i="1"/>
  <c r="AC413" i="1"/>
  <c r="AN413" i="1"/>
  <c r="AM413" i="1"/>
  <c r="AL413" i="1"/>
  <c r="AK413" i="1"/>
  <c r="AF413" i="1"/>
  <c r="AJ413" i="1"/>
  <c r="AI413" i="1"/>
  <c r="AH413" i="1"/>
  <c r="AG413" i="1"/>
  <c r="AE413" i="1"/>
  <c r="AC390" i="1"/>
  <c r="AN390" i="1"/>
  <c r="AM390" i="1"/>
  <c r="AL390" i="1"/>
  <c r="AK390" i="1"/>
  <c r="AF390" i="1"/>
  <c r="AJ390" i="1"/>
  <c r="AI390" i="1"/>
  <c r="AH390" i="1"/>
  <c r="AE390" i="1"/>
  <c r="AC184" i="1"/>
  <c r="AN184" i="1"/>
  <c r="AM184" i="1"/>
  <c r="AL184" i="1"/>
  <c r="AK184" i="1"/>
  <c r="AF184" i="1"/>
  <c r="AJ184" i="1"/>
  <c r="AI184" i="1"/>
  <c r="AH184" i="1"/>
  <c r="AG184" i="1"/>
  <c r="AJ357" i="1"/>
  <c r="AC357" i="1"/>
  <c r="AN357" i="1"/>
  <c r="AM357" i="1"/>
  <c r="AL357" i="1"/>
  <c r="AK357" i="1"/>
  <c r="AF357" i="1"/>
  <c r="AI357" i="1"/>
  <c r="AH357" i="1"/>
  <c r="AG357" i="1"/>
  <c r="AE357" i="1"/>
  <c r="AI170" i="1"/>
  <c r="AC170" i="1"/>
  <c r="AN170" i="1"/>
  <c r="AM170" i="1"/>
  <c r="AL170" i="1"/>
  <c r="AK170" i="1"/>
  <c r="AF170" i="1"/>
  <c r="AJ170" i="1"/>
  <c r="AH170" i="1"/>
  <c r="AG170" i="1"/>
  <c r="AE170" i="1"/>
  <c r="AK409" i="1"/>
  <c r="AH409" i="1"/>
  <c r="AC409" i="1"/>
  <c r="AN409" i="1"/>
  <c r="AM409" i="1"/>
  <c r="AL409" i="1"/>
  <c r="AF409" i="1"/>
  <c r="AJ409" i="1"/>
  <c r="AI409" i="1"/>
  <c r="AG409" i="1"/>
  <c r="AE409" i="1"/>
  <c r="AJ443" i="1"/>
  <c r="AC443" i="1"/>
  <c r="AN443" i="1"/>
  <c r="AM443" i="1"/>
  <c r="AL443" i="1"/>
  <c r="AK443" i="1"/>
  <c r="AF443" i="1"/>
  <c r="AI443" i="1"/>
  <c r="AH443" i="1"/>
  <c r="AG443" i="1"/>
  <c r="AE443" i="1"/>
  <c r="AG445" i="1"/>
  <c r="AC445" i="1"/>
  <c r="AN445" i="1"/>
  <c r="AM445" i="1"/>
  <c r="AL445" i="1"/>
  <c r="AK445" i="1"/>
  <c r="AF445" i="1"/>
  <c r="AJ445" i="1"/>
  <c r="AI445" i="1"/>
  <c r="AH445" i="1"/>
  <c r="AE445" i="1"/>
  <c r="AJ321" i="1"/>
  <c r="AC321" i="1"/>
  <c r="AD321" i="1" s="1"/>
  <c r="AO321" i="1" s="1"/>
  <c r="AN321" i="1"/>
  <c r="AM321" i="1"/>
  <c r="AL321" i="1"/>
  <c r="AK321" i="1"/>
  <c r="AF321" i="1"/>
  <c r="AH321" i="1"/>
  <c r="AG321" i="1"/>
  <c r="AE321" i="1"/>
  <c r="AI369" i="1"/>
  <c r="AG369" i="1"/>
  <c r="AC369" i="1"/>
  <c r="AN369" i="1"/>
  <c r="AM369" i="1"/>
  <c r="AL369" i="1"/>
  <c r="AK369" i="1"/>
  <c r="AF369" i="1"/>
  <c r="AJ369" i="1"/>
  <c r="AH369" i="1"/>
  <c r="AE369" i="1"/>
  <c r="AJ446" i="1"/>
  <c r="AC446" i="1"/>
  <c r="AD446" i="1" s="1"/>
  <c r="AO446" i="1" s="1"/>
  <c r="AN446" i="1"/>
  <c r="AM446" i="1"/>
  <c r="AL446" i="1"/>
  <c r="AK446" i="1"/>
  <c r="AF446" i="1"/>
  <c r="AI446" i="1"/>
  <c r="AH446" i="1"/>
  <c r="AE446" i="1"/>
  <c r="AG444" i="1"/>
  <c r="AC444" i="1"/>
  <c r="AN444" i="1"/>
  <c r="AM444" i="1"/>
  <c r="AL444" i="1"/>
  <c r="AK444" i="1"/>
  <c r="AF444" i="1"/>
  <c r="AJ444" i="1"/>
  <c r="AI444" i="1"/>
  <c r="AH444" i="1"/>
  <c r="AE444" i="1"/>
  <c r="AC440" i="1"/>
  <c r="AN440" i="1"/>
  <c r="AM440" i="1"/>
  <c r="AL440" i="1"/>
  <c r="AK440" i="1"/>
  <c r="AF440" i="1"/>
  <c r="AJ440" i="1"/>
  <c r="AI440" i="1"/>
  <c r="AH440" i="1"/>
  <c r="AG440" i="1"/>
  <c r="AE440" i="1"/>
  <c r="AI204" i="1"/>
  <c r="AC204" i="1"/>
  <c r="AN204" i="1"/>
  <c r="AM204" i="1"/>
  <c r="AL204" i="1"/>
  <c r="AK204" i="1"/>
  <c r="AF204" i="1"/>
  <c r="AJ204" i="1"/>
  <c r="AH204" i="1"/>
  <c r="AG204" i="1"/>
  <c r="AE204" i="1"/>
  <c r="AC309" i="1"/>
  <c r="AN309" i="1"/>
  <c r="AM309" i="1"/>
  <c r="AL309" i="1"/>
  <c r="AK309" i="1"/>
  <c r="AF309" i="1"/>
  <c r="AJ309" i="1"/>
  <c r="AI309" i="1"/>
  <c r="AH309" i="1"/>
  <c r="AG309" i="1"/>
  <c r="AE309" i="1"/>
  <c r="AG208" i="1"/>
  <c r="AC208" i="1"/>
  <c r="AN208" i="1"/>
  <c r="AM208" i="1"/>
  <c r="AL208" i="1"/>
  <c r="AK208" i="1"/>
  <c r="AF208" i="1"/>
  <c r="AJ208" i="1"/>
  <c r="AI208" i="1"/>
  <c r="AH208" i="1"/>
  <c r="AE208" i="1"/>
  <c r="AH174" i="1"/>
  <c r="AC174" i="1"/>
  <c r="AN174" i="1"/>
  <c r="AM174" i="1"/>
  <c r="AL174" i="1"/>
  <c r="AK174" i="1"/>
  <c r="AF174" i="1"/>
  <c r="AJ174" i="1"/>
  <c r="AI174" i="1"/>
  <c r="AE174" i="1"/>
  <c r="AG162" i="1"/>
  <c r="AC162" i="1"/>
  <c r="AN162" i="1"/>
  <c r="AM162" i="1"/>
  <c r="AL162" i="1"/>
  <c r="AK162" i="1"/>
  <c r="AF162" i="1"/>
  <c r="AJ162" i="1"/>
  <c r="AI162" i="1"/>
  <c r="AH162" i="1"/>
  <c r="AE162" i="1"/>
  <c r="AJ341" i="1"/>
  <c r="AC341" i="1"/>
  <c r="AN341" i="1"/>
  <c r="AM341" i="1"/>
  <c r="AL341" i="1"/>
  <c r="AK341" i="1"/>
  <c r="AF341" i="1"/>
  <c r="AI341" i="1"/>
  <c r="AH341" i="1"/>
  <c r="AG341" i="1"/>
  <c r="AE341" i="1"/>
  <c r="AG324" i="1"/>
  <c r="AC324" i="1"/>
  <c r="AN324" i="1"/>
  <c r="AM324" i="1"/>
  <c r="AL324" i="1"/>
  <c r="AK324" i="1"/>
  <c r="AF324" i="1"/>
  <c r="AJ324" i="1"/>
  <c r="AI324" i="1"/>
  <c r="AH324" i="1"/>
  <c r="AE324" i="1"/>
  <c r="AH442" i="1"/>
  <c r="AC442" i="1"/>
  <c r="AN442" i="1"/>
  <c r="AM442" i="1"/>
  <c r="AL442" i="1"/>
  <c r="AK442" i="1"/>
  <c r="AF442" i="1"/>
  <c r="AJ442" i="1"/>
  <c r="AI442" i="1"/>
  <c r="AG442" i="1"/>
  <c r="AE442" i="1"/>
  <c r="AI320" i="1"/>
  <c r="AG320" i="1"/>
  <c r="AC320" i="1"/>
  <c r="AN320" i="1"/>
  <c r="AM320" i="1"/>
  <c r="AL320" i="1"/>
  <c r="AK320" i="1"/>
  <c r="AF320" i="1"/>
  <c r="AJ320" i="1"/>
  <c r="AH320" i="1"/>
  <c r="AE320" i="1"/>
  <c r="AC419" i="1"/>
  <c r="AN419" i="1"/>
  <c r="AM419" i="1"/>
  <c r="AL419" i="1"/>
  <c r="AK419" i="1"/>
  <c r="AF419" i="1"/>
  <c r="AJ419" i="1"/>
  <c r="AI419" i="1"/>
  <c r="AH419" i="1"/>
  <c r="AE419" i="1"/>
  <c r="AC327" i="1"/>
  <c r="AN327" i="1"/>
  <c r="AM327" i="1"/>
  <c r="AL327" i="1"/>
  <c r="AK327" i="1"/>
  <c r="AF327" i="1"/>
  <c r="AJ327" i="1"/>
  <c r="AI327" i="1"/>
  <c r="AH327" i="1"/>
  <c r="AG327" i="1"/>
  <c r="AE327" i="1"/>
  <c r="AH334" i="1"/>
  <c r="AC334" i="1"/>
  <c r="AN334" i="1"/>
  <c r="AM334" i="1"/>
  <c r="AL334" i="1"/>
  <c r="AK334" i="1"/>
  <c r="AF334" i="1"/>
  <c r="AJ334" i="1"/>
  <c r="AI334" i="1"/>
  <c r="AG334" i="1"/>
  <c r="AE334" i="1"/>
  <c r="AI447" i="1"/>
  <c r="AC447" i="1"/>
  <c r="AN447" i="1"/>
  <c r="AM447" i="1"/>
  <c r="AL447" i="1"/>
  <c r="AK447" i="1"/>
  <c r="AF447" i="1"/>
  <c r="AJ447" i="1"/>
  <c r="AH447" i="1"/>
  <c r="AG447" i="1"/>
  <c r="AE447" i="1"/>
  <c r="AC448" i="1"/>
  <c r="AN448" i="1"/>
  <c r="AM448" i="1"/>
  <c r="AL448" i="1"/>
  <c r="AK448" i="1"/>
  <c r="AF448" i="1"/>
  <c r="AJ448" i="1"/>
  <c r="AI448" i="1"/>
  <c r="AH448" i="1"/>
  <c r="AE448" i="1"/>
  <c r="AI238" i="1"/>
  <c r="AE238" i="1"/>
  <c r="AC238" i="1"/>
  <c r="AN238" i="1"/>
  <c r="AM238" i="1"/>
  <c r="AL238" i="1"/>
  <c r="AK238" i="1"/>
  <c r="AF238" i="1"/>
  <c r="AJ238" i="1"/>
  <c r="AH238" i="1"/>
  <c r="AG238" i="1"/>
  <c r="AH216" i="1"/>
  <c r="AC216" i="1"/>
  <c r="AN216" i="1"/>
  <c r="AM216" i="1"/>
  <c r="AL216" i="1"/>
  <c r="AK216" i="1"/>
  <c r="AF216" i="1"/>
  <c r="AJ216" i="1"/>
  <c r="AI216" i="1"/>
  <c r="AG216" i="1"/>
  <c r="AE216" i="1"/>
  <c r="AI212" i="1"/>
  <c r="AC212" i="1"/>
  <c r="AN212" i="1"/>
  <c r="AM212" i="1"/>
  <c r="AL212" i="1"/>
  <c r="AK212" i="1"/>
  <c r="AF212" i="1"/>
  <c r="AJ212" i="1"/>
  <c r="AH212" i="1"/>
  <c r="AG212" i="1"/>
  <c r="AE212" i="1"/>
  <c r="AJ193" i="1"/>
  <c r="AH193" i="1"/>
  <c r="AC193" i="1"/>
  <c r="AN193" i="1"/>
  <c r="AM193" i="1"/>
  <c r="AL193" i="1"/>
  <c r="AK193" i="1"/>
  <c r="AF193" i="1"/>
  <c r="AI193" i="1"/>
  <c r="AG193" i="1"/>
  <c r="AE193" i="1"/>
  <c r="AG322" i="1"/>
  <c r="AC322" i="1"/>
  <c r="AN322" i="1"/>
  <c r="AM322" i="1"/>
  <c r="AL322" i="1"/>
  <c r="AK322" i="1"/>
  <c r="AF322" i="1"/>
  <c r="AJ322" i="1"/>
  <c r="AI322" i="1"/>
  <c r="AH322" i="1"/>
  <c r="AE322" i="1"/>
  <c r="AJ375" i="1"/>
  <c r="AC375" i="1"/>
  <c r="AN375" i="1"/>
  <c r="AM375" i="1"/>
  <c r="AL375" i="1"/>
  <c r="AK375" i="1"/>
  <c r="AI375" i="1"/>
  <c r="AH375" i="1"/>
  <c r="AG375" i="1"/>
  <c r="AE375" i="1"/>
  <c r="AK441" i="1"/>
  <c r="AE441" i="1"/>
  <c r="AC441" i="1"/>
  <c r="AN441" i="1"/>
  <c r="AM441" i="1"/>
  <c r="AL441" i="1"/>
  <c r="AF441" i="1"/>
  <c r="AJ441" i="1"/>
  <c r="AI441" i="1"/>
  <c r="AH441" i="1"/>
  <c r="AG441" i="1"/>
  <c r="AN376" i="1"/>
  <c r="AJ376" i="1"/>
  <c r="AH376" i="1"/>
  <c r="AC376" i="1"/>
  <c r="AM376" i="1"/>
  <c r="AL376" i="1"/>
  <c r="AK376" i="1"/>
  <c r="AF376" i="1"/>
  <c r="AI376" i="1"/>
  <c r="AG376" i="1"/>
  <c r="AE376" i="1"/>
  <c r="AI450" i="1"/>
  <c r="AC450" i="1"/>
  <c r="AN450" i="1"/>
  <c r="AM450" i="1"/>
  <c r="AL450" i="1"/>
  <c r="AK450" i="1"/>
  <c r="AF450" i="1"/>
  <c r="AJ450" i="1"/>
  <c r="AH450" i="1"/>
  <c r="AG450" i="1"/>
  <c r="AE450" i="1"/>
  <c r="AL379" i="1"/>
  <c r="AH379" i="1"/>
  <c r="AC379" i="1"/>
  <c r="AN379" i="1"/>
  <c r="AM379" i="1"/>
  <c r="AK379" i="1"/>
  <c r="AF379" i="1"/>
  <c r="AJ379" i="1"/>
  <c r="AI379" i="1"/>
  <c r="AE379" i="1"/>
  <c r="AG315" i="1"/>
  <c r="AC315" i="1"/>
  <c r="AN315" i="1"/>
  <c r="AM315" i="1"/>
  <c r="AL315" i="1"/>
  <c r="AK315" i="1"/>
  <c r="AF315" i="1"/>
  <c r="AJ315" i="1"/>
  <c r="AI315" i="1"/>
  <c r="AH315" i="1"/>
  <c r="AJ226" i="1"/>
  <c r="AC226" i="1"/>
  <c r="AN226" i="1"/>
  <c r="AM226" i="1"/>
  <c r="AL226" i="1"/>
  <c r="AK226" i="1"/>
  <c r="AF226" i="1"/>
  <c r="AI226" i="1"/>
  <c r="AH226" i="1"/>
  <c r="AG226" i="1"/>
  <c r="AE226" i="1"/>
  <c r="AK449" i="1"/>
  <c r="AG449" i="1"/>
  <c r="AC449" i="1"/>
  <c r="AN449" i="1"/>
  <c r="AM449" i="1"/>
  <c r="AL449" i="1"/>
  <c r="AF449" i="1"/>
  <c r="AJ449" i="1"/>
  <c r="AI449" i="1"/>
  <c r="AH449" i="1"/>
  <c r="AC383" i="1"/>
  <c r="AN383" i="1"/>
  <c r="AM383" i="1"/>
  <c r="AL383" i="1"/>
  <c r="AK383" i="1"/>
  <c r="AF383" i="1"/>
  <c r="AJ383" i="1"/>
  <c r="AI383" i="1"/>
  <c r="AH383" i="1"/>
  <c r="AG383" i="1"/>
  <c r="AE383" i="1"/>
  <c r="AG156" i="1"/>
  <c r="AC156" i="1"/>
  <c r="AN156" i="1"/>
  <c r="AM156" i="1"/>
  <c r="AL156" i="1"/>
  <c r="AK156" i="1"/>
  <c r="AF156" i="1"/>
  <c r="AJ156" i="1"/>
  <c r="AI156" i="1"/>
  <c r="AH156" i="1"/>
  <c r="AE156" i="1"/>
  <c r="AJ172" i="1"/>
  <c r="AH172" i="1"/>
  <c r="AC172" i="1"/>
  <c r="AN172" i="1"/>
  <c r="AM172" i="1"/>
  <c r="AL172" i="1"/>
  <c r="AK172" i="1"/>
  <c r="AF172" i="1"/>
  <c r="AI172" i="1"/>
  <c r="AG172" i="1"/>
  <c r="AE172" i="1"/>
  <c r="AM227" i="1"/>
  <c r="AG227" i="1"/>
  <c r="AC227" i="1"/>
  <c r="AN227" i="1"/>
  <c r="AL227" i="1"/>
  <c r="AK227" i="1"/>
  <c r="AF227" i="1"/>
  <c r="AJ227" i="1"/>
  <c r="AI227" i="1"/>
  <c r="AH227" i="1"/>
  <c r="AH198" i="1"/>
  <c r="AC198" i="1"/>
  <c r="AN198" i="1"/>
  <c r="AM198" i="1"/>
  <c r="AL198" i="1"/>
  <c r="AK198" i="1"/>
  <c r="AF198" i="1"/>
  <c r="AJ198" i="1"/>
  <c r="AI198" i="1"/>
  <c r="AG198" i="1"/>
  <c r="AE198" i="1"/>
  <c r="AI352" i="1"/>
  <c r="AG352" i="1"/>
  <c r="AC352" i="1"/>
  <c r="AN352" i="1"/>
  <c r="AM352" i="1"/>
  <c r="AL352" i="1"/>
  <c r="AK352" i="1"/>
  <c r="AF352" i="1"/>
  <c r="AJ352" i="1"/>
  <c r="AH352" i="1"/>
  <c r="AE352" i="1"/>
  <c r="AJ451" i="1"/>
  <c r="AC451" i="1"/>
  <c r="AN451" i="1"/>
  <c r="AM451" i="1"/>
  <c r="AL451" i="1"/>
  <c r="AK451" i="1"/>
  <c r="AF451" i="1"/>
  <c r="AI451" i="1"/>
  <c r="AH451" i="1"/>
  <c r="AG451" i="1"/>
  <c r="AE451" i="1"/>
  <c r="AG400" i="1"/>
  <c r="AC400" i="1"/>
  <c r="AN400" i="1"/>
  <c r="AM400" i="1"/>
  <c r="AL400" i="1"/>
  <c r="AK400" i="1"/>
  <c r="AF400" i="1"/>
  <c r="AJ400" i="1"/>
  <c r="AI400" i="1"/>
  <c r="AH400" i="1"/>
  <c r="AE400" i="1"/>
  <c r="AH345" i="1"/>
  <c r="AC345" i="1"/>
  <c r="AN345" i="1"/>
  <c r="AM345" i="1"/>
  <c r="AL345" i="1"/>
  <c r="AK345" i="1"/>
  <c r="AF345" i="1"/>
  <c r="AJ345" i="1"/>
  <c r="AI345" i="1"/>
  <c r="AG345" i="1"/>
  <c r="AE345" i="1"/>
  <c r="AG239" i="1"/>
  <c r="AC239" i="1"/>
  <c r="AN239" i="1"/>
  <c r="AM239" i="1"/>
  <c r="AL239" i="1"/>
  <c r="AK239" i="1"/>
  <c r="AF239" i="1"/>
  <c r="AJ239" i="1"/>
  <c r="AI239" i="1"/>
  <c r="AH239" i="1"/>
  <c r="AJ213" i="1"/>
  <c r="AH213" i="1"/>
  <c r="AC213" i="1"/>
  <c r="AN213" i="1"/>
  <c r="AM213" i="1"/>
  <c r="AL213" i="1"/>
  <c r="AK213" i="1"/>
  <c r="AF213" i="1"/>
  <c r="AI213" i="1"/>
  <c r="AG213" i="1"/>
  <c r="AE213" i="1"/>
  <c r="AC248" i="1"/>
  <c r="AN248" i="1"/>
  <c r="AM248" i="1"/>
  <c r="AL248" i="1"/>
  <c r="AK248" i="1"/>
  <c r="AF248" i="1"/>
  <c r="AJ248" i="1"/>
  <c r="AI248" i="1"/>
  <c r="AH248" i="1"/>
  <c r="AG248" i="1"/>
  <c r="AE248" i="1"/>
  <c r="AL342" i="1"/>
  <c r="AC342" i="1"/>
  <c r="AN342" i="1"/>
  <c r="AM342" i="1"/>
  <c r="AK342" i="1"/>
  <c r="AF342" i="1"/>
  <c r="AJ342" i="1"/>
  <c r="AI342" i="1"/>
  <c r="AH342" i="1"/>
  <c r="AG342" i="1"/>
  <c r="AE342" i="1"/>
  <c r="AM94" i="1"/>
  <c r="AC94" i="1"/>
  <c r="AN94" i="1"/>
  <c r="AL94" i="1"/>
  <c r="AK94" i="1"/>
  <c r="AF94" i="1"/>
  <c r="AJ94" i="1"/>
  <c r="AI94" i="1"/>
  <c r="AH94" i="1"/>
  <c r="AG94" i="1"/>
  <c r="AE94" i="1"/>
  <c r="AC386" i="1"/>
  <c r="AN386" i="1"/>
  <c r="AM386" i="1"/>
  <c r="AL386" i="1"/>
  <c r="AK386" i="1"/>
  <c r="AF386" i="1"/>
  <c r="AJ386" i="1"/>
  <c r="AI386" i="1"/>
  <c r="AH386" i="1"/>
  <c r="AG386" i="1"/>
  <c r="AI266" i="1"/>
  <c r="AC266" i="1"/>
  <c r="AN266" i="1"/>
  <c r="AM266" i="1"/>
  <c r="AL266" i="1"/>
  <c r="AK266" i="1"/>
  <c r="AF266" i="1"/>
  <c r="AJ266" i="1"/>
  <c r="AH266" i="1"/>
  <c r="AG266" i="1"/>
  <c r="AE266" i="1"/>
  <c r="AH393" i="1"/>
  <c r="AC393" i="1"/>
  <c r="AN393" i="1"/>
  <c r="AM393" i="1"/>
  <c r="AL393" i="1"/>
  <c r="AK393" i="1"/>
  <c r="AF393" i="1"/>
  <c r="AJ393" i="1"/>
  <c r="AI393" i="1"/>
  <c r="AG393" i="1"/>
  <c r="AE393" i="1"/>
  <c r="AN347" i="1"/>
  <c r="AG347" i="1"/>
  <c r="AC347" i="1"/>
  <c r="AM347" i="1"/>
  <c r="AL347" i="1"/>
  <c r="AK347" i="1"/>
  <c r="AF347" i="1"/>
  <c r="AJ347" i="1"/>
  <c r="AI347" i="1"/>
  <c r="AH347" i="1"/>
  <c r="AE347" i="1"/>
  <c r="AG252" i="1"/>
  <c r="AC252" i="1"/>
  <c r="AN252" i="1"/>
  <c r="AM252" i="1"/>
  <c r="AL252" i="1"/>
  <c r="AK252" i="1"/>
  <c r="AF252" i="1"/>
  <c r="AJ252" i="1"/>
  <c r="AI252" i="1"/>
  <c r="AH252" i="1"/>
  <c r="AE252" i="1"/>
  <c r="AC362" i="1"/>
  <c r="AN362" i="1"/>
  <c r="AM362" i="1"/>
  <c r="AL362" i="1"/>
  <c r="AK362" i="1"/>
  <c r="AF362" i="1"/>
  <c r="AJ362" i="1"/>
  <c r="AI362" i="1"/>
  <c r="AH362" i="1"/>
  <c r="AG362" i="1"/>
  <c r="AE362" i="1"/>
  <c r="AK257" i="1"/>
  <c r="AC257" i="1"/>
  <c r="AN257" i="1"/>
  <c r="AM257" i="1"/>
  <c r="AL257" i="1"/>
  <c r="AF257" i="1"/>
  <c r="AJ257" i="1"/>
  <c r="AI257" i="1"/>
  <c r="AH257" i="1"/>
  <c r="AG257" i="1"/>
  <c r="AE257" i="1"/>
  <c r="AI330" i="1"/>
  <c r="AC330" i="1"/>
  <c r="AN330" i="1"/>
  <c r="AM330" i="1"/>
  <c r="AL330" i="1"/>
  <c r="AK330" i="1"/>
  <c r="AF330" i="1"/>
  <c r="AJ330" i="1"/>
  <c r="AH330" i="1"/>
  <c r="AG330" i="1"/>
  <c r="AE330" i="1"/>
  <c r="AH264" i="1"/>
  <c r="AC264" i="1"/>
  <c r="AN264" i="1"/>
  <c r="AM264" i="1"/>
  <c r="AL264" i="1"/>
  <c r="AK264" i="1"/>
  <c r="AF264" i="1"/>
  <c r="AJ264" i="1"/>
  <c r="AI264" i="1"/>
  <c r="AG264" i="1"/>
  <c r="AE264" i="1"/>
  <c r="AH339" i="1"/>
  <c r="AG339" i="1"/>
  <c r="AC339" i="1"/>
  <c r="AN339" i="1"/>
  <c r="AM339" i="1"/>
  <c r="AL339" i="1"/>
  <c r="AK339" i="1"/>
  <c r="AF339" i="1"/>
  <c r="AJ339" i="1"/>
  <c r="AI339" i="1"/>
  <c r="AE339" i="1"/>
  <c r="AG258" i="1"/>
  <c r="AC258" i="1"/>
  <c r="AN258" i="1"/>
  <c r="AM258" i="1"/>
  <c r="AL258" i="1"/>
  <c r="AK258" i="1"/>
  <c r="AF258" i="1"/>
  <c r="AJ258" i="1"/>
  <c r="AI258" i="1"/>
  <c r="AH258" i="1"/>
  <c r="AE258" i="1"/>
  <c r="AC223" i="1"/>
  <c r="AN223" i="1"/>
  <c r="AM223" i="1"/>
  <c r="AL223" i="1"/>
  <c r="AK223" i="1"/>
  <c r="AF223" i="1"/>
  <c r="AJ223" i="1"/>
  <c r="AI223" i="1"/>
  <c r="AH223" i="1"/>
  <c r="AG223" i="1"/>
  <c r="AE223" i="1"/>
  <c r="AJ245" i="1"/>
  <c r="AE245" i="1"/>
  <c r="AC245" i="1"/>
  <c r="AN245" i="1"/>
  <c r="AM245" i="1"/>
  <c r="AL245" i="1"/>
  <c r="AK245" i="1"/>
  <c r="AF245" i="1"/>
  <c r="AI245" i="1"/>
  <c r="AH245" i="1"/>
  <c r="AG245" i="1"/>
  <c r="AJ395" i="1"/>
  <c r="AC395" i="1"/>
  <c r="AN395" i="1"/>
  <c r="AM395" i="1"/>
  <c r="AL395" i="1"/>
  <c r="AK395" i="1"/>
  <c r="AF395" i="1"/>
  <c r="AI395" i="1"/>
  <c r="AH395" i="1"/>
  <c r="AG395" i="1"/>
  <c r="AE395" i="1"/>
  <c r="AI338" i="1"/>
  <c r="AC338" i="1"/>
  <c r="AN338" i="1"/>
  <c r="AM338" i="1"/>
  <c r="AL338" i="1"/>
  <c r="AK338" i="1"/>
  <c r="AF338" i="1"/>
  <c r="AJ338" i="1"/>
  <c r="AH338" i="1"/>
  <c r="AG338" i="1"/>
  <c r="AE338" i="1"/>
  <c r="AG159" i="1"/>
  <c r="AC159" i="1"/>
  <c r="AN159" i="1"/>
  <c r="AM159" i="1"/>
  <c r="AL159" i="1"/>
  <c r="AK159" i="1"/>
  <c r="AF159" i="1"/>
  <c r="AJ159" i="1"/>
  <c r="AI159" i="1"/>
  <c r="AH159" i="1"/>
  <c r="AE159" i="1"/>
  <c r="AG251" i="1"/>
  <c r="AC251" i="1"/>
  <c r="AN251" i="1"/>
  <c r="AM251" i="1"/>
  <c r="AL251" i="1"/>
  <c r="AK251" i="1"/>
  <c r="AF251" i="1"/>
  <c r="AJ251" i="1"/>
  <c r="AI251" i="1"/>
  <c r="AH251" i="1"/>
  <c r="AE251" i="1"/>
  <c r="AC358" i="1"/>
  <c r="AN358" i="1"/>
  <c r="AM358" i="1"/>
  <c r="AL358" i="1"/>
  <c r="AK358" i="1"/>
  <c r="AF358" i="1"/>
  <c r="AJ358" i="1"/>
  <c r="AI358" i="1"/>
  <c r="AH358" i="1"/>
  <c r="AG358" i="1"/>
  <c r="AE358" i="1"/>
  <c r="AJ137" i="1"/>
  <c r="AH137" i="1"/>
  <c r="AE137" i="1"/>
  <c r="AC137" i="1"/>
  <c r="AN137" i="1"/>
  <c r="AM137" i="1"/>
  <c r="AL137" i="1"/>
  <c r="AK137" i="1"/>
  <c r="AF137" i="1"/>
  <c r="AI137" i="1"/>
  <c r="AG137" i="1"/>
  <c r="AJ356" i="1"/>
  <c r="AG356" i="1"/>
  <c r="AC356" i="1"/>
  <c r="AN356" i="1"/>
  <c r="AM356" i="1"/>
  <c r="AL356" i="1"/>
  <c r="AK356" i="1"/>
  <c r="AF356" i="1"/>
  <c r="AI356" i="1"/>
  <c r="AH356" i="1"/>
  <c r="AE356" i="1"/>
  <c r="AI228" i="1"/>
  <c r="AH228" i="1"/>
  <c r="AC228" i="1"/>
  <c r="AN228" i="1"/>
  <c r="AM228" i="1"/>
  <c r="AL228" i="1"/>
  <c r="AK228" i="1"/>
  <c r="AF228" i="1"/>
  <c r="AJ228" i="1"/>
  <c r="AG228" i="1"/>
  <c r="AE228" i="1"/>
  <c r="AN351" i="1"/>
  <c r="AG351" i="1"/>
  <c r="AC351" i="1"/>
  <c r="AM351" i="1"/>
  <c r="AL351" i="1"/>
  <c r="AK351" i="1"/>
  <c r="AF351" i="1"/>
  <c r="AJ351" i="1"/>
  <c r="AI351" i="1"/>
  <c r="AH351" i="1"/>
  <c r="AE351" i="1"/>
  <c r="AG138" i="1"/>
  <c r="AC138" i="1"/>
  <c r="AN138" i="1"/>
  <c r="AM138" i="1"/>
  <c r="AL138" i="1"/>
  <c r="AK138" i="1"/>
  <c r="AF138" i="1"/>
  <c r="AJ138" i="1"/>
  <c r="AI138" i="1"/>
  <c r="AH138" i="1"/>
  <c r="AE138" i="1"/>
  <c r="AI397" i="1"/>
  <c r="AC397" i="1"/>
  <c r="AN397" i="1"/>
  <c r="AM397" i="1"/>
  <c r="AL397" i="1"/>
  <c r="AK397" i="1"/>
  <c r="AF397" i="1"/>
  <c r="AJ397" i="1"/>
  <c r="AH397" i="1"/>
  <c r="AG397" i="1"/>
  <c r="AE397" i="1"/>
  <c r="AC344" i="1"/>
  <c r="AN344" i="1"/>
  <c r="AM344" i="1"/>
  <c r="AL344" i="1"/>
  <c r="AK344" i="1"/>
  <c r="AF344" i="1"/>
  <c r="AJ344" i="1"/>
  <c r="AI344" i="1"/>
  <c r="AH344" i="1"/>
  <c r="AG344" i="1"/>
  <c r="AI125" i="1"/>
  <c r="AC125" i="1"/>
  <c r="AN125" i="1"/>
  <c r="AM125" i="1"/>
  <c r="AL125" i="1"/>
  <c r="AK125" i="1"/>
  <c r="AF125" i="1"/>
  <c r="AJ125" i="1"/>
  <c r="AH125" i="1"/>
  <c r="AG125" i="1"/>
  <c r="AE125" i="1"/>
  <c r="AH106" i="1"/>
  <c r="AC106" i="1"/>
  <c r="AN106" i="1"/>
  <c r="AM106" i="1"/>
  <c r="AL106" i="1"/>
  <c r="AK106" i="1"/>
  <c r="AF106" i="1"/>
  <c r="AJ106" i="1"/>
  <c r="AI106" i="1"/>
  <c r="AG106" i="1"/>
  <c r="AE106" i="1"/>
  <c r="AH279" i="1"/>
  <c r="AC279" i="1"/>
  <c r="AN279" i="1"/>
  <c r="AM279" i="1"/>
  <c r="AL279" i="1"/>
  <c r="AK279" i="1"/>
  <c r="AF279" i="1"/>
  <c r="AJ279" i="1"/>
  <c r="AI279" i="1"/>
  <c r="AG279" i="1"/>
  <c r="AE279" i="1"/>
  <c r="AJ246" i="1"/>
  <c r="AC246" i="1"/>
  <c r="AN246" i="1"/>
  <c r="AM246" i="1"/>
  <c r="AL246" i="1"/>
  <c r="AK246" i="1"/>
  <c r="AF246" i="1"/>
  <c r="AI246" i="1"/>
  <c r="AH246" i="1"/>
  <c r="AG246" i="1"/>
  <c r="AE246" i="1"/>
  <c r="AI210" i="1"/>
  <c r="AC210" i="1"/>
  <c r="AN210" i="1"/>
  <c r="AM210" i="1"/>
  <c r="AL210" i="1"/>
  <c r="AK210" i="1"/>
  <c r="AF210" i="1"/>
  <c r="AJ210" i="1"/>
  <c r="AH210" i="1"/>
  <c r="AG210" i="1"/>
  <c r="AE210" i="1"/>
  <c r="AH265" i="1"/>
  <c r="AC265" i="1"/>
  <c r="AN265" i="1"/>
  <c r="AM265" i="1"/>
  <c r="AL265" i="1"/>
  <c r="AK265" i="1"/>
  <c r="AF265" i="1"/>
  <c r="AJ265" i="1"/>
  <c r="AI265" i="1"/>
  <c r="AG265" i="1"/>
  <c r="AI126" i="1"/>
  <c r="AG126" i="1"/>
  <c r="AC126" i="1"/>
  <c r="AN126" i="1"/>
  <c r="AM126" i="1"/>
  <c r="AL126" i="1"/>
  <c r="AK126" i="1"/>
  <c r="AF126" i="1"/>
  <c r="AJ126" i="1"/>
  <c r="AH126" i="1"/>
  <c r="AE126" i="1"/>
  <c r="AI276" i="1"/>
  <c r="AH276" i="1"/>
  <c r="AC276" i="1"/>
  <c r="AN276" i="1"/>
  <c r="AM276" i="1"/>
  <c r="AL276" i="1"/>
  <c r="AK276" i="1"/>
  <c r="AF276" i="1"/>
  <c r="AJ276" i="1"/>
  <c r="AG276" i="1"/>
  <c r="AE276" i="1"/>
  <c r="AH366" i="1"/>
  <c r="AC366" i="1"/>
  <c r="AN366" i="1"/>
  <c r="AM366" i="1"/>
  <c r="AL366" i="1"/>
  <c r="AK366" i="1"/>
  <c r="AF366" i="1"/>
  <c r="AJ366" i="1"/>
  <c r="AI366" i="1"/>
  <c r="AG366" i="1"/>
  <c r="AE366" i="1"/>
  <c r="AM371" i="1"/>
  <c r="AJ371" i="1"/>
  <c r="AG371" i="1"/>
  <c r="AC371" i="1"/>
  <c r="AN371" i="1"/>
  <c r="AL371" i="1"/>
  <c r="AK371" i="1"/>
  <c r="AF371" i="1"/>
  <c r="AI371" i="1"/>
  <c r="AH371" i="1"/>
  <c r="AE371" i="1"/>
  <c r="AI268" i="1"/>
  <c r="AC268" i="1"/>
  <c r="AN268" i="1"/>
  <c r="AM268" i="1"/>
  <c r="AL268" i="1"/>
  <c r="AK268" i="1"/>
  <c r="AF268" i="1"/>
  <c r="AJ268" i="1"/>
  <c r="AH268" i="1"/>
  <c r="AG268" i="1"/>
  <c r="AE268" i="1"/>
  <c r="AH323" i="1"/>
  <c r="AC323" i="1"/>
  <c r="AN323" i="1"/>
  <c r="AM323" i="1"/>
  <c r="AL323" i="1"/>
  <c r="AK323" i="1"/>
  <c r="AF323" i="1"/>
  <c r="AJ323" i="1"/>
  <c r="AI323" i="1"/>
  <c r="AG323" i="1"/>
  <c r="AJ187" i="1"/>
  <c r="AC187" i="1"/>
  <c r="AN187" i="1"/>
  <c r="AM187" i="1"/>
  <c r="AL187" i="1"/>
  <c r="AK187" i="1"/>
  <c r="AF187" i="1"/>
  <c r="AI187" i="1"/>
  <c r="AH187" i="1"/>
  <c r="AG187" i="1"/>
  <c r="AE187" i="1"/>
  <c r="AI253" i="1"/>
  <c r="AC253" i="1"/>
  <c r="AN253" i="1"/>
  <c r="AM253" i="1"/>
  <c r="AL253" i="1"/>
  <c r="AK253" i="1"/>
  <c r="AF253" i="1"/>
  <c r="AJ253" i="1"/>
  <c r="AH253" i="1"/>
  <c r="AG253" i="1"/>
  <c r="AE253" i="1"/>
  <c r="AH222" i="1"/>
  <c r="AC222" i="1"/>
  <c r="AN222" i="1"/>
  <c r="AM222" i="1"/>
  <c r="AL222" i="1"/>
  <c r="AK222" i="1"/>
  <c r="AF222" i="1"/>
  <c r="AJ222" i="1"/>
  <c r="AI222" i="1"/>
  <c r="AG222" i="1"/>
  <c r="AE222" i="1"/>
  <c r="AM188" i="1"/>
  <c r="AC188" i="1"/>
  <c r="AN188" i="1"/>
  <c r="AL188" i="1"/>
  <c r="AK188" i="1"/>
  <c r="AF188" i="1"/>
  <c r="AJ188" i="1"/>
  <c r="AI188" i="1"/>
  <c r="AH188" i="1"/>
  <c r="AE188" i="1"/>
  <c r="AI130" i="1"/>
  <c r="AC130" i="1"/>
  <c r="AN130" i="1"/>
  <c r="AM130" i="1"/>
  <c r="AL130" i="1"/>
  <c r="AK130" i="1"/>
  <c r="AF130" i="1"/>
  <c r="AJ130" i="1"/>
  <c r="AH130" i="1"/>
  <c r="AG130" i="1"/>
  <c r="AE130" i="1"/>
  <c r="AJ229" i="1"/>
  <c r="AH229" i="1"/>
  <c r="AC229" i="1"/>
  <c r="AN229" i="1"/>
  <c r="AM229" i="1"/>
  <c r="AL229" i="1"/>
  <c r="AK229" i="1"/>
  <c r="AF229" i="1"/>
  <c r="AI229" i="1"/>
  <c r="AG229" i="1"/>
  <c r="AJ285" i="1"/>
  <c r="AG285" i="1"/>
  <c r="AC285" i="1"/>
  <c r="AN285" i="1"/>
  <c r="AM285" i="1"/>
  <c r="AL285" i="1"/>
  <c r="AK285" i="1"/>
  <c r="AF285" i="1"/>
  <c r="AI285" i="1"/>
  <c r="AH285" i="1"/>
  <c r="AE285" i="1"/>
  <c r="AI333" i="1"/>
  <c r="AC333" i="1"/>
  <c r="AN333" i="1"/>
  <c r="AM333" i="1"/>
  <c r="AL333" i="1"/>
  <c r="AK333" i="1"/>
  <c r="AF333" i="1"/>
  <c r="AJ333" i="1"/>
  <c r="AH333" i="1"/>
  <c r="AG333" i="1"/>
  <c r="AE333" i="1"/>
  <c r="AN134" i="1"/>
  <c r="AG134" i="1"/>
  <c r="AC134" i="1"/>
  <c r="AM134" i="1"/>
  <c r="AL134" i="1"/>
  <c r="AK134" i="1"/>
  <c r="AF134" i="1"/>
  <c r="AJ134" i="1"/>
  <c r="AI134" i="1"/>
  <c r="AH134" i="1"/>
  <c r="AE134" i="1"/>
  <c r="AJ350" i="1"/>
  <c r="AG350" i="1"/>
  <c r="AC350" i="1"/>
  <c r="AN350" i="1"/>
  <c r="AM350" i="1"/>
  <c r="AL350" i="1"/>
  <c r="AK350" i="1"/>
  <c r="AF350" i="1"/>
  <c r="AI350" i="1"/>
  <c r="AH350" i="1"/>
  <c r="AE350" i="1"/>
  <c r="AI278" i="1"/>
  <c r="AC278" i="1"/>
  <c r="AN278" i="1"/>
  <c r="AM278" i="1"/>
  <c r="AL278" i="1"/>
  <c r="AK278" i="1"/>
  <c r="AF278" i="1"/>
  <c r="AJ278" i="1"/>
  <c r="AH278" i="1"/>
  <c r="AG278" i="1"/>
  <c r="AE278" i="1"/>
  <c r="AJ353" i="1"/>
  <c r="AH353" i="1"/>
  <c r="AE353" i="1"/>
  <c r="AC353" i="1"/>
  <c r="AN353" i="1"/>
  <c r="AM353" i="1"/>
  <c r="AL353" i="1"/>
  <c r="AK353" i="1"/>
  <c r="AF353" i="1"/>
  <c r="AI353" i="1"/>
  <c r="AG353" i="1"/>
  <c r="AJ148" i="1"/>
  <c r="AG148" i="1"/>
  <c r="AC148" i="1"/>
  <c r="AN148" i="1"/>
  <c r="AM148" i="1"/>
  <c r="AL148" i="1"/>
  <c r="AK148" i="1"/>
  <c r="AF148" i="1"/>
  <c r="AI148" i="1"/>
  <c r="AH148" i="1"/>
  <c r="AE148" i="1"/>
  <c r="AI290" i="1"/>
  <c r="AC290" i="1"/>
  <c r="AN290" i="1"/>
  <c r="AM290" i="1"/>
  <c r="AL290" i="1"/>
  <c r="AK290" i="1"/>
  <c r="AF290" i="1"/>
  <c r="AJ290" i="1"/>
  <c r="AH290" i="1"/>
  <c r="AG290" i="1"/>
  <c r="AE290" i="1"/>
  <c r="AG218" i="1"/>
  <c r="AC218" i="1"/>
  <c r="AN218" i="1"/>
  <c r="AM218" i="1"/>
  <c r="AL218" i="1"/>
  <c r="AK218" i="1"/>
  <c r="AF218" i="1"/>
  <c r="AJ218" i="1"/>
  <c r="AI218" i="1"/>
  <c r="AH218" i="1"/>
  <c r="AE218" i="1"/>
  <c r="AG288" i="1"/>
  <c r="AC288" i="1"/>
  <c r="AN288" i="1"/>
  <c r="AM288" i="1"/>
  <c r="AL288" i="1"/>
  <c r="AK288" i="1"/>
  <c r="AF288" i="1"/>
  <c r="AJ288" i="1"/>
  <c r="AI288" i="1"/>
  <c r="AH288" i="1"/>
  <c r="AE288" i="1"/>
  <c r="AC295" i="1"/>
  <c r="AN295" i="1"/>
  <c r="AM295" i="1"/>
  <c r="AL295" i="1"/>
  <c r="AK295" i="1"/>
  <c r="AF295" i="1"/>
  <c r="AJ295" i="1"/>
  <c r="AI295" i="1"/>
  <c r="AH295" i="1"/>
  <c r="AG295" i="1"/>
  <c r="AE295" i="1"/>
  <c r="AC95" i="1"/>
  <c r="AN95" i="1"/>
  <c r="AM95" i="1"/>
  <c r="AL95" i="1"/>
  <c r="AK95" i="1"/>
  <c r="AF95" i="1"/>
  <c r="AJ95" i="1"/>
  <c r="AI95" i="1"/>
  <c r="AH95" i="1"/>
  <c r="AG95" i="1"/>
  <c r="AI111" i="1"/>
  <c r="AG111" i="1"/>
  <c r="AC111" i="1"/>
  <c r="AN111" i="1"/>
  <c r="AM111" i="1"/>
  <c r="AL111" i="1"/>
  <c r="AK111" i="1"/>
  <c r="AF111" i="1"/>
  <c r="AJ111" i="1"/>
  <c r="AH111" i="1"/>
  <c r="AE111" i="1"/>
  <c r="AH282" i="1"/>
  <c r="AC282" i="1"/>
  <c r="AN282" i="1"/>
  <c r="AM282" i="1"/>
  <c r="AL282" i="1"/>
  <c r="AK282" i="1"/>
  <c r="AF282" i="1"/>
  <c r="AJ282" i="1"/>
  <c r="AI282" i="1"/>
  <c r="AG282" i="1"/>
  <c r="AE282" i="1"/>
  <c r="AN292" i="1"/>
  <c r="AG292" i="1"/>
  <c r="AC292" i="1"/>
  <c r="AM292" i="1"/>
  <c r="AL292" i="1"/>
  <c r="AK292" i="1"/>
  <c r="AF292" i="1"/>
  <c r="AJ292" i="1"/>
  <c r="AI292" i="1"/>
  <c r="AH292" i="1"/>
  <c r="AE292" i="1"/>
  <c r="AJ269" i="1"/>
  <c r="AG269" i="1"/>
  <c r="AC269" i="1"/>
  <c r="AN269" i="1"/>
  <c r="AM269" i="1"/>
  <c r="AL269" i="1"/>
  <c r="AK269" i="1"/>
  <c r="AF269" i="1"/>
  <c r="AI269" i="1"/>
  <c r="AE269" i="1"/>
  <c r="AC103" i="1"/>
  <c r="AN103" i="1"/>
  <c r="AM103" i="1"/>
  <c r="AL103" i="1"/>
  <c r="AK103" i="1"/>
  <c r="AF103" i="1"/>
  <c r="AJ103" i="1"/>
  <c r="AI103" i="1"/>
  <c r="AH103" i="1"/>
  <c r="AG103" i="1"/>
  <c r="AK365" i="1"/>
  <c r="AH365" i="1"/>
  <c r="AC365" i="1"/>
  <c r="AN365" i="1"/>
  <c r="AM365" i="1"/>
  <c r="AL365" i="1"/>
  <c r="AF365" i="1"/>
  <c r="AJ365" i="1"/>
  <c r="AI365" i="1"/>
  <c r="AG365" i="1"/>
  <c r="AE365" i="1"/>
  <c r="AM286" i="1"/>
  <c r="AG286" i="1"/>
  <c r="AC286" i="1"/>
  <c r="AN286" i="1"/>
  <c r="AL286" i="1"/>
  <c r="AK286" i="1"/>
  <c r="AF286" i="1"/>
  <c r="AJ286" i="1"/>
  <c r="AI286" i="1"/>
  <c r="AH286" i="1"/>
  <c r="AE286" i="1"/>
  <c r="AC275" i="1"/>
  <c r="AN275" i="1"/>
  <c r="AM275" i="1"/>
  <c r="AL275" i="1"/>
  <c r="AK275" i="1"/>
  <c r="AF275" i="1"/>
  <c r="AJ275" i="1"/>
  <c r="AI275" i="1"/>
  <c r="AH275" i="1"/>
  <c r="AE275" i="1"/>
  <c r="AF240" i="1"/>
  <c r="AC240" i="1"/>
  <c r="AN240" i="1"/>
  <c r="AM240" i="1"/>
  <c r="AL240" i="1"/>
  <c r="AK240" i="1"/>
  <c r="AJ240" i="1"/>
  <c r="AI240" i="1"/>
  <c r="AH240" i="1"/>
  <c r="AG240" i="1"/>
  <c r="AC108" i="1"/>
  <c r="AN108" i="1"/>
  <c r="AM108" i="1"/>
  <c r="AL108" i="1"/>
  <c r="AK108" i="1"/>
  <c r="AF108" i="1"/>
  <c r="AJ108" i="1"/>
  <c r="AI108" i="1"/>
  <c r="AH108" i="1"/>
  <c r="AG108" i="1"/>
  <c r="AE108" i="1"/>
  <c r="AC280" i="1"/>
  <c r="AN280" i="1"/>
  <c r="AM280" i="1"/>
  <c r="AL280" i="1"/>
  <c r="AK280" i="1"/>
  <c r="AF280" i="1"/>
  <c r="AJ280" i="1"/>
  <c r="AI280" i="1"/>
  <c r="AH280" i="1"/>
  <c r="AG280" i="1"/>
  <c r="AC235" i="1"/>
  <c r="AN235" i="1"/>
  <c r="AM235" i="1"/>
  <c r="AL235" i="1"/>
  <c r="AK235" i="1"/>
  <c r="AF235" i="1"/>
  <c r="AJ235" i="1"/>
  <c r="AI235" i="1"/>
  <c r="AH235" i="1"/>
  <c r="AG235" i="1"/>
  <c r="AE235" i="1"/>
  <c r="AI166" i="1"/>
  <c r="AC166" i="1"/>
  <c r="AN166" i="1"/>
  <c r="AM166" i="1"/>
  <c r="AL166" i="1"/>
  <c r="AK166" i="1"/>
  <c r="AF166" i="1"/>
  <c r="AJ166" i="1"/>
  <c r="AH166" i="1"/>
  <c r="AG166" i="1"/>
  <c r="AE166" i="1"/>
  <c r="AI120" i="1"/>
  <c r="AC120" i="1"/>
  <c r="AN120" i="1"/>
  <c r="AM120" i="1"/>
  <c r="AL120" i="1"/>
  <c r="AK120" i="1"/>
  <c r="AF120" i="1"/>
  <c r="AJ120" i="1"/>
  <c r="AH120" i="1"/>
  <c r="AG120" i="1"/>
  <c r="AE120" i="1"/>
  <c r="AH274" i="1"/>
  <c r="AC274" i="1"/>
  <c r="AN274" i="1"/>
  <c r="AM274" i="1"/>
  <c r="AL274" i="1"/>
  <c r="AK274" i="1"/>
  <c r="AF274" i="1"/>
  <c r="AJ274" i="1"/>
  <c r="AI274" i="1"/>
  <c r="AG274" i="1"/>
  <c r="AE274" i="1"/>
  <c r="AG168" i="1"/>
  <c r="AC168" i="1"/>
  <c r="AN168" i="1"/>
  <c r="AM168" i="1"/>
  <c r="AL168" i="1"/>
  <c r="AK168" i="1"/>
  <c r="AF168" i="1"/>
  <c r="AJ168" i="1"/>
  <c r="AI168" i="1"/>
  <c r="AH168" i="1"/>
  <c r="AE168" i="1"/>
  <c r="AC236" i="1"/>
  <c r="AN236" i="1"/>
  <c r="AM236" i="1"/>
  <c r="AL236" i="1"/>
  <c r="AK236" i="1"/>
  <c r="AF236" i="1"/>
  <c r="AJ236" i="1"/>
  <c r="AI236" i="1"/>
  <c r="AH236" i="1"/>
  <c r="AG236" i="1"/>
  <c r="AJ175" i="1"/>
  <c r="AC175" i="1"/>
  <c r="AN175" i="1"/>
  <c r="AM175" i="1"/>
  <c r="AL175" i="1"/>
  <c r="AK175" i="1"/>
  <c r="AF175" i="1"/>
  <c r="AI175" i="1"/>
  <c r="AH175" i="1"/>
  <c r="AG175" i="1"/>
  <c r="AE175" i="1"/>
  <c r="AC129" i="1"/>
  <c r="AN129" i="1"/>
  <c r="AM129" i="1"/>
  <c r="AL129" i="1"/>
  <c r="AK129" i="1"/>
  <c r="AF129" i="1"/>
  <c r="AJ129" i="1"/>
  <c r="AI129" i="1"/>
  <c r="AH129" i="1"/>
  <c r="AG129" i="1"/>
  <c r="AE129" i="1"/>
  <c r="AH132" i="1"/>
  <c r="AC132" i="1"/>
  <c r="AN132" i="1"/>
  <c r="AM132" i="1"/>
  <c r="AL132" i="1"/>
  <c r="AK132" i="1"/>
  <c r="AF132" i="1"/>
  <c r="AJ132" i="1"/>
  <c r="AI132" i="1"/>
  <c r="AG132" i="1"/>
  <c r="AE132" i="1"/>
  <c r="AH214" i="1"/>
  <c r="AG214" i="1"/>
  <c r="AC214" i="1"/>
  <c r="AN214" i="1"/>
  <c r="AM214" i="1"/>
  <c r="AL214" i="1"/>
  <c r="AK214" i="1"/>
  <c r="AF214" i="1"/>
  <c r="AJ214" i="1"/>
  <c r="AI214" i="1"/>
  <c r="AE214" i="1"/>
  <c r="AC230" i="1"/>
  <c r="AN230" i="1"/>
  <c r="AM230" i="1"/>
  <c r="AL230" i="1"/>
  <c r="AK230" i="1"/>
  <c r="AF230" i="1"/>
  <c r="AJ230" i="1"/>
  <c r="AI230" i="1"/>
  <c r="AH230" i="1"/>
  <c r="AE230" i="1"/>
  <c r="AC199" i="1"/>
  <c r="AN199" i="1"/>
  <c r="AM199" i="1"/>
  <c r="AL199" i="1"/>
  <c r="AK199" i="1"/>
  <c r="AF199" i="1"/>
  <c r="AJ199" i="1"/>
  <c r="AI199" i="1"/>
  <c r="AH199" i="1"/>
  <c r="AG199" i="1"/>
  <c r="AC147" i="1"/>
  <c r="AN147" i="1"/>
  <c r="AM147" i="1"/>
  <c r="AL147" i="1"/>
  <c r="AK147" i="1"/>
  <c r="AF147" i="1"/>
  <c r="AJ147" i="1"/>
  <c r="AI147" i="1"/>
  <c r="AH147" i="1"/>
  <c r="AG147" i="1"/>
  <c r="AE147" i="1"/>
  <c r="AI191" i="1"/>
  <c r="AC191" i="1"/>
  <c r="AN191" i="1"/>
  <c r="AM191" i="1"/>
  <c r="AL191" i="1"/>
  <c r="AK191" i="1"/>
  <c r="AF191" i="1"/>
  <c r="AJ191" i="1"/>
  <c r="AH191" i="1"/>
  <c r="AG191" i="1"/>
  <c r="AE191" i="1"/>
  <c r="AH165" i="1"/>
  <c r="AC165" i="1"/>
  <c r="AN165" i="1"/>
  <c r="AM165" i="1"/>
  <c r="AL165" i="1"/>
  <c r="AK165" i="1"/>
  <c r="AF165" i="1"/>
  <c r="AJ165" i="1"/>
  <c r="AI165" i="1"/>
  <c r="AG165" i="1"/>
  <c r="AE165" i="1"/>
  <c r="AH221" i="1"/>
  <c r="AC221" i="1"/>
  <c r="AN221" i="1"/>
  <c r="AM221" i="1"/>
  <c r="AL221" i="1"/>
  <c r="AK221" i="1"/>
  <c r="AF221" i="1"/>
  <c r="AJ221" i="1"/>
  <c r="AI221" i="1"/>
  <c r="AG221" i="1"/>
  <c r="AE221" i="1"/>
  <c r="AC206" i="1"/>
  <c r="AN206" i="1"/>
  <c r="AM206" i="1"/>
  <c r="AL206" i="1"/>
  <c r="AK206" i="1"/>
  <c r="AF206" i="1"/>
  <c r="AJ206" i="1"/>
  <c r="AI206" i="1"/>
  <c r="AH206" i="1"/>
  <c r="AG206" i="1"/>
  <c r="AE206" i="1"/>
  <c r="AC260" i="1"/>
  <c r="AN260" i="1"/>
  <c r="AM260" i="1"/>
  <c r="AL260" i="1"/>
  <c r="AK260" i="1"/>
  <c r="AF260" i="1"/>
  <c r="AJ260" i="1"/>
  <c r="AI260" i="1"/>
  <c r="AH260" i="1"/>
  <c r="AG260" i="1"/>
  <c r="AJ249" i="1"/>
  <c r="AC249" i="1"/>
  <c r="AN249" i="1"/>
  <c r="AM249" i="1"/>
  <c r="AL249" i="1"/>
  <c r="AK249" i="1"/>
  <c r="AF249" i="1"/>
  <c r="AI249" i="1"/>
  <c r="AH249" i="1"/>
  <c r="AG249" i="1"/>
  <c r="AE249" i="1"/>
  <c r="AJ233" i="1"/>
  <c r="AC233" i="1"/>
  <c r="AN233" i="1"/>
  <c r="AM233" i="1"/>
  <c r="AL233" i="1"/>
  <c r="AK233" i="1"/>
  <c r="AF233" i="1"/>
  <c r="AI233" i="1"/>
  <c r="AH233" i="1"/>
  <c r="AG233" i="1"/>
  <c r="AE233" i="1"/>
  <c r="AH293" i="1"/>
  <c r="AC293" i="1"/>
  <c r="AN293" i="1"/>
  <c r="AM293" i="1"/>
  <c r="AL293" i="1"/>
  <c r="AK293" i="1"/>
  <c r="AF293" i="1"/>
  <c r="AJ293" i="1"/>
  <c r="AI293" i="1"/>
  <c r="AG293" i="1"/>
  <c r="AE293" i="1"/>
  <c r="AG242" i="1"/>
  <c r="AC242" i="1"/>
  <c r="AN242" i="1"/>
  <c r="AM242" i="1"/>
  <c r="AL242" i="1"/>
  <c r="AK242" i="1"/>
  <c r="AF242" i="1"/>
  <c r="AJ242" i="1"/>
  <c r="AI242" i="1"/>
  <c r="AE242" i="1"/>
  <c r="AC209" i="1"/>
  <c r="AN209" i="1"/>
  <c r="AM209" i="1"/>
  <c r="AL209" i="1"/>
  <c r="AK209" i="1"/>
  <c r="AF209" i="1"/>
  <c r="AJ209" i="1"/>
  <c r="AI209" i="1"/>
  <c r="AH209" i="1"/>
  <c r="AG209" i="1"/>
  <c r="AE209" i="1"/>
  <c r="AC237" i="1"/>
  <c r="AN237" i="1"/>
  <c r="AM237" i="1"/>
  <c r="AL237" i="1"/>
  <c r="AK237" i="1"/>
  <c r="AF237" i="1"/>
  <c r="AJ237" i="1"/>
  <c r="AI237" i="1"/>
  <c r="AH237" i="1"/>
  <c r="AG237" i="1"/>
  <c r="AJ225" i="1"/>
  <c r="AC225" i="1"/>
  <c r="AN225" i="1"/>
  <c r="AM225" i="1"/>
  <c r="AL225" i="1"/>
  <c r="AK225" i="1"/>
  <c r="AF225" i="1"/>
  <c r="AI225" i="1"/>
  <c r="AH225" i="1"/>
  <c r="AG225" i="1"/>
  <c r="AE225" i="1"/>
  <c r="AC143" i="1"/>
  <c r="AN143" i="1"/>
  <c r="AM143" i="1"/>
  <c r="AL143" i="1"/>
  <c r="AK143" i="1"/>
  <c r="AF143" i="1"/>
  <c r="AJ143" i="1"/>
  <c r="AI143" i="1"/>
  <c r="AH143" i="1"/>
  <c r="AG143" i="1"/>
  <c r="AE143" i="1"/>
  <c r="AH105" i="1"/>
  <c r="AC105" i="1"/>
  <c r="AN105" i="1"/>
  <c r="AM105" i="1"/>
  <c r="AL105" i="1"/>
  <c r="AK105" i="1"/>
  <c r="AF105" i="1"/>
  <c r="AJ105" i="1"/>
  <c r="AI105" i="1"/>
  <c r="AG105" i="1"/>
  <c r="AE105" i="1"/>
  <c r="AH284" i="1"/>
  <c r="AG284" i="1"/>
  <c r="AC284" i="1"/>
  <c r="AN284" i="1"/>
  <c r="AM284" i="1"/>
  <c r="AL284" i="1"/>
  <c r="AK284" i="1"/>
  <c r="AF284" i="1"/>
  <c r="AJ284" i="1"/>
  <c r="AI284" i="1"/>
  <c r="AE284" i="1"/>
  <c r="AC83" i="1"/>
  <c r="AN83" i="1"/>
  <c r="AM83" i="1"/>
  <c r="AL83" i="1"/>
  <c r="AK83" i="1"/>
  <c r="AF83" i="1"/>
  <c r="AJ83" i="1"/>
  <c r="AI83" i="1"/>
  <c r="AH83" i="1"/>
  <c r="AE83" i="1"/>
  <c r="AC255" i="1"/>
  <c r="AN255" i="1"/>
  <c r="AM255" i="1"/>
  <c r="AL255" i="1"/>
  <c r="AK255" i="1"/>
  <c r="AF255" i="1"/>
  <c r="AJ255" i="1"/>
  <c r="AI255" i="1"/>
  <c r="AH255" i="1"/>
  <c r="AG255" i="1"/>
  <c r="AC99" i="1"/>
  <c r="AN99" i="1"/>
  <c r="AM99" i="1"/>
  <c r="AL99" i="1"/>
  <c r="AK99" i="1"/>
  <c r="AF99" i="1"/>
  <c r="AJ99" i="1"/>
  <c r="AI99" i="1"/>
  <c r="AH99" i="1"/>
  <c r="AG99" i="1"/>
  <c r="AE99" i="1"/>
  <c r="AI195" i="1"/>
  <c r="AC195" i="1"/>
  <c r="AN195" i="1"/>
  <c r="AM195" i="1"/>
  <c r="AL195" i="1"/>
  <c r="AK195" i="1"/>
  <c r="AF195" i="1"/>
  <c r="AJ195" i="1"/>
  <c r="AH195" i="1"/>
  <c r="AG195" i="1"/>
  <c r="AE195" i="1"/>
  <c r="AH178" i="1"/>
  <c r="AC178" i="1"/>
  <c r="AN178" i="1"/>
  <c r="AM178" i="1"/>
  <c r="AL178" i="1"/>
  <c r="AK178" i="1"/>
  <c r="AF178" i="1"/>
  <c r="AJ178" i="1"/>
  <c r="AI178" i="1"/>
  <c r="AG178" i="1"/>
  <c r="AE178" i="1"/>
  <c r="AH273" i="1"/>
  <c r="AC273" i="1"/>
  <c r="AN273" i="1"/>
  <c r="AM273" i="1"/>
  <c r="AL273" i="1"/>
  <c r="AK273" i="1"/>
  <c r="AF273" i="1"/>
  <c r="AJ273" i="1"/>
  <c r="AI273" i="1"/>
  <c r="AG273" i="1"/>
  <c r="AE273" i="1"/>
  <c r="AC109" i="1"/>
  <c r="AN109" i="1"/>
  <c r="AM109" i="1"/>
  <c r="AL109" i="1"/>
  <c r="AK109" i="1"/>
  <c r="AF109" i="1"/>
  <c r="AJ109" i="1"/>
  <c r="AI109" i="1"/>
  <c r="AH109" i="1"/>
  <c r="AG109" i="1"/>
  <c r="AE109" i="1"/>
  <c r="AC118" i="1"/>
  <c r="AN118" i="1"/>
  <c r="AM118" i="1"/>
  <c r="AL118" i="1"/>
  <c r="AK118" i="1"/>
  <c r="AF118" i="1"/>
  <c r="AJ118" i="1"/>
  <c r="AI118" i="1"/>
  <c r="AH118" i="1"/>
  <c r="AG118" i="1"/>
  <c r="AJ267" i="1"/>
  <c r="AC267" i="1"/>
  <c r="AN267" i="1"/>
  <c r="AM267" i="1"/>
  <c r="AL267" i="1"/>
  <c r="AK267" i="1"/>
  <c r="AF267" i="1"/>
  <c r="AI267" i="1"/>
  <c r="AH267" i="1"/>
  <c r="AG267" i="1"/>
  <c r="AE267" i="1"/>
  <c r="AJ177" i="1"/>
  <c r="AC177" i="1"/>
  <c r="AN177" i="1"/>
  <c r="AM177" i="1"/>
  <c r="AL177" i="1"/>
  <c r="AK177" i="1"/>
  <c r="AF177" i="1"/>
  <c r="AI177" i="1"/>
  <c r="AH177" i="1"/>
  <c r="AG177" i="1"/>
  <c r="AE177" i="1"/>
  <c r="AH117" i="1"/>
  <c r="AC117" i="1"/>
  <c r="AN117" i="1"/>
  <c r="AM117" i="1"/>
  <c r="AL117" i="1"/>
  <c r="AK117" i="1"/>
  <c r="AF117" i="1"/>
  <c r="AJ117" i="1"/>
  <c r="AI117" i="1"/>
  <c r="AG117" i="1"/>
  <c r="AE117" i="1"/>
  <c r="AJ261" i="1"/>
  <c r="AH261" i="1"/>
  <c r="AG261" i="1"/>
  <c r="AC261" i="1"/>
  <c r="AD261" i="1" s="1"/>
  <c r="AO261" i="1" s="1"/>
  <c r="AN261" i="1"/>
  <c r="AM261" i="1"/>
  <c r="AL261" i="1"/>
  <c r="AK261" i="1"/>
  <c r="AF261" i="1"/>
  <c r="AE261" i="1"/>
  <c r="AI250" i="1"/>
  <c r="AC250" i="1"/>
  <c r="AN250" i="1"/>
  <c r="AM250" i="1"/>
  <c r="AL250" i="1"/>
  <c r="AK250" i="1"/>
  <c r="AF250" i="1"/>
  <c r="AJ250" i="1"/>
  <c r="AH250" i="1"/>
  <c r="AG250" i="1"/>
  <c r="AE250" i="1"/>
  <c r="AC97" i="1"/>
  <c r="AN97" i="1"/>
  <c r="AM97" i="1"/>
  <c r="AL97" i="1"/>
  <c r="AK97" i="1"/>
  <c r="AF97" i="1"/>
  <c r="AJ97" i="1"/>
  <c r="AI97" i="1"/>
  <c r="AH97" i="1"/>
  <c r="AG97" i="1"/>
  <c r="AJ122" i="1"/>
  <c r="AC122" i="1"/>
  <c r="AN122" i="1"/>
  <c r="AM122" i="1"/>
  <c r="AL122" i="1"/>
  <c r="AK122" i="1"/>
  <c r="AF122" i="1"/>
  <c r="AI122" i="1"/>
  <c r="AH122" i="1"/>
  <c r="AG122" i="1"/>
  <c r="AE122" i="1"/>
  <c r="AJ205" i="1"/>
  <c r="AC205" i="1"/>
  <c r="AN205" i="1"/>
  <c r="AM205" i="1"/>
  <c r="AL205" i="1"/>
  <c r="AK205" i="1"/>
  <c r="AF205" i="1"/>
  <c r="AI205" i="1"/>
  <c r="AH205" i="1"/>
  <c r="AG205" i="1"/>
  <c r="AE205" i="1"/>
  <c r="AH131" i="1"/>
  <c r="AC131" i="1"/>
  <c r="AN131" i="1"/>
  <c r="AM131" i="1"/>
  <c r="AL131" i="1"/>
  <c r="AK131" i="1"/>
  <c r="AF131" i="1"/>
  <c r="AJ131" i="1"/>
  <c r="AI131" i="1"/>
  <c r="AG131" i="1"/>
  <c r="AE131" i="1"/>
  <c r="AJ190" i="1"/>
  <c r="AH190" i="1"/>
  <c r="AG190" i="1"/>
  <c r="AC190" i="1"/>
  <c r="AD190" i="1" s="1"/>
  <c r="AO190" i="1" s="1"/>
  <c r="AN190" i="1"/>
  <c r="AM190" i="1"/>
  <c r="AL190" i="1"/>
  <c r="AK190" i="1"/>
  <c r="AF190" i="1"/>
  <c r="AE190" i="1"/>
  <c r="AI243" i="1"/>
  <c r="AC243" i="1"/>
  <c r="AN243" i="1"/>
  <c r="AM243" i="1"/>
  <c r="AL243" i="1"/>
  <c r="AK243" i="1"/>
  <c r="AF243" i="1"/>
  <c r="AJ243" i="1"/>
  <c r="AH243" i="1"/>
  <c r="AG243" i="1"/>
  <c r="AE243" i="1"/>
  <c r="AC305" i="1"/>
  <c r="AN305" i="1"/>
  <c r="AM305" i="1"/>
  <c r="AL305" i="1"/>
  <c r="AK305" i="1"/>
  <c r="AF305" i="1"/>
  <c r="AJ305" i="1"/>
  <c r="AI305" i="1"/>
  <c r="AH305" i="1"/>
  <c r="AG305" i="1"/>
  <c r="AJ179" i="1"/>
  <c r="AC179" i="1"/>
  <c r="AN179" i="1"/>
  <c r="AM179" i="1"/>
  <c r="AL179" i="1"/>
  <c r="AK179" i="1"/>
  <c r="AF179" i="1"/>
  <c r="AI179" i="1"/>
  <c r="AH179" i="1"/>
  <c r="AG179" i="1"/>
  <c r="AE179" i="1"/>
  <c r="AJ291" i="1"/>
  <c r="AC291" i="1"/>
  <c r="AN291" i="1"/>
  <c r="AM291" i="1"/>
  <c r="AL291" i="1"/>
  <c r="AK291" i="1"/>
  <c r="AF291" i="1"/>
  <c r="AI291" i="1"/>
  <c r="AH291" i="1"/>
  <c r="AG291" i="1"/>
  <c r="AE291" i="1"/>
  <c r="AH192" i="1"/>
  <c r="AC192" i="1"/>
  <c r="AN192" i="1"/>
  <c r="AM192" i="1"/>
  <c r="AL192" i="1"/>
  <c r="AK192" i="1"/>
  <c r="AF192" i="1"/>
  <c r="AJ192" i="1"/>
  <c r="AI192" i="1"/>
  <c r="AG192" i="1"/>
  <c r="AE192" i="1"/>
  <c r="AG211" i="1"/>
  <c r="AC211" i="1"/>
  <c r="AN211" i="1"/>
  <c r="AM211" i="1"/>
  <c r="AL211" i="1"/>
  <c r="AK211" i="1"/>
  <c r="AF211" i="1"/>
  <c r="AJ211" i="1"/>
  <c r="AI211" i="1"/>
  <c r="AE211" i="1"/>
  <c r="AG119" i="1"/>
  <c r="AC119" i="1"/>
  <c r="AN119" i="1"/>
  <c r="AM119" i="1"/>
  <c r="AL119" i="1"/>
  <c r="AK119" i="1"/>
  <c r="AF119" i="1"/>
  <c r="AJ119" i="1"/>
  <c r="AI119" i="1"/>
  <c r="AH119" i="1"/>
  <c r="AE119" i="1"/>
  <c r="AC127" i="1"/>
  <c r="AN127" i="1"/>
  <c r="AM127" i="1"/>
  <c r="AL127" i="1"/>
  <c r="AK127" i="1"/>
  <c r="AF127" i="1"/>
  <c r="AJ127" i="1"/>
  <c r="AI127" i="1"/>
  <c r="AH127" i="1"/>
  <c r="AG127" i="1"/>
  <c r="AJ149" i="1"/>
  <c r="AC149" i="1"/>
  <c r="AN149" i="1"/>
  <c r="AM149" i="1"/>
  <c r="AL149" i="1"/>
  <c r="AK149" i="1"/>
  <c r="AF149" i="1"/>
  <c r="AI149" i="1"/>
  <c r="AH149" i="1"/>
  <c r="AG149" i="1"/>
  <c r="AE149" i="1"/>
  <c r="AC135" i="1"/>
  <c r="AN135" i="1"/>
  <c r="AM135" i="1"/>
  <c r="AL135" i="1"/>
  <c r="AK135" i="1"/>
  <c r="AF135" i="1"/>
  <c r="AJ135" i="1"/>
  <c r="AI135" i="1"/>
  <c r="AH135" i="1"/>
  <c r="AG135" i="1"/>
  <c r="AE135" i="1"/>
  <c r="AH41" i="1"/>
  <c r="AC41" i="1"/>
  <c r="AN41" i="1"/>
  <c r="AM41" i="1"/>
  <c r="AL41" i="1"/>
  <c r="AK41" i="1"/>
  <c r="AF41" i="1"/>
  <c r="AJ41" i="1"/>
  <c r="AI41" i="1"/>
  <c r="AG41" i="1"/>
  <c r="AE41" i="1"/>
  <c r="AH71" i="1"/>
  <c r="AG71" i="1"/>
  <c r="AC71" i="1"/>
  <c r="AN71" i="1"/>
  <c r="AM71" i="1"/>
  <c r="AL71" i="1"/>
  <c r="AK71" i="1"/>
  <c r="AF71" i="1"/>
  <c r="AJ71" i="1"/>
  <c r="AE71" i="1"/>
  <c r="AC155" i="1"/>
  <c r="AN155" i="1"/>
  <c r="AM155" i="1"/>
  <c r="AL155" i="1"/>
  <c r="AK155" i="1"/>
  <c r="AF155" i="1"/>
  <c r="AJ155" i="1"/>
  <c r="AI155" i="1"/>
  <c r="AH155" i="1"/>
  <c r="AE155" i="1"/>
  <c r="AC167" i="1"/>
  <c r="AN167" i="1"/>
  <c r="AM167" i="1"/>
  <c r="AL167" i="1"/>
  <c r="AK167" i="1"/>
  <c r="AF167" i="1"/>
  <c r="AJ167" i="1"/>
  <c r="AI167" i="1"/>
  <c r="AH167" i="1"/>
  <c r="AG167" i="1"/>
  <c r="AC85" i="1"/>
  <c r="AN85" i="1"/>
  <c r="AM85" i="1"/>
  <c r="AL85" i="1"/>
  <c r="AK85" i="1"/>
  <c r="AF85" i="1"/>
  <c r="AJ85" i="1"/>
  <c r="AI85" i="1"/>
  <c r="AH85" i="1"/>
  <c r="AG85" i="1"/>
  <c r="AE85" i="1"/>
  <c r="AI65" i="1"/>
  <c r="AC65" i="1"/>
  <c r="AN65" i="1"/>
  <c r="AM65" i="1"/>
  <c r="AL65" i="1"/>
  <c r="AK65" i="1"/>
  <c r="AF65" i="1"/>
  <c r="AJ65" i="1"/>
  <c r="AH65" i="1"/>
  <c r="AG65" i="1"/>
  <c r="AE65" i="1"/>
  <c r="AC160" i="1"/>
  <c r="AN160" i="1"/>
  <c r="AM160" i="1"/>
  <c r="AL160" i="1"/>
  <c r="AK160" i="1"/>
  <c r="AF160" i="1"/>
  <c r="AJ160" i="1"/>
  <c r="AI160" i="1"/>
  <c r="AH160" i="1"/>
  <c r="AG160" i="1"/>
  <c r="AE160" i="1"/>
  <c r="AH107" i="1"/>
  <c r="AC107" i="1"/>
  <c r="AN107" i="1"/>
  <c r="AM107" i="1"/>
  <c r="AL107" i="1"/>
  <c r="AK107" i="1"/>
  <c r="AF107" i="1"/>
  <c r="AJ107" i="1"/>
  <c r="AI107" i="1"/>
  <c r="AG107" i="1"/>
  <c r="AE107" i="1"/>
  <c r="AC141" i="1"/>
  <c r="AN141" i="1"/>
  <c r="AM141" i="1"/>
  <c r="AL141" i="1"/>
  <c r="AK141" i="1"/>
  <c r="AF141" i="1"/>
  <c r="AJ141" i="1"/>
  <c r="AI141" i="1"/>
  <c r="AH141" i="1"/>
  <c r="AE141" i="1"/>
  <c r="AC136" i="1"/>
  <c r="AN136" i="1"/>
  <c r="AM136" i="1"/>
  <c r="AL136" i="1"/>
  <c r="AK136" i="1"/>
  <c r="AF136" i="1"/>
  <c r="AJ136" i="1"/>
  <c r="AI136" i="1"/>
  <c r="AH136" i="1"/>
  <c r="AG136" i="1"/>
  <c r="AC144" i="1"/>
  <c r="AN144" i="1"/>
  <c r="AM144" i="1"/>
  <c r="AL144" i="1"/>
  <c r="AK144" i="1"/>
  <c r="AF144" i="1"/>
  <c r="AJ144" i="1"/>
  <c r="AI144" i="1"/>
  <c r="AH144" i="1"/>
  <c r="AG144" i="1"/>
  <c r="AE144" i="1"/>
  <c r="AI88" i="1"/>
  <c r="AC88" i="1"/>
  <c r="AN88" i="1"/>
  <c r="AM88" i="1"/>
  <c r="AL88" i="1"/>
  <c r="AK88" i="1"/>
  <c r="AF88" i="1"/>
  <c r="AJ88" i="1"/>
  <c r="AH88" i="1"/>
  <c r="AG88" i="1"/>
  <c r="AE88" i="1"/>
  <c r="AH152" i="1"/>
  <c r="AC152" i="1"/>
  <c r="AN152" i="1"/>
  <c r="AM152" i="1"/>
  <c r="AL152" i="1"/>
  <c r="AK152" i="1"/>
  <c r="AF152" i="1"/>
  <c r="AJ152" i="1"/>
  <c r="AI152" i="1"/>
  <c r="AG152" i="1"/>
  <c r="AE152" i="1"/>
  <c r="AN140" i="1"/>
  <c r="AG140" i="1"/>
  <c r="AC140" i="1"/>
  <c r="AM140" i="1"/>
  <c r="AL140" i="1"/>
  <c r="AK140" i="1"/>
  <c r="AF140" i="1"/>
  <c r="AJ140" i="1"/>
  <c r="AI140" i="1"/>
  <c r="AH140" i="1"/>
  <c r="AE140" i="1"/>
  <c r="AH72" i="1"/>
  <c r="AC72" i="1"/>
  <c r="AN72" i="1"/>
  <c r="AM72" i="1"/>
  <c r="AL72" i="1"/>
  <c r="AK72" i="1"/>
  <c r="AF72" i="1"/>
  <c r="AJ72" i="1"/>
  <c r="AI72" i="1"/>
  <c r="AG72" i="1"/>
  <c r="AE72" i="1"/>
  <c r="AN89" i="1"/>
  <c r="AC89" i="1"/>
  <c r="AM89" i="1"/>
  <c r="AL89" i="1"/>
  <c r="AK89" i="1"/>
  <c r="AF89" i="1"/>
  <c r="AJ89" i="1"/>
  <c r="AI89" i="1"/>
  <c r="AH89" i="1"/>
  <c r="AG89" i="1"/>
  <c r="AE89" i="1"/>
  <c r="AC164" i="1"/>
  <c r="AN164" i="1"/>
  <c r="AM164" i="1"/>
  <c r="AL164" i="1"/>
  <c r="AK164" i="1"/>
  <c r="AF164" i="1"/>
  <c r="AJ164" i="1"/>
  <c r="AI164" i="1"/>
  <c r="AH164" i="1"/>
  <c r="AG164" i="1"/>
  <c r="AI157" i="1"/>
  <c r="AC157" i="1"/>
  <c r="AN157" i="1"/>
  <c r="AM157" i="1"/>
  <c r="AL157" i="1"/>
  <c r="AK157" i="1"/>
  <c r="AF157" i="1"/>
  <c r="AJ157" i="1"/>
  <c r="AH157" i="1"/>
  <c r="AG157" i="1"/>
  <c r="AE157" i="1"/>
  <c r="AC102" i="1"/>
  <c r="AN102" i="1"/>
  <c r="AM102" i="1"/>
  <c r="AL102" i="1"/>
  <c r="AK102" i="1"/>
  <c r="AF102" i="1"/>
  <c r="AJ102" i="1"/>
  <c r="AI102" i="1"/>
  <c r="AH102" i="1"/>
  <c r="AG102" i="1"/>
  <c r="AE102" i="1"/>
  <c r="AG146" i="1"/>
  <c r="AC146" i="1"/>
  <c r="AN146" i="1"/>
  <c r="AM146" i="1"/>
  <c r="AL146" i="1"/>
  <c r="AK146" i="1"/>
  <c r="AF146" i="1"/>
  <c r="AJ146" i="1"/>
  <c r="AI146" i="1"/>
  <c r="AH146" i="1"/>
  <c r="AE146" i="1"/>
  <c r="AH150" i="1"/>
  <c r="AC150" i="1"/>
  <c r="AN150" i="1"/>
  <c r="AM150" i="1"/>
  <c r="AL150" i="1"/>
  <c r="AK150" i="1"/>
  <c r="AF150" i="1"/>
  <c r="AJ150" i="1"/>
  <c r="AI150" i="1"/>
  <c r="AE150" i="1"/>
  <c r="AG158" i="1"/>
  <c r="AC158" i="1"/>
  <c r="AN158" i="1"/>
  <c r="AM158" i="1"/>
  <c r="AL158" i="1"/>
  <c r="AK158" i="1"/>
  <c r="AF158" i="1"/>
  <c r="AJ158" i="1"/>
  <c r="AI158" i="1"/>
  <c r="AH158" i="1"/>
  <c r="AE158" i="1"/>
  <c r="AC62" i="1"/>
  <c r="AN62" i="1"/>
  <c r="AM62" i="1"/>
  <c r="AL62" i="1"/>
  <c r="AK62" i="1"/>
  <c r="AF62" i="1"/>
  <c r="AJ62" i="1"/>
  <c r="AI62" i="1"/>
  <c r="AH62" i="1"/>
  <c r="AG62" i="1"/>
  <c r="AI77" i="1"/>
  <c r="AC77" i="1"/>
  <c r="AN77" i="1"/>
  <c r="AM77" i="1"/>
  <c r="AL77" i="1"/>
  <c r="AK77" i="1"/>
  <c r="AF77" i="1"/>
  <c r="AJ77" i="1"/>
  <c r="AH77" i="1"/>
  <c r="AG77" i="1"/>
  <c r="AE77" i="1"/>
  <c r="AJ70" i="1"/>
  <c r="AH70" i="1"/>
  <c r="AC70" i="1"/>
  <c r="AN70" i="1"/>
  <c r="AM70" i="1"/>
  <c r="AL70" i="1"/>
  <c r="AK70" i="1"/>
  <c r="AF70" i="1"/>
  <c r="AI70" i="1"/>
  <c r="AG70" i="1"/>
  <c r="AE70" i="1"/>
  <c r="AI60" i="1"/>
  <c r="AC60" i="1"/>
  <c r="AN60" i="1"/>
  <c r="AM60" i="1"/>
  <c r="AL60" i="1"/>
  <c r="AK60" i="1"/>
  <c r="AF60" i="1"/>
  <c r="AJ60" i="1"/>
  <c r="AH60" i="1"/>
  <c r="AG60" i="1"/>
  <c r="AE60" i="1"/>
  <c r="AC80" i="1"/>
  <c r="AN80" i="1"/>
  <c r="AM80" i="1"/>
  <c r="AL80" i="1"/>
  <c r="AK80" i="1"/>
  <c r="AF80" i="1"/>
  <c r="AJ80" i="1"/>
  <c r="AH80" i="1"/>
  <c r="AG80" i="1"/>
  <c r="AE80" i="1"/>
  <c r="AC92" i="1"/>
  <c r="AN92" i="1"/>
  <c r="AM92" i="1"/>
  <c r="AL92" i="1"/>
  <c r="AK92" i="1"/>
  <c r="AF92" i="1"/>
  <c r="AJ92" i="1"/>
  <c r="AI92" i="1"/>
  <c r="AH92" i="1"/>
  <c r="AG92" i="1"/>
  <c r="AE92" i="1"/>
  <c r="AJ142" i="1"/>
  <c r="AC142" i="1"/>
  <c r="AD142" i="1" s="1"/>
  <c r="AO142" i="1" s="1"/>
  <c r="AN142" i="1"/>
  <c r="AM142" i="1"/>
  <c r="AL142" i="1"/>
  <c r="AK142" i="1"/>
  <c r="AF142" i="1"/>
  <c r="AI142" i="1"/>
  <c r="AH142" i="1"/>
  <c r="AG142" i="1"/>
  <c r="AC101" i="1"/>
  <c r="AN101" i="1"/>
  <c r="AM101" i="1"/>
  <c r="AL101" i="1"/>
  <c r="AK101" i="1"/>
  <c r="AF101" i="1"/>
  <c r="AJ101" i="1"/>
  <c r="AI101" i="1"/>
  <c r="AH101" i="1"/>
  <c r="AG101" i="1"/>
  <c r="AE101" i="1"/>
  <c r="AC75" i="1"/>
  <c r="AN75" i="1"/>
  <c r="AM75" i="1"/>
  <c r="AL75" i="1"/>
  <c r="AK75" i="1"/>
  <c r="AF75" i="1"/>
  <c r="AJ75" i="1"/>
  <c r="AI75" i="1"/>
  <c r="AH75" i="1"/>
  <c r="AG75" i="1"/>
  <c r="AE75" i="1"/>
  <c r="AG115" i="1"/>
  <c r="AC115" i="1"/>
  <c r="AN115" i="1"/>
  <c r="AM115" i="1"/>
  <c r="AL115" i="1"/>
  <c r="AK115" i="1"/>
  <c r="AF115" i="1"/>
  <c r="AJ115" i="1"/>
  <c r="AI115" i="1"/>
  <c r="AH115" i="1"/>
  <c r="AE115" i="1"/>
  <c r="AH100" i="1"/>
  <c r="AC100" i="1"/>
  <c r="AD100" i="1" s="1"/>
  <c r="AO100" i="1" s="1"/>
  <c r="AN100" i="1"/>
  <c r="AM100" i="1"/>
  <c r="AL100" i="1"/>
  <c r="AK100" i="1"/>
  <c r="AF100" i="1"/>
  <c r="AJ100" i="1"/>
  <c r="AG100" i="1"/>
  <c r="AE100" i="1"/>
  <c r="AG112" i="1"/>
  <c r="AC112" i="1"/>
  <c r="AN112" i="1"/>
  <c r="AM112" i="1"/>
  <c r="AL112" i="1"/>
  <c r="AK112" i="1"/>
  <c r="AF112" i="1"/>
  <c r="AJ112" i="1"/>
  <c r="AI112" i="1"/>
  <c r="AH112" i="1"/>
  <c r="AE112" i="1"/>
  <c r="AC110" i="1"/>
  <c r="AN110" i="1"/>
  <c r="AM110" i="1"/>
  <c r="AL110" i="1"/>
  <c r="AK110" i="1"/>
  <c r="AF110" i="1"/>
  <c r="AJ110" i="1"/>
  <c r="AI110" i="1"/>
  <c r="AH110" i="1"/>
  <c r="AG110" i="1"/>
  <c r="AI121" i="1"/>
  <c r="AC121" i="1"/>
  <c r="AN121" i="1"/>
  <c r="AM121" i="1"/>
  <c r="AL121" i="1"/>
  <c r="AK121" i="1"/>
  <c r="AF121" i="1"/>
  <c r="AJ121" i="1"/>
  <c r="AH121" i="1"/>
  <c r="AG121" i="1"/>
  <c r="AE121" i="1"/>
  <c r="AH91" i="1"/>
  <c r="AC91" i="1"/>
  <c r="AN91" i="1"/>
  <c r="AM91" i="1"/>
  <c r="AL91" i="1"/>
  <c r="AK91" i="1"/>
  <c r="AF91" i="1"/>
  <c r="AJ91" i="1"/>
  <c r="AI91" i="1"/>
  <c r="AG91" i="1"/>
  <c r="AE91" i="1"/>
  <c r="AI114" i="1"/>
  <c r="AG114" i="1"/>
  <c r="AC114" i="1"/>
  <c r="AN114" i="1"/>
  <c r="AM114" i="1"/>
  <c r="AL114" i="1"/>
  <c r="AK114" i="1"/>
  <c r="AF114" i="1"/>
  <c r="AJ114" i="1"/>
  <c r="AH114" i="1"/>
  <c r="AE114" i="1"/>
  <c r="AC123" i="1"/>
  <c r="AN123" i="1"/>
  <c r="AM123" i="1"/>
  <c r="AL123" i="1"/>
  <c r="AK123" i="1"/>
  <c r="AF123" i="1"/>
  <c r="AJ123" i="1"/>
  <c r="AH123" i="1"/>
  <c r="AG123" i="1"/>
  <c r="AE123" i="1"/>
  <c r="AG163" i="1"/>
  <c r="AC163" i="1"/>
  <c r="AN163" i="1"/>
  <c r="AM163" i="1"/>
  <c r="AL163" i="1"/>
  <c r="AK163" i="1"/>
  <c r="AF163" i="1"/>
  <c r="AJ163" i="1"/>
  <c r="AI163" i="1"/>
  <c r="AH163" i="1"/>
  <c r="AE163" i="1"/>
  <c r="AC113" i="1"/>
  <c r="AN113" i="1"/>
  <c r="AM113" i="1"/>
  <c r="AL113" i="1"/>
  <c r="AK113" i="1"/>
  <c r="AF113" i="1"/>
  <c r="AJ113" i="1"/>
  <c r="AI113" i="1"/>
  <c r="AH113" i="1"/>
  <c r="AG113" i="1"/>
  <c r="AI153" i="1"/>
  <c r="AC153" i="1"/>
  <c r="AN153" i="1"/>
  <c r="AM153" i="1"/>
  <c r="AL153" i="1"/>
  <c r="AK153" i="1"/>
  <c r="AF153" i="1"/>
  <c r="AJ153" i="1"/>
  <c r="AH153" i="1"/>
  <c r="AG153" i="1"/>
  <c r="AE153" i="1"/>
  <c r="AH124" i="1"/>
  <c r="AC124" i="1"/>
  <c r="AN124" i="1"/>
  <c r="AM124" i="1"/>
  <c r="AL124" i="1"/>
  <c r="AK124" i="1"/>
  <c r="AF124" i="1"/>
  <c r="AJ124" i="1"/>
  <c r="AI124" i="1"/>
  <c r="AG124" i="1"/>
  <c r="AE124" i="1"/>
  <c r="AI133" i="1"/>
  <c r="AG133" i="1"/>
  <c r="AC133" i="1"/>
  <c r="AN133" i="1"/>
  <c r="AM133" i="1"/>
  <c r="AL133" i="1"/>
  <c r="AK133" i="1"/>
  <c r="AF133" i="1"/>
  <c r="AJ133" i="1"/>
  <c r="AH133" i="1"/>
  <c r="AE133" i="1"/>
  <c r="AC139" i="1"/>
  <c r="AN139" i="1"/>
  <c r="AM139" i="1"/>
  <c r="AL139" i="1"/>
  <c r="AK139" i="1"/>
  <c r="AF139" i="1"/>
  <c r="AJ139" i="1"/>
  <c r="AH139" i="1"/>
  <c r="AG139" i="1"/>
  <c r="AE139" i="1"/>
  <c r="AG169" i="1"/>
  <c r="AC169" i="1"/>
  <c r="AN169" i="1"/>
  <c r="AM169" i="1"/>
  <c r="AL169" i="1"/>
  <c r="AK169" i="1"/>
  <c r="AF169" i="1"/>
  <c r="AJ169" i="1"/>
  <c r="AI169" i="1"/>
  <c r="AH169" i="1"/>
  <c r="AE169" i="1"/>
  <c r="AC176" i="1"/>
  <c r="AN176" i="1"/>
  <c r="AM176" i="1"/>
  <c r="AL176" i="1"/>
  <c r="AK176" i="1"/>
  <c r="AF176" i="1"/>
  <c r="AJ176" i="1"/>
  <c r="AI176" i="1"/>
  <c r="AH176" i="1"/>
  <c r="AG176" i="1"/>
  <c r="AI183" i="1"/>
  <c r="AC183" i="1"/>
  <c r="AN183" i="1"/>
  <c r="AM183" i="1"/>
  <c r="AL183" i="1"/>
  <c r="AK183" i="1"/>
  <c r="AF183" i="1"/>
  <c r="AJ183" i="1"/>
  <c r="AH183" i="1"/>
  <c r="AG183" i="1"/>
  <c r="AE183" i="1"/>
  <c r="AC51" i="1"/>
  <c r="AN51" i="1"/>
  <c r="AM51" i="1"/>
  <c r="AL51" i="1"/>
  <c r="AK51" i="1"/>
  <c r="AF51" i="1"/>
  <c r="AJ51" i="1"/>
  <c r="AI51" i="1"/>
  <c r="AH51" i="1"/>
  <c r="AG51" i="1"/>
  <c r="AE51" i="1"/>
  <c r="AI220" i="1"/>
  <c r="AG220" i="1"/>
  <c r="AC220" i="1"/>
  <c r="AN220" i="1"/>
  <c r="AM220" i="1"/>
  <c r="AL220" i="1"/>
  <c r="AK220" i="1"/>
  <c r="AF220" i="1"/>
  <c r="AJ220" i="1"/>
  <c r="AH220" i="1"/>
  <c r="AE220" i="1"/>
  <c r="AC57" i="1"/>
  <c r="AN57" i="1"/>
  <c r="AM57" i="1"/>
  <c r="AL57" i="1"/>
  <c r="AK57" i="1"/>
  <c r="AF57" i="1"/>
  <c r="AJ57" i="1"/>
  <c r="AH57" i="1"/>
  <c r="AG57" i="1"/>
  <c r="AE57" i="1"/>
  <c r="AG78" i="1"/>
  <c r="AC78" i="1"/>
  <c r="AN78" i="1"/>
  <c r="AM78" i="1"/>
  <c r="AL78" i="1"/>
  <c r="AK78" i="1"/>
  <c r="AF78" i="1"/>
  <c r="AJ78" i="1"/>
  <c r="AI78" i="1"/>
  <c r="AH78" i="1"/>
  <c r="AE78" i="1"/>
  <c r="AC81" i="1"/>
  <c r="AN81" i="1"/>
  <c r="AM81" i="1"/>
  <c r="AL81" i="1"/>
  <c r="AK81" i="1"/>
  <c r="AF81" i="1"/>
  <c r="AJ81" i="1"/>
  <c r="AI81" i="1"/>
  <c r="AH81" i="1"/>
  <c r="AG81" i="1"/>
  <c r="AC96" i="1"/>
  <c r="AN96" i="1"/>
  <c r="AM96" i="1"/>
  <c r="AL96" i="1"/>
  <c r="AK96" i="1"/>
  <c r="AF96" i="1"/>
  <c r="AJ96" i="1"/>
  <c r="AI96" i="1"/>
  <c r="AH96" i="1"/>
  <c r="AG96" i="1"/>
  <c r="AE96" i="1"/>
  <c r="AJ86" i="1"/>
  <c r="AC86" i="1"/>
  <c r="AN86" i="1"/>
  <c r="AM86" i="1"/>
  <c r="AL86" i="1"/>
  <c r="AK86" i="1"/>
  <c r="AF86" i="1"/>
  <c r="AI86" i="1"/>
  <c r="AH86" i="1"/>
  <c r="AG86" i="1"/>
  <c r="AE86" i="1"/>
  <c r="AI234" i="1"/>
  <c r="AC234" i="1"/>
  <c r="AN234" i="1"/>
  <c r="AM234" i="1"/>
  <c r="AL234" i="1"/>
  <c r="AK234" i="1"/>
  <c r="AF234" i="1"/>
  <c r="AJ234" i="1"/>
  <c r="AH234" i="1"/>
  <c r="AG234" i="1"/>
  <c r="AE234" i="1"/>
  <c r="AC98" i="1"/>
  <c r="AN98" i="1"/>
  <c r="AM98" i="1"/>
  <c r="AL98" i="1"/>
  <c r="AK98" i="1"/>
  <c r="AF98" i="1"/>
  <c r="AJ98" i="1"/>
  <c r="AH98" i="1"/>
  <c r="AG98" i="1"/>
  <c r="AE98" i="1"/>
  <c r="AC116" i="1"/>
  <c r="AN116" i="1"/>
  <c r="AM116" i="1"/>
  <c r="AL116" i="1"/>
  <c r="AK116" i="1"/>
  <c r="AF116" i="1"/>
  <c r="AJ116" i="1"/>
  <c r="AI116" i="1"/>
  <c r="AH116" i="1"/>
  <c r="AG116" i="1"/>
  <c r="AE116" i="1"/>
  <c r="AJ281" i="1"/>
  <c r="AC281" i="1"/>
  <c r="AD281" i="1" s="1"/>
  <c r="AO281" i="1" s="1"/>
  <c r="AN281" i="1"/>
  <c r="AM281" i="1"/>
  <c r="AL281" i="1"/>
  <c r="AK281" i="1"/>
  <c r="AF281" i="1"/>
  <c r="AI281" i="1"/>
  <c r="AH281" i="1"/>
  <c r="AG281" i="1"/>
  <c r="AC45" i="1"/>
  <c r="AN45" i="1"/>
  <c r="AM45" i="1"/>
  <c r="AL45" i="1"/>
  <c r="AK45" i="1"/>
  <c r="AF45" i="1"/>
  <c r="AJ45" i="1"/>
  <c r="AI45" i="1"/>
  <c r="AH45" i="1"/>
  <c r="AG45" i="1"/>
  <c r="AE45" i="1"/>
  <c r="AH38" i="1"/>
  <c r="AC38" i="1"/>
  <c r="AN38" i="1"/>
  <c r="AM38" i="1"/>
  <c r="AL38" i="1"/>
  <c r="AK38" i="1"/>
  <c r="AF38" i="1"/>
  <c r="AJ38" i="1"/>
  <c r="AI38" i="1"/>
  <c r="AG38" i="1"/>
  <c r="AE38" i="1"/>
  <c r="AC128" i="1"/>
  <c r="AN128" i="1"/>
  <c r="AM128" i="1"/>
  <c r="AL128" i="1"/>
  <c r="AK128" i="1"/>
  <c r="AF128" i="1"/>
  <c r="AJ128" i="1"/>
  <c r="AI128" i="1"/>
  <c r="AH128" i="1"/>
  <c r="AG128" i="1"/>
  <c r="AE128" i="1"/>
  <c r="AH13" i="1"/>
  <c r="AC13" i="1"/>
  <c r="AD13" i="1" s="1"/>
  <c r="AO13" i="1" s="1"/>
  <c r="AN13" i="1"/>
  <c r="AM13" i="1"/>
  <c r="AL13" i="1"/>
  <c r="AK13" i="1"/>
  <c r="AF13" i="1"/>
  <c r="AJ13" i="1"/>
  <c r="AG13" i="1"/>
  <c r="AE13" i="1"/>
  <c r="AG58" i="1"/>
  <c r="AC58" i="1"/>
  <c r="AN58" i="1"/>
  <c r="AM58" i="1"/>
  <c r="AL58" i="1"/>
  <c r="AK58" i="1"/>
  <c r="AF58" i="1"/>
  <c r="AJ58" i="1"/>
  <c r="AI58" i="1"/>
  <c r="AH58" i="1"/>
  <c r="AE58" i="1"/>
  <c r="AJ68" i="1"/>
  <c r="AC68" i="1"/>
  <c r="AN68" i="1"/>
  <c r="AM68" i="1"/>
  <c r="AL68" i="1"/>
  <c r="AK68" i="1"/>
  <c r="AF68" i="1"/>
  <c r="AI68" i="1"/>
  <c r="AH68" i="1"/>
  <c r="AG68" i="1"/>
  <c r="AJ40" i="1"/>
  <c r="AC40" i="1"/>
  <c r="AN40" i="1"/>
  <c r="AM40" i="1"/>
  <c r="AL40" i="1"/>
  <c r="AK40" i="1"/>
  <c r="AF40" i="1"/>
  <c r="AI40" i="1"/>
  <c r="AH40" i="1"/>
  <c r="AG40" i="1"/>
  <c r="AE40" i="1"/>
  <c r="AJ79" i="1"/>
  <c r="AC79" i="1"/>
  <c r="AN79" i="1"/>
  <c r="AM79" i="1"/>
  <c r="AL79" i="1"/>
  <c r="AK79" i="1"/>
  <c r="AF79" i="1"/>
  <c r="AI79" i="1"/>
  <c r="AH79" i="1"/>
  <c r="AG79" i="1"/>
  <c r="AE79" i="1"/>
  <c r="AI59" i="1"/>
  <c r="AC59" i="1"/>
  <c r="AN59" i="1"/>
  <c r="AM59" i="1"/>
  <c r="AL59" i="1"/>
  <c r="AK59" i="1"/>
  <c r="AF59" i="1"/>
  <c r="AJ59" i="1"/>
  <c r="AH59" i="1"/>
  <c r="AG59" i="1"/>
  <c r="AE59" i="1"/>
  <c r="AG47" i="1"/>
  <c r="AC47" i="1"/>
  <c r="AN47" i="1"/>
  <c r="AM47" i="1"/>
  <c r="AL47" i="1"/>
  <c r="AK47" i="1"/>
  <c r="AF47" i="1"/>
  <c r="AJ47" i="1"/>
  <c r="AH47" i="1"/>
  <c r="AE47" i="1"/>
  <c r="AC12" i="1"/>
  <c r="AN12" i="1"/>
  <c r="AM12" i="1"/>
  <c r="AL12" i="1"/>
  <c r="AK12" i="1"/>
  <c r="AF12" i="1"/>
  <c r="AJ12" i="1"/>
  <c r="AI12" i="1"/>
  <c r="AH12" i="1"/>
  <c r="AG12" i="1"/>
  <c r="AE12" i="1"/>
  <c r="AC67" i="1"/>
  <c r="AN67" i="1"/>
  <c r="AM67" i="1"/>
  <c r="AL67" i="1"/>
  <c r="AK67" i="1"/>
  <c r="AF67" i="1"/>
  <c r="AJ67" i="1"/>
  <c r="AI67" i="1"/>
  <c r="AH67" i="1"/>
  <c r="AG67" i="1"/>
  <c r="AC61" i="1"/>
  <c r="AN61" i="1"/>
  <c r="AM61" i="1"/>
  <c r="AL61" i="1"/>
  <c r="AK61" i="1"/>
  <c r="AF61" i="1"/>
  <c r="AJ61" i="1"/>
  <c r="AI61" i="1"/>
  <c r="AH61" i="1"/>
  <c r="AG61" i="1"/>
  <c r="AE61" i="1"/>
  <c r="AC48" i="1"/>
  <c r="AN48" i="1"/>
  <c r="AM48" i="1"/>
  <c r="AL48" i="1"/>
  <c r="AK48" i="1"/>
  <c r="AF48" i="1"/>
  <c r="AJ48" i="1"/>
  <c r="AI48" i="1"/>
  <c r="AH48" i="1"/>
  <c r="AG48" i="1"/>
  <c r="AE48" i="1"/>
  <c r="AI39" i="1"/>
  <c r="AC39" i="1"/>
  <c r="AN39" i="1"/>
  <c r="AM39" i="1"/>
  <c r="AL39" i="1"/>
  <c r="AK39" i="1"/>
  <c r="AF39" i="1"/>
  <c r="AJ39" i="1"/>
  <c r="AH39" i="1"/>
  <c r="AG39" i="1"/>
  <c r="AE39" i="1"/>
  <c r="AC11" i="1"/>
  <c r="AN11" i="1"/>
  <c r="AM11" i="1"/>
  <c r="AL11" i="1"/>
  <c r="AK11" i="1"/>
  <c r="AF11" i="1"/>
  <c r="AJ11" i="1"/>
  <c r="AH11" i="1"/>
  <c r="AG11" i="1"/>
  <c r="AE11" i="1"/>
  <c r="AG64" i="1"/>
  <c r="AC64" i="1"/>
  <c r="AN64" i="1"/>
  <c r="AM64" i="1"/>
  <c r="AL64" i="1"/>
  <c r="AK64" i="1"/>
  <c r="AF64" i="1"/>
  <c r="AJ64" i="1"/>
  <c r="AI64" i="1"/>
  <c r="AH64" i="1"/>
  <c r="AE64" i="1"/>
  <c r="AC87" i="1"/>
  <c r="AN87" i="1"/>
  <c r="AM87" i="1"/>
  <c r="AL87" i="1"/>
  <c r="AK87" i="1"/>
  <c r="AF87" i="1"/>
  <c r="AJ87" i="1"/>
  <c r="AI87" i="1"/>
  <c r="AH87" i="1"/>
  <c r="AG87" i="1"/>
  <c r="AC55" i="1"/>
  <c r="AN55" i="1"/>
  <c r="AM55" i="1"/>
  <c r="AL55" i="1"/>
  <c r="AK55" i="1"/>
  <c r="AF55" i="1"/>
  <c r="AJ55" i="1"/>
  <c r="AI55" i="1"/>
  <c r="AH55" i="1"/>
  <c r="AG55" i="1"/>
  <c r="AE55" i="1"/>
  <c r="AC74" i="1"/>
  <c r="AN74" i="1"/>
  <c r="AM74" i="1"/>
  <c r="AL74" i="1"/>
  <c r="AK74" i="1"/>
  <c r="AF74" i="1"/>
  <c r="AJ74" i="1"/>
  <c r="AI74" i="1"/>
  <c r="AH74" i="1"/>
  <c r="AG74" i="1"/>
  <c r="AE74" i="1"/>
  <c r="AI63" i="1"/>
  <c r="AC63" i="1"/>
  <c r="AN63" i="1"/>
  <c r="AM63" i="1"/>
  <c r="AL63" i="1"/>
  <c r="AK63" i="1"/>
  <c r="AF63" i="1"/>
  <c r="AJ63" i="1"/>
  <c r="AH63" i="1"/>
  <c r="AG63" i="1"/>
  <c r="AE63" i="1"/>
  <c r="AC25" i="1"/>
  <c r="AN25" i="1"/>
  <c r="AM25" i="1"/>
  <c r="AL25" i="1"/>
  <c r="AK25" i="1"/>
  <c r="AF25" i="1"/>
  <c r="AJ25" i="1"/>
  <c r="AH25" i="1"/>
  <c r="AG25" i="1"/>
  <c r="AE25" i="1"/>
  <c r="AG9" i="1"/>
  <c r="AC9" i="1"/>
  <c r="AN9" i="1"/>
  <c r="AM9" i="1"/>
  <c r="AL9" i="1"/>
  <c r="AK9" i="1"/>
  <c r="AF9" i="1"/>
  <c r="AJ9" i="1"/>
  <c r="AI9" i="1"/>
  <c r="AH9" i="1"/>
  <c r="AE9" i="1"/>
  <c r="AC10" i="1"/>
  <c r="AN10" i="1"/>
  <c r="AM10" i="1"/>
  <c r="AL10" i="1"/>
  <c r="AK10" i="1"/>
  <c r="AF10" i="1"/>
  <c r="AJ10" i="1"/>
  <c r="AI10" i="1"/>
  <c r="AH10" i="1"/>
  <c r="AG10" i="1"/>
  <c r="AC6" i="1"/>
  <c r="AN6" i="1"/>
  <c r="AM6" i="1"/>
  <c r="AL6" i="1"/>
  <c r="AK6" i="1"/>
  <c r="AF6" i="1"/>
  <c r="AJ6" i="1"/>
  <c r="AI6" i="1"/>
  <c r="AH6" i="1"/>
  <c r="AG6" i="1"/>
  <c r="AE6" i="1"/>
  <c r="AC90" i="1"/>
  <c r="AN90" i="1"/>
  <c r="AM90" i="1"/>
  <c r="AL90" i="1"/>
  <c r="AK90" i="1"/>
  <c r="AF90" i="1"/>
  <c r="AJ90" i="1"/>
  <c r="AI90" i="1"/>
  <c r="AH90" i="1"/>
  <c r="AG90" i="1"/>
  <c r="AE90" i="1"/>
  <c r="AI2" i="1"/>
  <c r="AC2" i="1"/>
  <c r="AN2" i="1"/>
  <c r="AM2" i="1"/>
  <c r="AL2" i="1"/>
  <c r="AK2" i="1"/>
  <c r="AF2" i="1"/>
  <c r="AJ2" i="1"/>
  <c r="AH2" i="1"/>
  <c r="AG2" i="1"/>
  <c r="AE2" i="1"/>
  <c r="AC84" i="1"/>
  <c r="AN84" i="1"/>
  <c r="AM84" i="1"/>
  <c r="AL84" i="1"/>
  <c r="AK84" i="1"/>
  <c r="AF84" i="1"/>
  <c r="AJ84" i="1"/>
  <c r="AH84" i="1"/>
  <c r="AG84" i="1"/>
  <c r="AE84" i="1"/>
  <c r="AG8" i="1"/>
  <c r="AC8" i="1"/>
  <c r="AN8" i="1"/>
  <c r="AM8" i="1"/>
  <c r="AL8" i="1"/>
  <c r="AK8" i="1"/>
  <c r="AF8" i="1"/>
  <c r="AJ8" i="1"/>
  <c r="AI8" i="1"/>
  <c r="AH8" i="1"/>
  <c r="AE8" i="1"/>
  <c r="AC76" i="1"/>
  <c r="AN76" i="1"/>
  <c r="AM76" i="1"/>
  <c r="AL76" i="1"/>
  <c r="AK76" i="1"/>
  <c r="AF76" i="1"/>
  <c r="AJ76" i="1"/>
  <c r="AI76" i="1"/>
  <c r="AH76" i="1"/>
  <c r="AG76" i="1"/>
  <c r="AJ3" i="1"/>
  <c r="AC3" i="1"/>
  <c r="AN3" i="1"/>
  <c r="AM3" i="1"/>
  <c r="AL3" i="1"/>
  <c r="AK3" i="1"/>
  <c r="AF3" i="1"/>
  <c r="AI3" i="1"/>
  <c r="AH3" i="1"/>
  <c r="AG3" i="1"/>
  <c r="AE3" i="1"/>
  <c r="AJ22" i="1"/>
  <c r="AC22" i="1"/>
  <c r="AN22" i="1"/>
  <c r="AM22" i="1"/>
  <c r="AL22" i="1"/>
  <c r="AK22" i="1"/>
  <c r="AF22" i="1"/>
  <c r="AI22" i="1"/>
  <c r="AH22" i="1"/>
  <c r="AG22" i="1"/>
  <c r="AE22" i="1"/>
  <c r="AC66" i="1"/>
  <c r="AN66" i="1"/>
  <c r="AM66" i="1"/>
  <c r="AL66" i="1"/>
  <c r="AK66" i="1"/>
  <c r="AF66" i="1"/>
  <c r="AJ66" i="1"/>
  <c r="AI66" i="1"/>
  <c r="AH66" i="1"/>
  <c r="AG66" i="1"/>
  <c r="AE66" i="1"/>
  <c r="AG4" i="1"/>
  <c r="AC4" i="1"/>
  <c r="AN4" i="1"/>
  <c r="AM4" i="1"/>
  <c r="AL4" i="1"/>
  <c r="AK4" i="1"/>
  <c r="AF4" i="1"/>
  <c r="AJ4" i="1"/>
  <c r="AH4" i="1"/>
  <c r="AE4" i="1"/>
  <c r="AG5" i="1"/>
  <c r="AC5" i="1"/>
  <c r="AN5" i="1"/>
  <c r="AM5" i="1"/>
  <c r="AL5" i="1"/>
  <c r="AK5" i="1"/>
  <c r="AF5" i="1"/>
  <c r="AJ5" i="1"/>
  <c r="AI5" i="1"/>
  <c r="AH5" i="1"/>
  <c r="AE5" i="1"/>
  <c r="AC21" i="1"/>
  <c r="AN21" i="1"/>
  <c r="AM21" i="1"/>
  <c r="AL21" i="1"/>
  <c r="AK21" i="1"/>
  <c r="AF21" i="1"/>
  <c r="AJ21" i="1"/>
  <c r="AI21" i="1"/>
  <c r="AH21" i="1"/>
  <c r="AG21" i="1"/>
  <c r="AC23" i="1"/>
  <c r="AN23" i="1"/>
  <c r="AM23" i="1"/>
  <c r="AL23" i="1"/>
  <c r="AK23" i="1"/>
  <c r="AF23" i="1"/>
  <c r="AJ23" i="1"/>
  <c r="AI23" i="1"/>
  <c r="AH23" i="1"/>
  <c r="AG23" i="1"/>
  <c r="AJ20" i="1"/>
  <c r="AC20" i="1"/>
  <c r="AN20" i="1"/>
  <c r="AM20" i="1"/>
  <c r="AL20" i="1"/>
  <c r="AK20" i="1"/>
  <c r="AF20" i="1"/>
  <c r="AI20" i="1"/>
  <c r="AH20" i="1"/>
  <c r="AG20" i="1"/>
  <c r="AE20" i="1"/>
  <c r="AC93" i="1"/>
  <c r="AN93" i="1"/>
  <c r="AM93" i="1"/>
  <c r="AL93" i="1"/>
  <c r="AK93" i="1"/>
  <c r="AF93" i="1"/>
  <c r="AJ93" i="1"/>
  <c r="AI93" i="1"/>
  <c r="AH93" i="1"/>
  <c r="AG93" i="1"/>
  <c r="AC50" i="1"/>
  <c r="AN50" i="1"/>
  <c r="AM50" i="1"/>
  <c r="AL50" i="1"/>
  <c r="AK50" i="1"/>
  <c r="AF50" i="1"/>
  <c r="AJ50" i="1"/>
  <c r="AH50" i="1"/>
  <c r="AG50" i="1"/>
  <c r="AE50" i="1"/>
  <c r="AG19" i="1"/>
  <c r="AC19" i="1"/>
  <c r="AD19" i="1" s="1"/>
  <c r="AO19" i="1" s="1"/>
  <c r="AN19" i="1"/>
  <c r="AM19" i="1"/>
  <c r="AL19" i="1"/>
  <c r="AK19" i="1"/>
  <c r="AF19" i="1"/>
  <c r="AJ19" i="1"/>
  <c r="AI19" i="1"/>
  <c r="AE19" i="1"/>
  <c r="AG7" i="1"/>
  <c r="AC7" i="1"/>
  <c r="AN7" i="1"/>
  <c r="AM7" i="1"/>
  <c r="AL7" i="1"/>
  <c r="AK7" i="1"/>
  <c r="AF7" i="1"/>
  <c r="AJ7" i="1"/>
  <c r="AI7" i="1"/>
  <c r="AH7" i="1"/>
  <c r="AM69" i="1"/>
  <c r="AL69" i="1"/>
  <c r="AC69" i="1"/>
  <c r="AN69" i="1"/>
  <c r="AK69" i="1"/>
  <c r="AF69" i="1"/>
  <c r="AJ69" i="1"/>
  <c r="AI69" i="1"/>
  <c r="AH69" i="1"/>
  <c r="AG69" i="1"/>
  <c r="AE69" i="1"/>
  <c r="AI28" i="1"/>
  <c r="AC28" i="1"/>
  <c r="AN28" i="1"/>
  <c r="AM28" i="1"/>
  <c r="AL28" i="1"/>
  <c r="AK28" i="1"/>
  <c r="AF28" i="1"/>
  <c r="AJ28" i="1"/>
  <c r="AH28" i="1"/>
  <c r="AG28" i="1"/>
  <c r="AE28" i="1"/>
  <c r="AI54" i="1"/>
  <c r="AC54" i="1"/>
  <c r="AN54" i="1"/>
  <c r="AM54" i="1"/>
  <c r="AL54" i="1"/>
  <c r="AK54" i="1"/>
  <c r="AF54" i="1"/>
  <c r="AJ54" i="1"/>
  <c r="AH54" i="1"/>
  <c r="AG54" i="1"/>
  <c r="AE54" i="1"/>
  <c r="AH26" i="1"/>
  <c r="AC26" i="1"/>
  <c r="AN26" i="1"/>
  <c r="AM26" i="1"/>
  <c r="AL26" i="1"/>
  <c r="AK26" i="1"/>
  <c r="AF26" i="1"/>
  <c r="AJ26" i="1"/>
  <c r="AI26" i="1"/>
  <c r="AG26" i="1"/>
  <c r="AE26" i="1"/>
  <c r="AJ18" i="1"/>
  <c r="AG18" i="1"/>
  <c r="AC18" i="1"/>
  <c r="AN18" i="1"/>
  <c r="AM18" i="1"/>
  <c r="AL18" i="1"/>
  <c r="AK18" i="1"/>
  <c r="AF18" i="1"/>
  <c r="AI18" i="1"/>
  <c r="AH18" i="1"/>
  <c r="AE18" i="1"/>
  <c r="AC56" i="1"/>
  <c r="AN56" i="1"/>
  <c r="AM56" i="1"/>
  <c r="AL56" i="1"/>
  <c r="AK56" i="1"/>
  <c r="AF56" i="1"/>
  <c r="AJ56" i="1"/>
  <c r="AI56" i="1"/>
  <c r="AH56" i="1"/>
  <c r="AG56" i="1"/>
  <c r="AE56" i="1"/>
  <c r="AJ17" i="1"/>
  <c r="AC17" i="1"/>
  <c r="AN17" i="1"/>
  <c r="AM17" i="1"/>
  <c r="AL17" i="1"/>
  <c r="AK17" i="1"/>
  <c r="AF17" i="1"/>
  <c r="AI17" i="1"/>
  <c r="AH17" i="1"/>
  <c r="AG17" i="1"/>
  <c r="AE17" i="1"/>
  <c r="AG49" i="1"/>
  <c r="AC49" i="1"/>
  <c r="AN49" i="1"/>
  <c r="AM49" i="1"/>
  <c r="AL49" i="1"/>
  <c r="AK49" i="1"/>
  <c r="AF49" i="1"/>
  <c r="AJ49" i="1"/>
  <c r="AI49" i="1"/>
  <c r="AH49" i="1"/>
  <c r="AE49" i="1"/>
  <c r="AI73" i="1"/>
  <c r="AH73" i="1"/>
  <c r="AC73" i="1"/>
  <c r="AN73" i="1"/>
  <c r="AM73" i="1"/>
  <c r="AL73" i="1"/>
  <c r="AK73" i="1"/>
  <c r="AF73" i="1"/>
  <c r="AJ73" i="1"/>
  <c r="AG73" i="1"/>
  <c r="AE73" i="1"/>
  <c r="AH16" i="1"/>
  <c r="AC16" i="1"/>
  <c r="AN16" i="1"/>
  <c r="AM16" i="1"/>
  <c r="AL16" i="1"/>
  <c r="AK16" i="1"/>
  <c r="AF16" i="1"/>
  <c r="AJ16" i="1"/>
  <c r="AI16" i="1"/>
  <c r="AG16" i="1"/>
  <c r="AE16" i="1"/>
  <c r="AC33" i="1"/>
  <c r="AD33" i="1" s="1"/>
  <c r="AO33" i="1" s="1"/>
  <c r="AN33" i="1"/>
  <c r="AM33" i="1"/>
  <c r="AL33" i="1"/>
  <c r="AK33" i="1"/>
  <c r="AF33" i="1"/>
  <c r="AJ33" i="1"/>
  <c r="AI33" i="1"/>
  <c r="AH33" i="1"/>
  <c r="AG33" i="1"/>
  <c r="AI14" i="1"/>
  <c r="AC14" i="1"/>
  <c r="AN14" i="1"/>
  <c r="AM14" i="1"/>
  <c r="AL14" i="1"/>
  <c r="AK14" i="1"/>
  <c r="AF14" i="1"/>
  <c r="AJ14" i="1"/>
  <c r="AH14" i="1"/>
  <c r="AG14" i="1"/>
  <c r="AE14" i="1"/>
  <c r="AC15" i="1"/>
  <c r="AN15" i="1"/>
  <c r="AM15" i="1"/>
  <c r="AL15" i="1"/>
  <c r="AK15" i="1"/>
  <c r="AF15" i="1"/>
  <c r="AJ15" i="1"/>
  <c r="AI15" i="1"/>
  <c r="AH15" i="1"/>
  <c r="AG15" i="1"/>
  <c r="AE15" i="1"/>
  <c r="AC27" i="1"/>
  <c r="AN27" i="1"/>
  <c r="AM27" i="1"/>
  <c r="AL27" i="1"/>
  <c r="AK27" i="1"/>
  <c r="AF27" i="1"/>
  <c r="AJ27" i="1"/>
  <c r="AI27" i="1"/>
  <c r="AH27" i="1"/>
  <c r="AG27" i="1"/>
  <c r="AE27" i="1"/>
  <c r="AC24" i="1"/>
  <c r="AN24" i="1"/>
  <c r="AM24" i="1"/>
  <c r="AL24" i="1"/>
  <c r="AK24" i="1"/>
  <c r="AF24" i="1"/>
  <c r="AJ24" i="1"/>
  <c r="AI24" i="1"/>
  <c r="AH24" i="1"/>
  <c r="AG24" i="1"/>
  <c r="AE24" i="1"/>
  <c r="AG82" i="1"/>
  <c r="AC82" i="1"/>
  <c r="AN82" i="1"/>
  <c r="AM82" i="1"/>
  <c r="AL82" i="1"/>
  <c r="AK82" i="1"/>
  <c r="AF82" i="1"/>
  <c r="AJ82" i="1"/>
  <c r="AI82" i="1"/>
  <c r="AH82" i="1"/>
  <c r="AE82" i="1"/>
  <c r="AC34" i="1"/>
  <c r="AN34" i="1"/>
  <c r="AM34" i="1"/>
  <c r="AL34" i="1"/>
  <c r="AK34" i="1"/>
  <c r="AF34" i="1"/>
  <c r="AJ34" i="1"/>
  <c r="AI34" i="1"/>
  <c r="AH34" i="1"/>
  <c r="AG34" i="1"/>
  <c r="AG29" i="1"/>
  <c r="AC29" i="1"/>
  <c r="AN29" i="1"/>
  <c r="AM29" i="1"/>
  <c r="AL29" i="1"/>
  <c r="AK29" i="1"/>
  <c r="AF29" i="1"/>
  <c r="AJ29" i="1"/>
  <c r="AI29" i="1"/>
  <c r="AH29" i="1"/>
  <c r="AE29" i="1"/>
  <c r="AC42" i="1"/>
  <c r="AN42" i="1"/>
  <c r="AM42" i="1"/>
  <c r="AL42" i="1"/>
  <c r="AK42" i="1"/>
  <c r="AF42" i="1"/>
  <c r="AJ42" i="1"/>
  <c r="AI42" i="1"/>
  <c r="AH42" i="1"/>
  <c r="AG42" i="1"/>
  <c r="AE42" i="1"/>
  <c r="AC35" i="1"/>
  <c r="AN35" i="1"/>
  <c r="AM35" i="1"/>
  <c r="AL35" i="1"/>
  <c r="AK35" i="1"/>
  <c r="AF35" i="1"/>
  <c r="AJ35" i="1"/>
  <c r="AI35" i="1"/>
  <c r="AH35" i="1"/>
  <c r="AG35" i="1"/>
  <c r="AE35" i="1"/>
  <c r="AH44" i="1"/>
  <c r="AC44" i="1"/>
  <c r="AN44" i="1"/>
  <c r="AM44" i="1"/>
  <c r="AL44" i="1"/>
  <c r="AK44" i="1"/>
  <c r="AF44" i="1"/>
  <c r="AJ44" i="1"/>
  <c r="AI44" i="1"/>
  <c r="AG44" i="1"/>
  <c r="AE44" i="1"/>
  <c r="AG53" i="1"/>
  <c r="AC53" i="1"/>
  <c r="AN53" i="1"/>
  <c r="AM53" i="1"/>
  <c r="AL53" i="1"/>
  <c r="AK53" i="1"/>
  <c r="AF53" i="1"/>
  <c r="AJ53" i="1"/>
  <c r="AI53" i="1"/>
  <c r="AH53" i="1"/>
  <c r="AE53" i="1"/>
  <c r="AH30" i="1"/>
  <c r="AC30" i="1"/>
  <c r="AN30" i="1"/>
  <c r="AM30" i="1"/>
  <c r="AL30" i="1"/>
  <c r="AK30" i="1"/>
  <c r="AF30" i="1"/>
  <c r="AJ30" i="1"/>
  <c r="AI30" i="1"/>
  <c r="AG30" i="1"/>
  <c r="AG104" i="1"/>
  <c r="AC104" i="1"/>
  <c r="AN104" i="1"/>
  <c r="AM104" i="1"/>
  <c r="AL104" i="1"/>
  <c r="AK104" i="1"/>
  <c r="AF104" i="1"/>
  <c r="AJ104" i="1"/>
  <c r="AI104" i="1"/>
  <c r="AH104" i="1"/>
  <c r="AE104" i="1"/>
  <c r="AJ52" i="1"/>
  <c r="AC52" i="1"/>
  <c r="AN52" i="1"/>
  <c r="AM52" i="1"/>
  <c r="AL52" i="1"/>
  <c r="AK52" i="1"/>
  <c r="AF52" i="1"/>
  <c r="AI52" i="1"/>
  <c r="AH52" i="1"/>
  <c r="AG52" i="1"/>
  <c r="AE52" i="1"/>
  <c r="AC43" i="1"/>
  <c r="AN43" i="1"/>
  <c r="AM43" i="1"/>
  <c r="AL43" i="1"/>
  <c r="AK43" i="1"/>
  <c r="AF43" i="1"/>
  <c r="AJ43" i="1"/>
  <c r="AI43" i="1"/>
  <c r="AH43" i="1"/>
  <c r="AG43" i="1"/>
  <c r="AE43" i="1"/>
  <c r="AJ36" i="1"/>
  <c r="AC36" i="1"/>
  <c r="AN36" i="1"/>
  <c r="AM36" i="1"/>
  <c r="AL36" i="1"/>
  <c r="AK36" i="1"/>
  <c r="AF36" i="1"/>
  <c r="AI36" i="1"/>
  <c r="AH36" i="1"/>
  <c r="AG36" i="1"/>
  <c r="AE36" i="1"/>
  <c r="AC32" i="1"/>
  <c r="AN32" i="1"/>
  <c r="AM32" i="1"/>
  <c r="AL32" i="1"/>
  <c r="AK32" i="1"/>
  <c r="AF32" i="1"/>
  <c r="AJ32" i="1"/>
  <c r="AI32" i="1"/>
  <c r="AH32" i="1"/>
  <c r="AG32" i="1"/>
  <c r="AE32" i="1"/>
  <c r="AC31" i="1"/>
  <c r="AN31" i="1"/>
  <c r="AM31" i="1"/>
  <c r="AL31" i="1"/>
  <c r="AK31" i="1"/>
  <c r="AF31" i="1"/>
  <c r="AJ31" i="1"/>
  <c r="AI31" i="1"/>
  <c r="AH31" i="1"/>
  <c r="AG31" i="1"/>
  <c r="AC46" i="1"/>
  <c r="AN46" i="1"/>
  <c r="AM46" i="1"/>
  <c r="AL46" i="1"/>
  <c r="AK46" i="1"/>
  <c r="AF46" i="1"/>
  <c r="AJ46" i="1"/>
  <c r="AI46" i="1"/>
  <c r="AH46" i="1"/>
  <c r="AG46" i="1"/>
  <c r="AE46" i="1"/>
  <c r="AC37" i="1"/>
  <c r="AJ37" i="1"/>
  <c r="F8" i="5" l="1"/>
  <c r="I10" i="3"/>
  <c r="AO436" i="1"/>
  <c r="AO380" i="1"/>
  <c r="D11" i="3"/>
  <c r="D14" i="3" s="1"/>
  <c r="I5" i="3"/>
  <c r="A9" i="5"/>
  <c r="A12" i="5" s="1"/>
  <c r="F3" i="5"/>
  <c r="A8" i="5"/>
  <c r="A11" i="5" s="1"/>
  <c r="D10" i="3"/>
  <c r="D13" i="3" s="1"/>
  <c r="AI37" i="1"/>
  <c r="B9" i="3"/>
  <c r="AD50" i="1"/>
  <c r="AD4" i="1"/>
  <c r="AD68" i="1"/>
  <c r="AD47" i="1"/>
  <c r="AD83" i="1"/>
  <c r="AG83" i="1"/>
  <c r="AD239" i="1"/>
  <c r="AE239" i="1"/>
  <c r="AD155" i="1"/>
  <c r="AG155" i="1"/>
  <c r="AD242" i="1"/>
  <c r="AH242" i="1"/>
  <c r="B5" i="3"/>
  <c r="AD30" i="1"/>
  <c r="AE37" i="1"/>
  <c r="B12" i="3"/>
  <c r="AK37" i="1"/>
  <c r="B11" i="3"/>
  <c r="AD34" i="1"/>
  <c r="AD230" i="1"/>
  <c r="AG230" i="1"/>
  <c r="AD240" i="1"/>
  <c r="AE240" i="1"/>
  <c r="B6" i="3"/>
  <c r="AF37" i="1"/>
  <c r="AG37" i="1"/>
  <c r="B7" i="3"/>
  <c r="AD31" i="1"/>
  <c r="AD76" i="1"/>
  <c r="AD10" i="1"/>
  <c r="AD87" i="1"/>
  <c r="AD67" i="1"/>
  <c r="AD265" i="1"/>
  <c r="AE265" i="1"/>
  <c r="AN37" i="1"/>
  <c r="B15" i="3"/>
  <c r="AD188" i="1"/>
  <c r="AG188" i="1"/>
  <c r="B10" i="3"/>
  <c r="AL37" i="1"/>
  <c r="B13" i="3"/>
  <c r="AD18" i="1"/>
  <c r="AD5" i="1"/>
  <c r="AD211" i="1"/>
  <c r="AH211" i="1"/>
  <c r="AH37" i="1"/>
  <c r="B8" i="3"/>
  <c r="AM37" i="1"/>
  <c r="B14" i="3"/>
  <c r="AD21" i="1"/>
  <c r="AD84" i="1"/>
  <c r="AD25" i="1"/>
  <c r="AD11" i="1"/>
  <c r="AD57" i="1"/>
  <c r="AD139" i="1"/>
  <c r="AD123" i="1"/>
  <c r="AD110" i="1"/>
  <c r="AD305" i="1"/>
  <c r="AD97" i="1"/>
  <c r="AD118" i="1"/>
  <c r="AD260" i="1"/>
  <c r="AD274" i="1"/>
  <c r="AD323" i="1"/>
  <c r="AD251" i="1"/>
  <c r="AD245" i="1"/>
  <c r="AD315" i="1"/>
  <c r="AD176" i="1"/>
  <c r="AD113" i="1"/>
  <c r="AD150" i="1"/>
  <c r="AD72" i="1"/>
  <c r="AD136" i="1"/>
  <c r="AD243" i="1"/>
  <c r="AD250" i="1"/>
  <c r="AD109" i="1"/>
  <c r="AD284" i="1"/>
  <c r="AD206" i="1"/>
  <c r="AD214" i="1"/>
  <c r="AD95" i="1"/>
  <c r="AD81" i="1"/>
  <c r="AD141" i="1"/>
  <c r="AD71" i="1"/>
  <c r="AD127" i="1"/>
  <c r="AD237" i="1"/>
  <c r="AD280" i="1"/>
  <c r="AD229" i="1"/>
  <c r="AD137" i="1"/>
  <c r="AD449" i="1"/>
  <c r="AD419" i="1"/>
  <c r="AD368" i="1"/>
  <c r="AE368" i="1"/>
  <c r="AD107" i="1"/>
  <c r="AD119" i="1"/>
  <c r="AD273" i="1"/>
  <c r="AD209" i="1"/>
  <c r="AD221" i="1"/>
  <c r="AD236" i="1"/>
  <c r="AD108" i="1"/>
  <c r="AD371" i="1"/>
  <c r="AD344" i="1"/>
  <c r="AD257" i="1"/>
  <c r="AD386" i="1"/>
  <c r="AD375" i="1"/>
  <c r="AF375" i="1"/>
  <c r="AD98" i="1"/>
  <c r="AD80" i="1"/>
  <c r="AD62" i="1"/>
  <c r="AD164" i="1"/>
  <c r="AD167" i="1"/>
  <c r="AD255" i="1"/>
  <c r="AD199" i="1"/>
  <c r="AD168" i="1"/>
  <c r="AD275" i="1"/>
  <c r="AD288" i="1"/>
  <c r="AD353" i="1"/>
  <c r="AD277" i="1"/>
  <c r="AG277" i="1"/>
  <c r="AD300" i="1"/>
  <c r="AE300" i="1"/>
  <c r="AD174" i="1"/>
  <c r="AD370" i="1"/>
  <c r="AD271" i="1"/>
  <c r="AD435" i="1"/>
  <c r="AD184" i="1"/>
  <c r="AD394" i="1"/>
  <c r="AD180" i="1"/>
  <c r="AD363" i="1"/>
  <c r="AD283" i="1"/>
  <c r="AD398" i="1"/>
  <c r="AD454" i="1"/>
  <c r="AD196" i="1"/>
  <c r="AD307" i="1"/>
  <c r="AD145" i="1"/>
  <c r="AD287" i="1"/>
  <c r="AD301" i="1"/>
  <c r="AD313" i="1"/>
  <c r="AD378" i="1"/>
  <c r="AD349" i="1"/>
  <c r="AD414" i="1"/>
  <c r="AD374" i="1"/>
  <c r="AD389" i="1"/>
  <c r="AD314" i="1"/>
  <c r="AD456" i="1"/>
  <c r="AD421" i="1"/>
  <c r="AD429" i="1"/>
  <c r="AD46" i="1"/>
  <c r="AE31" i="1"/>
  <c r="AD104" i="1"/>
  <c r="AE30" i="1"/>
  <c r="AD29" i="1"/>
  <c r="AE34" i="1"/>
  <c r="AD14" i="1"/>
  <c r="AE33" i="1"/>
  <c r="AD56" i="1"/>
  <c r="AH19" i="1"/>
  <c r="AI50" i="1"/>
  <c r="AE23" i="1"/>
  <c r="AD23" i="1"/>
  <c r="AD37" i="1"/>
  <c r="AD52" i="1"/>
  <c r="AD42" i="1"/>
  <c r="AD15" i="1"/>
  <c r="AD17" i="1"/>
  <c r="AD69" i="1"/>
  <c r="AD43" i="1"/>
  <c r="AD35" i="1"/>
  <c r="AD27" i="1"/>
  <c r="AD49" i="1"/>
  <c r="AD28" i="1"/>
  <c r="AD36" i="1"/>
  <c r="AD44" i="1"/>
  <c r="AD24" i="1"/>
  <c r="AD73" i="1"/>
  <c r="AD54" i="1"/>
  <c r="AD32" i="1"/>
  <c r="AD53" i="1"/>
  <c r="AD82" i="1"/>
  <c r="AD16" i="1"/>
  <c r="AD26" i="1"/>
  <c r="AE93" i="1"/>
  <c r="AD93" i="1"/>
  <c r="AD20" i="1"/>
  <c r="AD7" i="1"/>
  <c r="AE7" i="1"/>
  <c r="AE21" i="1"/>
  <c r="AD3" i="1"/>
  <c r="AE76" i="1"/>
  <c r="AD6" i="1"/>
  <c r="AE10" i="1"/>
  <c r="AD55" i="1"/>
  <c r="AE87" i="1"/>
  <c r="AD61" i="1"/>
  <c r="AE67" i="1"/>
  <c r="AD40" i="1"/>
  <c r="AE68" i="1"/>
  <c r="AD45" i="1"/>
  <c r="AE281" i="1"/>
  <c r="AD96" i="1"/>
  <c r="AE81" i="1"/>
  <c r="AD183" i="1"/>
  <c r="AE176" i="1"/>
  <c r="AD153" i="1"/>
  <c r="AE113" i="1"/>
  <c r="AD121" i="1"/>
  <c r="AE110" i="1"/>
  <c r="AD101" i="1"/>
  <c r="AE142" i="1"/>
  <c r="AD77" i="1"/>
  <c r="AE62" i="1"/>
  <c r="AG150" i="1"/>
  <c r="AE164" i="1"/>
  <c r="AD22" i="1"/>
  <c r="AD90" i="1"/>
  <c r="AD74" i="1"/>
  <c r="AD48" i="1"/>
  <c r="AD79" i="1"/>
  <c r="AD38" i="1"/>
  <c r="AD86" i="1"/>
  <c r="AD51" i="1"/>
  <c r="AD124" i="1"/>
  <c r="AD91" i="1"/>
  <c r="AD75" i="1"/>
  <c r="AD70" i="1"/>
  <c r="AD102" i="1"/>
  <c r="AD89" i="1"/>
  <c r="AI4" i="1"/>
  <c r="AD66" i="1"/>
  <c r="AI84" i="1"/>
  <c r="AD2" i="1"/>
  <c r="F18" i="2" s="1"/>
  <c r="AI25" i="1"/>
  <c r="AD63" i="1"/>
  <c r="AI11" i="1"/>
  <c r="AD39" i="1"/>
  <c r="AI47" i="1"/>
  <c r="AD59" i="1"/>
  <c r="AI13" i="1"/>
  <c r="AD128" i="1"/>
  <c r="AI98" i="1"/>
  <c r="AD234" i="1"/>
  <c r="AI57" i="1"/>
  <c r="AD220" i="1"/>
  <c r="AI139" i="1"/>
  <c r="AD133" i="1"/>
  <c r="AI123" i="1"/>
  <c r="AD114" i="1"/>
  <c r="AI100" i="1"/>
  <c r="AD115" i="1"/>
  <c r="AI80" i="1"/>
  <c r="AD60" i="1"/>
  <c r="AD146" i="1"/>
  <c r="AD140" i="1"/>
  <c r="AD8" i="1"/>
  <c r="AD9" i="1"/>
  <c r="AD64" i="1"/>
  <c r="AD12" i="1"/>
  <c r="AD58" i="1"/>
  <c r="AD116" i="1"/>
  <c r="AD78" i="1"/>
  <c r="AD169" i="1"/>
  <c r="AD163" i="1"/>
  <c r="AD112" i="1"/>
  <c r="AD92" i="1"/>
  <c r="AD158" i="1"/>
  <c r="AD157" i="1"/>
  <c r="AD144" i="1"/>
  <c r="AE136" i="1"/>
  <c r="AD85" i="1"/>
  <c r="AE167" i="1"/>
  <c r="AD149" i="1"/>
  <c r="AE127" i="1"/>
  <c r="AD179" i="1"/>
  <c r="AE305" i="1"/>
  <c r="AD122" i="1"/>
  <c r="AE97" i="1"/>
  <c r="AD267" i="1"/>
  <c r="AE118" i="1"/>
  <c r="AD99" i="1"/>
  <c r="AE255" i="1"/>
  <c r="AD225" i="1"/>
  <c r="AE237" i="1"/>
  <c r="AD249" i="1"/>
  <c r="AE260" i="1"/>
  <c r="AD147" i="1"/>
  <c r="AE199" i="1"/>
  <c r="AD175" i="1"/>
  <c r="AE236" i="1"/>
  <c r="AD235" i="1"/>
  <c r="AE280" i="1"/>
  <c r="AG275" i="1"/>
  <c r="AE95" i="1"/>
  <c r="AE229" i="1"/>
  <c r="AD187" i="1"/>
  <c r="AD138" i="1"/>
  <c r="AD356" i="1"/>
  <c r="AD88" i="1"/>
  <c r="AG141" i="1"/>
  <c r="AD65" i="1"/>
  <c r="AD135" i="1"/>
  <c r="AD291" i="1"/>
  <c r="AD205" i="1"/>
  <c r="AD177" i="1"/>
  <c r="AD195" i="1"/>
  <c r="AD143" i="1"/>
  <c r="AD233" i="1"/>
  <c r="AD191" i="1"/>
  <c r="AD129" i="1"/>
  <c r="AD166" i="1"/>
  <c r="AD286" i="1"/>
  <c r="AD148" i="1"/>
  <c r="AD330" i="1"/>
  <c r="AD451" i="1"/>
  <c r="AD152" i="1"/>
  <c r="AD160" i="1"/>
  <c r="AI71" i="1"/>
  <c r="AD41" i="1"/>
  <c r="AD192" i="1"/>
  <c r="AI190" i="1"/>
  <c r="AD131" i="1"/>
  <c r="AI261" i="1"/>
  <c r="AD117" i="1"/>
  <c r="AD178" i="1"/>
  <c r="AD105" i="1"/>
  <c r="AD293" i="1"/>
  <c r="AD165" i="1"/>
  <c r="AD132" i="1"/>
  <c r="AD120" i="1"/>
  <c r="AD365" i="1"/>
  <c r="AD246" i="1"/>
  <c r="AD125" i="1"/>
  <c r="AD258" i="1"/>
  <c r="AE386" i="1"/>
  <c r="AD226" i="1"/>
  <c r="AD111" i="1"/>
  <c r="AD285" i="1"/>
  <c r="AE323" i="1"/>
  <c r="AG448" i="1"/>
  <c r="AD448" i="1"/>
  <c r="AE103" i="1"/>
  <c r="AD103" i="1"/>
  <c r="AD126" i="1"/>
  <c r="AD395" i="1"/>
  <c r="AD227" i="1"/>
  <c r="AE227" i="1"/>
  <c r="AD269" i="1"/>
  <c r="AH269" i="1"/>
  <c r="AD350" i="1"/>
  <c r="AE344" i="1"/>
  <c r="AD252" i="1"/>
  <c r="AD266" i="1"/>
  <c r="AD282" i="1"/>
  <c r="AD290" i="1"/>
  <c r="AD333" i="1"/>
  <c r="AD253" i="1"/>
  <c r="AD276" i="1"/>
  <c r="AD106" i="1"/>
  <c r="AD228" i="1"/>
  <c r="AD338" i="1"/>
  <c r="AD264" i="1"/>
  <c r="AD393" i="1"/>
  <c r="AD342" i="1"/>
  <c r="AD198" i="1"/>
  <c r="AD238" i="1"/>
  <c r="AD292" i="1"/>
  <c r="AD218" i="1"/>
  <c r="AD134" i="1"/>
  <c r="AD222" i="1"/>
  <c r="AD366" i="1"/>
  <c r="AD279" i="1"/>
  <c r="AD351" i="1"/>
  <c r="AD159" i="1"/>
  <c r="AD339" i="1"/>
  <c r="AD347" i="1"/>
  <c r="AD213" i="1"/>
  <c r="AE449" i="1"/>
  <c r="AD441" i="1"/>
  <c r="AD248" i="1"/>
  <c r="AD216" i="1"/>
  <c r="AD447" i="1"/>
  <c r="AD295" i="1"/>
  <c r="AD278" i="1"/>
  <c r="AD130" i="1"/>
  <c r="AD268" i="1"/>
  <c r="AD210" i="1"/>
  <c r="AD397" i="1"/>
  <c r="AD358" i="1"/>
  <c r="AD223" i="1"/>
  <c r="AD362" i="1"/>
  <c r="AD94" i="1"/>
  <c r="AD352" i="1"/>
  <c r="AE315" i="1"/>
  <c r="AG379" i="1"/>
  <c r="AD379" i="1"/>
  <c r="AD376" i="1"/>
  <c r="AD322" i="1"/>
  <c r="AD383" i="1"/>
  <c r="AD400" i="1"/>
  <c r="AD156" i="1"/>
  <c r="AD450" i="1"/>
  <c r="AD212" i="1"/>
  <c r="AD327" i="1"/>
  <c r="AD162" i="1"/>
  <c r="AD444" i="1"/>
  <c r="AE184" i="1"/>
  <c r="AD345" i="1"/>
  <c r="AD172" i="1"/>
  <c r="AD193" i="1"/>
  <c r="AD334" i="1"/>
  <c r="AD341" i="1"/>
  <c r="AD440" i="1"/>
  <c r="AD443" i="1"/>
  <c r="AG419" i="1"/>
  <c r="AD324" i="1"/>
  <c r="AG174" i="1"/>
  <c r="AD204" i="1"/>
  <c r="AG446" i="1"/>
  <c r="AI321" i="1"/>
  <c r="AD445" i="1"/>
  <c r="AD442" i="1"/>
  <c r="AD309" i="1"/>
  <c r="AD320" i="1"/>
  <c r="AD208" i="1"/>
  <c r="AD369" i="1"/>
  <c r="AD390" i="1"/>
  <c r="AG390" i="1"/>
  <c r="AD409" i="1"/>
  <c r="AD357" i="1"/>
  <c r="AD171" i="1"/>
  <c r="AD388" i="1"/>
  <c r="AD311" i="1"/>
  <c r="AD403" i="1"/>
  <c r="AE433" i="1"/>
  <c r="AD432" i="1"/>
  <c r="AE370" i="1"/>
  <c r="AE307" i="1"/>
  <c r="AE374" i="1"/>
  <c r="AD392" i="1"/>
  <c r="AE363" i="1"/>
  <c r="AE287" i="1"/>
  <c r="AD439" i="1"/>
  <c r="AD331" i="1"/>
  <c r="AD154" i="1"/>
  <c r="AD399" i="1"/>
  <c r="AD303" i="1"/>
  <c r="AD296" i="1"/>
  <c r="AD259" i="1"/>
  <c r="AD312" i="1"/>
  <c r="AH312" i="1"/>
  <c r="AD219" i="1"/>
  <c r="AH219" i="1"/>
  <c r="AD170" i="1"/>
  <c r="AD387" i="1"/>
  <c r="AG336" i="1"/>
  <c r="AH301" i="1"/>
  <c r="AD151" i="1"/>
  <c r="AG380" i="1"/>
  <c r="AD161" i="1"/>
  <c r="AG313" i="1"/>
  <c r="AD302" i="1"/>
  <c r="AI394" i="1"/>
  <c r="AD289" i="1"/>
  <c r="AD359" i="1"/>
  <c r="AD377" i="1"/>
  <c r="AD401" i="1"/>
  <c r="AD306" i="1"/>
  <c r="AE306" i="1"/>
  <c r="AD186" i="1"/>
  <c r="AD318" i="1"/>
  <c r="AD328" i="1"/>
  <c r="AD367" i="1"/>
  <c r="AD427" i="1"/>
  <c r="AH427" i="1"/>
  <c r="AD413" i="1"/>
  <c r="AD182" i="1"/>
  <c r="AD298" i="1"/>
  <c r="AD381" i="1"/>
  <c r="AD294" i="1"/>
  <c r="AD405" i="1"/>
  <c r="AD408" i="1"/>
  <c r="AD426" i="1"/>
  <c r="AE283" i="1"/>
  <c r="AD207" i="1"/>
  <c r="AH207" i="1"/>
  <c r="AE337" i="1"/>
  <c r="AD185" i="1"/>
  <c r="AG185" i="1"/>
  <c r="AE392" i="1"/>
  <c r="AD424" i="1"/>
  <c r="AD308" i="1"/>
  <c r="AD430" i="1"/>
  <c r="AD310" i="1"/>
  <c r="AD412" i="1"/>
  <c r="AD428" i="1"/>
  <c r="AD418" i="1"/>
  <c r="AE314" i="1"/>
  <c r="AD244" i="1"/>
  <c r="AD202" i="1"/>
  <c r="AD317" i="1"/>
  <c r="AG317" i="1"/>
  <c r="AD354" i="1"/>
  <c r="AD299" i="1"/>
  <c r="AD385" i="1"/>
  <c r="AD384" i="1"/>
  <c r="AD423" i="1"/>
  <c r="AD420" i="1"/>
  <c r="AD348" i="1"/>
  <c r="AD254" i="1"/>
  <c r="AD319" i="1"/>
  <c r="AH319" i="1"/>
  <c r="AE378" i="1"/>
  <c r="AD373" i="1"/>
  <c r="AG373" i="1"/>
  <c r="AD326" i="1"/>
  <c r="AH326" i="1"/>
  <c r="AD215" i="1"/>
  <c r="AD304" i="1"/>
  <c r="AH304" i="1"/>
  <c r="AD360" i="1"/>
  <c r="AE360" i="1"/>
  <c r="AD396" i="1"/>
  <c r="AD272" i="1"/>
  <c r="AD194" i="1"/>
  <c r="AD422" i="1"/>
  <c r="AD361" i="1"/>
  <c r="AD411" i="1"/>
  <c r="AH411" i="1"/>
  <c r="AD355" i="1"/>
  <c r="AD200" i="1"/>
  <c r="AD391" i="1"/>
  <c r="AG391" i="1"/>
  <c r="AD382" i="1"/>
  <c r="AD332" i="1"/>
  <c r="AG332" i="1"/>
  <c r="AD181" i="1"/>
  <c r="AH181" i="1"/>
  <c r="AD329" i="1"/>
  <c r="AG329" i="1"/>
  <c r="AD297" i="1"/>
  <c r="AD224" i="1"/>
  <c r="AD262" i="1"/>
  <c r="AD203" i="1"/>
  <c r="AD372" i="1"/>
  <c r="AD340" i="1"/>
  <c r="AD364" i="1"/>
  <c r="AD256" i="1"/>
  <c r="AE454" i="1"/>
  <c r="AE271" i="1"/>
  <c r="AD346" i="1"/>
  <c r="AD457" i="1"/>
  <c r="AD263" i="1"/>
  <c r="AH263" i="1"/>
  <c r="AD189" i="1"/>
  <c r="AD316" i="1"/>
  <c r="AD325" i="1"/>
  <c r="AD343" i="1"/>
  <c r="AD247" i="1"/>
  <c r="AD173" i="1"/>
  <c r="AD460" i="1"/>
  <c r="AE456" i="1"/>
  <c r="AD459" i="1"/>
  <c r="AE335" i="1"/>
  <c r="AD335" i="1"/>
  <c r="AD197" i="1"/>
  <c r="AD231" i="1"/>
  <c r="AD458" i="1"/>
  <c r="AD453" i="1"/>
  <c r="AD434" i="1"/>
  <c r="AD402" i="1"/>
  <c r="AG436" i="1"/>
  <c r="AH429" i="1"/>
  <c r="AD406" i="1"/>
  <c r="AD455" i="1"/>
  <c r="AD417" i="1"/>
  <c r="AD437" i="1"/>
  <c r="AF435" i="1"/>
  <c r="AD407" i="1"/>
  <c r="AD452" i="1"/>
  <c r="AD416" i="1"/>
  <c r="AD410" i="1"/>
  <c r="AD232" i="1"/>
  <c r="AD270" i="1"/>
  <c r="AD201" i="1"/>
  <c r="AD241" i="1"/>
  <c r="AH421" i="1"/>
  <c r="AD217" i="1"/>
  <c r="AH414" i="1"/>
  <c r="AD425" i="1"/>
  <c r="AD438" i="1"/>
  <c r="AD415" i="1"/>
  <c r="AD404" i="1"/>
  <c r="AD431" i="1"/>
  <c r="A15" i="5" l="1"/>
  <c r="A18" i="5" s="1"/>
  <c r="A21" i="5" s="1"/>
  <c r="D17" i="3"/>
  <c r="D20" i="3" s="1"/>
  <c r="D23" i="3" s="1"/>
  <c r="D26" i="3" s="1"/>
  <c r="D16" i="3"/>
  <c r="D19" i="3" s="1"/>
  <c r="D22" i="3" s="1"/>
  <c r="D25" i="3" s="1"/>
  <c r="E8" i="2"/>
  <c r="D8" i="2"/>
  <c r="A14" i="5"/>
  <c r="A17" i="5" s="1"/>
  <c r="A20" i="5" s="1"/>
  <c r="AO232" i="1"/>
  <c r="AO247" i="1"/>
  <c r="AO364" i="1"/>
  <c r="AO332" i="1"/>
  <c r="AO396" i="1"/>
  <c r="AO319" i="1"/>
  <c r="AO244" i="1"/>
  <c r="AO390" i="1"/>
  <c r="AO212" i="1"/>
  <c r="AO362" i="1"/>
  <c r="AO441" i="1"/>
  <c r="AO292" i="1"/>
  <c r="AO290" i="1"/>
  <c r="AO103" i="1"/>
  <c r="AO365" i="1"/>
  <c r="AO41" i="1"/>
  <c r="AO143" i="1"/>
  <c r="AO225" i="1"/>
  <c r="AO85" i="1"/>
  <c r="AO12" i="1"/>
  <c r="AO133" i="1"/>
  <c r="AO63" i="1"/>
  <c r="AO51" i="1"/>
  <c r="AO7" i="1"/>
  <c r="AO44" i="1"/>
  <c r="AO43" i="1"/>
  <c r="AO389" i="1"/>
  <c r="AO398" i="1"/>
  <c r="AO98" i="1"/>
  <c r="AO137" i="1"/>
  <c r="AO109" i="1"/>
  <c r="AO274" i="1"/>
  <c r="AO21" i="1"/>
  <c r="AO211" i="1"/>
  <c r="AO67" i="1"/>
  <c r="AO230" i="1"/>
  <c r="AO30" i="1"/>
  <c r="AO4" i="1"/>
  <c r="AO431" i="1"/>
  <c r="AO217" i="1"/>
  <c r="AO410" i="1"/>
  <c r="AO417" i="1"/>
  <c r="AO434" i="1"/>
  <c r="AO343" i="1"/>
  <c r="AO457" i="1"/>
  <c r="AO340" i="1"/>
  <c r="AO382" i="1"/>
  <c r="AO411" i="1"/>
  <c r="AO326" i="1"/>
  <c r="AO254" i="1"/>
  <c r="AO299" i="1"/>
  <c r="AO308" i="1"/>
  <c r="AO294" i="1"/>
  <c r="AO427" i="1"/>
  <c r="AO306" i="1"/>
  <c r="AO302" i="1"/>
  <c r="AO312" i="1"/>
  <c r="AO331" i="1"/>
  <c r="AO388" i="1"/>
  <c r="AO369" i="1"/>
  <c r="AO443" i="1"/>
  <c r="AO345" i="1"/>
  <c r="AO450" i="1"/>
  <c r="AO379" i="1"/>
  <c r="AO223" i="1"/>
  <c r="AO278" i="1"/>
  <c r="AO279" i="1"/>
  <c r="AO238" i="1"/>
  <c r="AO228" i="1"/>
  <c r="AO282" i="1"/>
  <c r="AO269" i="1"/>
  <c r="AO226" i="1"/>
  <c r="AO120" i="1"/>
  <c r="AO117" i="1"/>
  <c r="AO286" i="1"/>
  <c r="AO195" i="1"/>
  <c r="AO163" i="1"/>
  <c r="AO64" i="1"/>
  <c r="AO102" i="1"/>
  <c r="AO86" i="1"/>
  <c r="AO22" i="1"/>
  <c r="AO101" i="1"/>
  <c r="AO183" i="1"/>
  <c r="AO40" i="1"/>
  <c r="AO6" i="1"/>
  <c r="AO20" i="1"/>
  <c r="AO53" i="1"/>
  <c r="AO36" i="1"/>
  <c r="AO69" i="1"/>
  <c r="AO23" i="1"/>
  <c r="AO14" i="1"/>
  <c r="AO46" i="1"/>
  <c r="AO374" i="1"/>
  <c r="AO287" i="1"/>
  <c r="AO283" i="1"/>
  <c r="AO271" i="1"/>
  <c r="AO277" i="1"/>
  <c r="AO255" i="1"/>
  <c r="AO108" i="1"/>
  <c r="AO107" i="1"/>
  <c r="AO229" i="1"/>
  <c r="AO81" i="1"/>
  <c r="AO250" i="1"/>
  <c r="AO176" i="1"/>
  <c r="AO260" i="1"/>
  <c r="AO139" i="1"/>
  <c r="AO5" i="1"/>
  <c r="AO188" i="1"/>
  <c r="AO87" i="1"/>
  <c r="AO34" i="1"/>
  <c r="AO239" i="1"/>
  <c r="AO50" i="1"/>
  <c r="AO437" i="1"/>
  <c r="AO263" i="1"/>
  <c r="AO297" i="1"/>
  <c r="AO385" i="1"/>
  <c r="AO430" i="1"/>
  <c r="AO405" i="1"/>
  <c r="AO154" i="1"/>
  <c r="AO311" i="1"/>
  <c r="AO445" i="1"/>
  <c r="AO172" i="1"/>
  <c r="AO376" i="1"/>
  <c r="AO130" i="1"/>
  <c r="AO351" i="1"/>
  <c r="AO338" i="1"/>
  <c r="AO111" i="1"/>
  <c r="AO178" i="1"/>
  <c r="AO148" i="1"/>
  <c r="AO65" i="1"/>
  <c r="AO175" i="1"/>
  <c r="AO122" i="1"/>
  <c r="AO112" i="1"/>
  <c r="AO60" i="1"/>
  <c r="AO128" i="1"/>
  <c r="AO89" i="1"/>
  <c r="AO90" i="1"/>
  <c r="AO82" i="1"/>
  <c r="AO301" i="1"/>
  <c r="AO435" i="1"/>
  <c r="AO199" i="1"/>
  <c r="AO371" i="1"/>
  <c r="AO119" i="1"/>
  <c r="AO141" i="1"/>
  <c r="AO113" i="1"/>
  <c r="AO123" i="1"/>
  <c r="AO404" i="1"/>
  <c r="AO416" i="1"/>
  <c r="AO455" i="1"/>
  <c r="AO453" i="1"/>
  <c r="AO459" i="1"/>
  <c r="AO325" i="1"/>
  <c r="AO346" i="1"/>
  <c r="AO372" i="1"/>
  <c r="AO329" i="1"/>
  <c r="AO361" i="1"/>
  <c r="AO360" i="1"/>
  <c r="AO348" i="1"/>
  <c r="AO354" i="1"/>
  <c r="AO418" i="1"/>
  <c r="AO424" i="1"/>
  <c r="AO207" i="1"/>
  <c r="AO381" i="1"/>
  <c r="AO367" i="1"/>
  <c r="AO401" i="1"/>
  <c r="AO387" i="1"/>
  <c r="AO259" i="1"/>
  <c r="AO439" i="1"/>
  <c r="AO171" i="1"/>
  <c r="AO208" i="1"/>
  <c r="AO440" i="1"/>
  <c r="AO156" i="1"/>
  <c r="AO358" i="1"/>
  <c r="AO295" i="1"/>
  <c r="AO213" i="1"/>
  <c r="AO366" i="1"/>
  <c r="AO198" i="1"/>
  <c r="AO106" i="1"/>
  <c r="AO266" i="1"/>
  <c r="AO448" i="1"/>
  <c r="AO132" i="1"/>
  <c r="AO160" i="1"/>
  <c r="AO166" i="1"/>
  <c r="AO177" i="1"/>
  <c r="AO88" i="1"/>
  <c r="AO147" i="1"/>
  <c r="AO99" i="1"/>
  <c r="AO179" i="1"/>
  <c r="AO144" i="1"/>
  <c r="AO169" i="1"/>
  <c r="AO9" i="1"/>
  <c r="AO115" i="1"/>
  <c r="AO220" i="1"/>
  <c r="AO59" i="1"/>
  <c r="AO2" i="1"/>
  <c r="AO70" i="1"/>
  <c r="AO38" i="1"/>
  <c r="AO93" i="1"/>
  <c r="AO32" i="1"/>
  <c r="AO28" i="1"/>
  <c r="AO17" i="1"/>
  <c r="AO429" i="1"/>
  <c r="AO414" i="1"/>
  <c r="AO145" i="1"/>
  <c r="AO363" i="1"/>
  <c r="AO370" i="1"/>
  <c r="AO353" i="1"/>
  <c r="AO167" i="1"/>
  <c r="AO375" i="1"/>
  <c r="AO236" i="1"/>
  <c r="AO280" i="1"/>
  <c r="AO95" i="1"/>
  <c r="AO243" i="1"/>
  <c r="AO315" i="1"/>
  <c r="AO118" i="1"/>
  <c r="AO57" i="1"/>
  <c r="AO18" i="1"/>
  <c r="AO10" i="1"/>
  <c r="AO422" i="1"/>
  <c r="AO335" i="1"/>
  <c r="AO415" i="1"/>
  <c r="AO452" i="1"/>
  <c r="AO458" i="1"/>
  <c r="AO316" i="1"/>
  <c r="AO203" i="1"/>
  <c r="AO391" i="1"/>
  <c r="AO373" i="1"/>
  <c r="AO298" i="1"/>
  <c r="AO377" i="1"/>
  <c r="AO170" i="1"/>
  <c r="AO357" i="1"/>
  <c r="AO204" i="1"/>
  <c r="AO444" i="1"/>
  <c r="AO447" i="1"/>
  <c r="AO222" i="1"/>
  <c r="AO276" i="1"/>
  <c r="AO227" i="1"/>
  <c r="AO258" i="1"/>
  <c r="AO131" i="1"/>
  <c r="AO129" i="1"/>
  <c r="AO356" i="1"/>
  <c r="AO157" i="1"/>
  <c r="AO8" i="1"/>
  <c r="AO79" i="1"/>
  <c r="AO121" i="1"/>
  <c r="AO96" i="1"/>
  <c r="AO3" i="1"/>
  <c r="AO54" i="1"/>
  <c r="AO15" i="1"/>
  <c r="AO29" i="1"/>
  <c r="AO349" i="1"/>
  <c r="AO180" i="1"/>
  <c r="AO288" i="1"/>
  <c r="AO386" i="1"/>
  <c r="AO368" i="1"/>
  <c r="AO237" i="1"/>
  <c r="AO214" i="1"/>
  <c r="AO245" i="1"/>
  <c r="AO97" i="1"/>
  <c r="AO11" i="1"/>
  <c r="AO76" i="1"/>
  <c r="AO242" i="1"/>
  <c r="AO83" i="1"/>
  <c r="AO438" i="1"/>
  <c r="AO201" i="1"/>
  <c r="AO407" i="1"/>
  <c r="AO231" i="1"/>
  <c r="AO460" i="1"/>
  <c r="AO189" i="1"/>
  <c r="AO262" i="1"/>
  <c r="AO181" i="1"/>
  <c r="AO200" i="1"/>
  <c r="AO194" i="1"/>
  <c r="AO304" i="1"/>
  <c r="AO423" i="1"/>
  <c r="AO317" i="1"/>
  <c r="AO412" i="1"/>
  <c r="AO426" i="1"/>
  <c r="AO182" i="1"/>
  <c r="AO318" i="1"/>
  <c r="AO359" i="1"/>
  <c r="AO303" i="1"/>
  <c r="AO409" i="1"/>
  <c r="AO309" i="1"/>
  <c r="AO334" i="1"/>
  <c r="AO162" i="1"/>
  <c r="AO383" i="1"/>
  <c r="AO352" i="1"/>
  <c r="AO210" i="1"/>
  <c r="AO216" i="1"/>
  <c r="AO339" i="1"/>
  <c r="AO134" i="1"/>
  <c r="AO393" i="1"/>
  <c r="AO253" i="1"/>
  <c r="AO395" i="1"/>
  <c r="AO125" i="1"/>
  <c r="AO293" i="1"/>
  <c r="AO451" i="1"/>
  <c r="AO191" i="1"/>
  <c r="AO291" i="1"/>
  <c r="AO138" i="1"/>
  <c r="AO235" i="1"/>
  <c r="AO249" i="1"/>
  <c r="AO267" i="1"/>
  <c r="AO149" i="1"/>
  <c r="AO158" i="1"/>
  <c r="AO116" i="1"/>
  <c r="AO140" i="1"/>
  <c r="AO114" i="1"/>
  <c r="AO234" i="1"/>
  <c r="AO39" i="1"/>
  <c r="AO66" i="1"/>
  <c r="AO91" i="1"/>
  <c r="AO48" i="1"/>
  <c r="AO26" i="1"/>
  <c r="AO73" i="1"/>
  <c r="AO27" i="1"/>
  <c r="AO42" i="1"/>
  <c r="AO456" i="1"/>
  <c r="AO378" i="1"/>
  <c r="AO196" i="1"/>
  <c r="AO394" i="1"/>
  <c r="AO275" i="1"/>
  <c r="AO62" i="1"/>
  <c r="AO257" i="1"/>
  <c r="AO209" i="1"/>
  <c r="AO419" i="1"/>
  <c r="AO127" i="1"/>
  <c r="AO206" i="1"/>
  <c r="AO72" i="1"/>
  <c r="AO251" i="1"/>
  <c r="AO305" i="1"/>
  <c r="AO25" i="1"/>
  <c r="AO31" i="1"/>
  <c r="AO240" i="1"/>
  <c r="AO47" i="1"/>
  <c r="AO402" i="1"/>
  <c r="AO241" i="1"/>
  <c r="AO406" i="1"/>
  <c r="AO420" i="1"/>
  <c r="AO428" i="1"/>
  <c r="AO328" i="1"/>
  <c r="AO161" i="1"/>
  <c r="AO296" i="1"/>
  <c r="AO432" i="1"/>
  <c r="AO320" i="1"/>
  <c r="AO341" i="1"/>
  <c r="AO400" i="1"/>
  <c r="AO397" i="1"/>
  <c r="AO347" i="1"/>
  <c r="AO342" i="1"/>
  <c r="AO252" i="1"/>
  <c r="AO165" i="1"/>
  <c r="AO152" i="1"/>
  <c r="AO205" i="1"/>
  <c r="AO78" i="1"/>
  <c r="AO75" i="1"/>
  <c r="AO61" i="1"/>
  <c r="AO49" i="1"/>
  <c r="AO421" i="1"/>
  <c r="AO307" i="1"/>
  <c r="AO174" i="1"/>
  <c r="AO164" i="1"/>
  <c r="AO221" i="1"/>
  <c r="AO136" i="1"/>
  <c r="AO425" i="1"/>
  <c r="AO270" i="1"/>
  <c r="AO197" i="1"/>
  <c r="AO173" i="1"/>
  <c r="AO256" i="1"/>
  <c r="AO224" i="1"/>
  <c r="AO355" i="1"/>
  <c r="AO272" i="1"/>
  <c r="AO215" i="1"/>
  <c r="AO384" i="1"/>
  <c r="AO202" i="1"/>
  <c r="AO310" i="1"/>
  <c r="AO185" i="1"/>
  <c r="AO408" i="1"/>
  <c r="AO413" i="1"/>
  <c r="AO186" i="1"/>
  <c r="AO289" i="1"/>
  <c r="AO151" i="1"/>
  <c r="AO219" i="1"/>
  <c r="AO399" i="1"/>
  <c r="AO392" i="1"/>
  <c r="AO403" i="1"/>
  <c r="AO442" i="1"/>
  <c r="AO324" i="1"/>
  <c r="AO193" i="1"/>
  <c r="AO327" i="1"/>
  <c r="AO322" i="1"/>
  <c r="AO94" i="1"/>
  <c r="AO268" i="1"/>
  <c r="AO248" i="1"/>
  <c r="AO159" i="1"/>
  <c r="AO218" i="1"/>
  <c r="AO264" i="1"/>
  <c r="AO333" i="1"/>
  <c r="AO350" i="1"/>
  <c r="AO126" i="1"/>
  <c r="AO285" i="1"/>
  <c r="AO246" i="1"/>
  <c r="AO105" i="1"/>
  <c r="AO192" i="1"/>
  <c r="AO330" i="1"/>
  <c r="AO233" i="1"/>
  <c r="AO135" i="1"/>
  <c r="AO187" i="1"/>
  <c r="AO92" i="1"/>
  <c r="AO58" i="1"/>
  <c r="AO146" i="1"/>
  <c r="AO124" i="1"/>
  <c r="AO74" i="1"/>
  <c r="AO77" i="1"/>
  <c r="AO153" i="1"/>
  <c r="AO45" i="1"/>
  <c r="AO55" i="1"/>
  <c r="AO16" i="1"/>
  <c r="AO24" i="1"/>
  <c r="AO35" i="1"/>
  <c r="AO52" i="1"/>
  <c r="AO56" i="1"/>
  <c r="AO104" i="1"/>
  <c r="AO314" i="1"/>
  <c r="AO313" i="1"/>
  <c r="AO454" i="1"/>
  <c r="AO184" i="1"/>
  <c r="AO300" i="1"/>
  <c r="AO168" i="1"/>
  <c r="AO80" i="1"/>
  <c r="AO344" i="1"/>
  <c r="AO273" i="1"/>
  <c r="AO449" i="1"/>
  <c r="AO71" i="1"/>
  <c r="AO284" i="1"/>
  <c r="AO150" i="1"/>
  <c r="AO323" i="1"/>
  <c r="AO110" i="1"/>
  <c r="AO84" i="1"/>
  <c r="AO265" i="1"/>
  <c r="AO155" i="1"/>
  <c r="AO68" i="1"/>
  <c r="AO37" i="1"/>
  <c r="B16" i="3"/>
</calcChain>
</file>

<file path=xl/sharedStrings.xml><?xml version="1.0" encoding="utf-8"?>
<sst xmlns="http://schemas.openxmlformats.org/spreadsheetml/2006/main" count="2113" uniqueCount="647">
  <si>
    <t>Combined Key</t>
  </si>
  <si>
    <t>State</t>
  </si>
  <si>
    <t>Year</t>
  </si>
  <si>
    <t>Total population</t>
  </si>
  <si>
    <t>Male Total population</t>
  </si>
  <si>
    <t>Female Total population</t>
  </si>
  <si>
    <t>Population &lt;5 years</t>
  </si>
  <si>
    <t>Population 5 to 14 years</t>
  </si>
  <si>
    <t>Population 15 to 24 years</t>
  </si>
  <si>
    <t>Population 25 to 34 years</t>
  </si>
  <si>
    <t>Population 35 to 44 years</t>
  </si>
  <si>
    <t>Population 45 to 54 years</t>
  </si>
  <si>
    <t>Population 55 to 64 years</t>
  </si>
  <si>
    <t>Population 65 to 74 years</t>
  </si>
  <si>
    <t>Population 75 to 84 years</t>
  </si>
  <si>
    <t>Population 85+ years</t>
  </si>
  <si>
    <t>Flu Deaths &lt;5 years old</t>
  </si>
  <si>
    <t>Flu Deaths 15 to 24 years</t>
  </si>
  <si>
    <t>Flu Deaths 25 to 34 years</t>
  </si>
  <si>
    <t>Flu Deaths 35 to 44 years</t>
  </si>
  <si>
    <t>Flu Deaths 45 to 54 years</t>
  </si>
  <si>
    <t>Flu Deaths 5 to 14 years</t>
  </si>
  <si>
    <t>Flu Deaths 55 to 64 years</t>
  </si>
  <si>
    <t>Flu Deaths 65 to 74 years</t>
  </si>
  <si>
    <t>Flu Deaths 75 to 84 years</t>
  </si>
  <si>
    <t>Flu Deaths 85+ years</t>
  </si>
  <si>
    <t>Flu Deaths Not Stated</t>
  </si>
  <si>
    <t>Total Flu Deaths</t>
  </si>
  <si>
    <t>Mort % &lt;5 years</t>
  </si>
  <si>
    <t>Mort % 5 to 14 years</t>
  </si>
  <si>
    <t>Mort % 15 to 24 years</t>
  </si>
  <si>
    <t>Mort % 25 to 34 years</t>
  </si>
  <si>
    <t>Mort %  35 to 44 years</t>
  </si>
  <si>
    <t>Mort %  45 to 54 years</t>
  </si>
  <si>
    <t>Mort % 55 to 64 years</t>
  </si>
  <si>
    <t>Mort %  65 to 74 years</t>
  </si>
  <si>
    <t>Mort % 75 to 84 years</t>
  </si>
  <si>
    <t>Mort % 85+ years</t>
  </si>
  <si>
    <t>Total Mort %</t>
  </si>
  <si>
    <t>Wyoming, 2016</t>
  </si>
  <si>
    <t>Wyoming</t>
  </si>
  <si>
    <t>Wyoming, 2013</t>
  </si>
  <si>
    <t>Vermont, 2014</t>
  </si>
  <si>
    <t>Vermont</t>
  </si>
  <si>
    <t>Vermont, 2016</t>
  </si>
  <si>
    <t>Wyoming, 2015</t>
  </si>
  <si>
    <t>Wyoming, 2009</t>
  </si>
  <si>
    <t>Wyoming, 2011</t>
  </si>
  <si>
    <t>South Dakota, 2015</t>
  </si>
  <si>
    <t>South Dakota</t>
  </si>
  <si>
    <t>Vermont, 2013</t>
  </si>
  <si>
    <t>Wyoming, 2017</t>
  </si>
  <si>
    <t>Wyoming, 2010</t>
  </si>
  <si>
    <t>Wyoming, 2014</t>
  </si>
  <si>
    <t>North Dakota, 2010</t>
  </si>
  <si>
    <t>North Dakota</t>
  </si>
  <si>
    <t>Vermont, 2012</t>
  </si>
  <si>
    <t>Wyoming, 2012</t>
  </si>
  <si>
    <t>South Dakota, 2014</t>
  </si>
  <si>
    <t>North Dakota, 2016</t>
  </si>
  <si>
    <t>Vermont, 2010</t>
  </si>
  <si>
    <t>District of Columbia, 2010</t>
  </si>
  <si>
    <t>District of Columbia</t>
  </si>
  <si>
    <t>District of Columbia, 2009</t>
  </si>
  <si>
    <t>Vermont, 2017</t>
  </si>
  <si>
    <t>District of Columbia, 2011</t>
  </si>
  <si>
    <t>North Dakota, 2014</t>
  </si>
  <si>
    <t>North Dakota, 2009</t>
  </si>
  <si>
    <t>District of Columbia, 2012</t>
  </si>
  <si>
    <t>Vermont, 2015</t>
  </si>
  <si>
    <t>District of Columbia, 2013</t>
  </si>
  <si>
    <t>Vermont, 2009</t>
  </si>
  <si>
    <t>North Dakota, 2013</t>
  </si>
  <si>
    <t>Vermont, 2011</t>
  </si>
  <si>
    <t>North Dakota, 2015</t>
  </si>
  <si>
    <t>Alaska, 2014</t>
  </si>
  <si>
    <t>Alaska</t>
  </si>
  <si>
    <t>District of Columbia, 2014</t>
  </si>
  <si>
    <t>North Dakota, 2012</t>
  </si>
  <si>
    <t>South Dakota, 2013</t>
  </si>
  <si>
    <t>District of Columbia, 2015</t>
  </si>
  <si>
    <t>North Dakota, 2011</t>
  </si>
  <si>
    <t>District of Columbia, 2016</t>
  </si>
  <si>
    <t>Alaska, 2012</t>
  </si>
  <si>
    <t>Alaska, 2011</t>
  </si>
  <si>
    <t>South Dakota, 2010</t>
  </si>
  <si>
    <t>District of Columbia, 2017</t>
  </si>
  <si>
    <t>Alaska, 2010</t>
  </si>
  <si>
    <t>South Dakota, 2016</t>
  </si>
  <si>
    <t>Alaska, 2015</t>
  </si>
  <si>
    <t>South Dakota, 2017</t>
  </si>
  <si>
    <t>Alaska, 2009</t>
  </si>
  <si>
    <t>South Dakota, 2012</t>
  </si>
  <si>
    <t>Alaska, 2013</t>
  </si>
  <si>
    <t>Alaska, 2017</t>
  </si>
  <si>
    <t>Alaska, 2016</t>
  </si>
  <si>
    <t>North Dakota, 2017</t>
  </si>
  <si>
    <t>South Dakota, 2011</t>
  </si>
  <si>
    <t>Montana, 2017</t>
  </si>
  <si>
    <t>Montana</t>
  </si>
  <si>
    <t>South Dakota, 2009</t>
  </si>
  <si>
    <t>Montana, 2013</t>
  </si>
  <si>
    <t>Montana, 2014</t>
  </si>
  <si>
    <t>Delaware, 2009</t>
  </si>
  <si>
    <t>Delaware</t>
  </si>
  <si>
    <t>Delaware, 2010</t>
  </si>
  <si>
    <t>Delaware, 2012</t>
  </si>
  <si>
    <t>Montana, 2012</t>
  </si>
  <si>
    <t>Delaware, 2015</t>
  </si>
  <si>
    <t>Delaware, 2011</t>
  </si>
  <si>
    <t>Delaware, 2014</t>
  </si>
  <si>
    <t>Montana, 2011</t>
  </si>
  <si>
    <t>Montana, 2015</t>
  </si>
  <si>
    <t>Delaware, 2013</t>
  </si>
  <si>
    <t>Montana, 2010</t>
  </si>
  <si>
    <t>Montana, 2009</t>
  </si>
  <si>
    <t>Delaware, 2016</t>
  </si>
  <si>
    <t>Rhode Island, 2015</t>
  </si>
  <si>
    <t>Rhode Island</t>
  </si>
  <si>
    <t>Delaware, 2017</t>
  </si>
  <si>
    <t>Montana, 2016</t>
  </si>
  <si>
    <t>Hawaii, 2017</t>
  </si>
  <si>
    <t>Hawaii</t>
  </si>
  <si>
    <t>Rhode Island, 2011</t>
  </si>
  <si>
    <t>Rhode Island, 2010</t>
  </si>
  <si>
    <t>Hawaii, 2015</t>
  </si>
  <si>
    <t>Rhode Island, 2013</t>
  </si>
  <si>
    <t>Rhode Island, 2017</t>
  </si>
  <si>
    <t>Rhode Island, 2009</t>
  </si>
  <si>
    <t>Rhode Island, 2014</t>
  </si>
  <si>
    <t>Rhode Island, 2012</t>
  </si>
  <si>
    <t>Hawaii, 2016</t>
  </si>
  <si>
    <t>Rhode Island, 2016</t>
  </si>
  <si>
    <t>Hawaii, 2013</t>
  </si>
  <si>
    <t>Hawaii, 2012</t>
  </si>
  <si>
    <t>Hawaii, 2014</t>
  </si>
  <si>
    <t>Maine, 2015</t>
  </si>
  <si>
    <t>Maine</t>
  </si>
  <si>
    <t>New Hampshire, 2015</t>
  </si>
  <si>
    <t>New Hampshire</t>
  </si>
  <si>
    <t>Maine, 2017</t>
  </si>
  <si>
    <t>Hawaii, 2011</t>
  </si>
  <si>
    <t>New Hampshire, 2011</t>
  </si>
  <si>
    <t>West Virginia, 2015</t>
  </si>
  <si>
    <t>West Virginia</t>
  </si>
  <si>
    <t>Maine, 2011</t>
  </si>
  <si>
    <t>Hawaii, 2009</t>
  </si>
  <si>
    <t>Maine, 2016</t>
  </si>
  <si>
    <t>Hawaii, 2010</t>
  </si>
  <si>
    <t>Maine, 2013</t>
  </si>
  <si>
    <t>New Hampshire, 2012</t>
  </si>
  <si>
    <t>New Hampshire, 2013</t>
  </si>
  <si>
    <t>Maine, 2010</t>
  </si>
  <si>
    <t>New Hampshire, 2014</t>
  </si>
  <si>
    <t>New Hampshire, 2017</t>
  </si>
  <si>
    <t>West Virginia, 2017</t>
  </si>
  <si>
    <t>Maine, 2009</t>
  </si>
  <si>
    <t>New Hampshire, 2010</t>
  </si>
  <si>
    <t>Maine, 2012</t>
  </si>
  <si>
    <t>New Hampshire, 2009</t>
  </si>
  <si>
    <t>Maine, 2014</t>
  </si>
  <si>
    <t>New Hampshire, 2016</t>
  </si>
  <si>
    <t>West Virginia, 2013</t>
  </si>
  <si>
    <t>West Virginia, 2014</t>
  </si>
  <si>
    <t>West Virginia, 2012</t>
  </si>
  <si>
    <t>Idaho, 2017</t>
  </si>
  <si>
    <t>Idaho</t>
  </si>
  <si>
    <t>Nebraska, 2015</t>
  </si>
  <si>
    <t>Nebraska</t>
  </si>
  <si>
    <t>Nebraska, 2017</t>
  </si>
  <si>
    <t>Idaho, 2015</t>
  </si>
  <si>
    <t>Idaho, 2014</t>
  </si>
  <si>
    <t>West Virginia, 2011</t>
  </si>
  <si>
    <t>West Virginia, 2010</t>
  </si>
  <si>
    <t>Idaho, 2010</t>
  </si>
  <si>
    <t>West Virginia, 2009</t>
  </si>
  <si>
    <t>West Virginia, 2016</t>
  </si>
  <si>
    <t>Nebraska, 2014</t>
  </si>
  <si>
    <t>Idaho, 2013</t>
  </si>
  <si>
    <t>Nebraska, 2013</t>
  </si>
  <si>
    <t>Idaho, 2016</t>
  </si>
  <si>
    <t>Idaho, 2011</t>
  </si>
  <si>
    <t>Mississippi, 2017</t>
  </si>
  <si>
    <t>Mississippi</t>
  </si>
  <si>
    <t>Nebraska, 2011</t>
  </si>
  <si>
    <t>Idaho, 2012</t>
  </si>
  <si>
    <t>Idaho, 2009</t>
  </si>
  <si>
    <t>Nebraska, 2012</t>
  </si>
  <si>
    <t>Nebraska, 2016</t>
  </si>
  <si>
    <t>Nebraska, 2010</t>
  </si>
  <si>
    <t>Nebraska, 2009</t>
  </si>
  <si>
    <t>Mississippi, 2015</t>
  </si>
  <si>
    <t>Mississippi, 2016</t>
  </si>
  <si>
    <t>Kansas, 2013</t>
  </si>
  <si>
    <t>Kansas</t>
  </si>
  <si>
    <t>Mississippi, 2014</t>
  </si>
  <si>
    <t>Iowa, 2013</t>
  </si>
  <si>
    <t>Iowa</t>
  </si>
  <si>
    <t>Arkansas, 2013</t>
  </si>
  <si>
    <t>Arkansas</t>
  </si>
  <si>
    <t>Arkansas, 2014</t>
  </si>
  <si>
    <t>New Mexico, 2011</t>
  </si>
  <si>
    <t>New Mexico</t>
  </si>
  <si>
    <t>Mississippi, 2013</t>
  </si>
  <si>
    <t>New Mexico, 2013</t>
  </si>
  <si>
    <t>New Mexico, 2015</t>
  </si>
  <si>
    <t>Arkansas, 2011</t>
  </si>
  <si>
    <t>Arkansas, 2012</t>
  </si>
  <si>
    <t>New Mexico, 2010</t>
  </si>
  <si>
    <t>Arkansas, 2016</t>
  </si>
  <si>
    <t>Kansas, 2015</t>
  </si>
  <si>
    <t>New Mexico, 2009</t>
  </si>
  <si>
    <t>New Mexico, 2014</t>
  </si>
  <si>
    <t>Kansas, 2011</t>
  </si>
  <si>
    <t>Arkansas, 2017</t>
  </si>
  <si>
    <t>Arkansas, 2015</t>
  </si>
  <si>
    <t>New Mexico, 2016</t>
  </si>
  <si>
    <t>Kansas, 2012</t>
  </si>
  <si>
    <t>New Mexico, 2017</t>
  </si>
  <si>
    <t>Iowa, 2011</t>
  </si>
  <si>
    <t>New Mexico, 2012</t>
  </si>
  <si>
    <t>Nevada, 2014</t>
  </si>
  <si>
    <t>Nevada</t>
  </si>
  <si>
    <t>Kansas, 2014</t>
  </si>
  <si>
    <t>Iowa, 2017</t>
  </si>
  <si>
    <t>Arkansas, 2009</t>
  </si>
  <si>
    <t>Iowa, 2014</t>
  </si>
  <si>
    <t>Iowa, 2012</t>
  </si>
  <si>
    <t>Kansas, 2009</t>
  </si>
  <si>
    <t>Iowa, 2009</t>
  </si>
  <si>
    <t>Iowa, 2015</t>
  </si>
  <si>
    <t>Kansas, 2017</t>
  </si>
  <si>
    <t>Kansas, 2010</t>
  </si>
  <si>
    <t>Mississippi, 2011</t>
  </si>
  <si>
    <t>Arkansas, 2010</t>
  </si>
  <si>
    <t>Nevada, 2015</t>
  </si>
  <si>
    <t>Kansas, 2016</t>
  </si>
  <si>
    <t>Iowa, 2010</t>
  </si>
  <si>
    <t>Iowa, 2016</t>
  </si>
  <si>
    <t>Nevada, 2017</t>
  </si>
  <si>
    <t>Nevada, 2009</t>
  </si>
  <si>
    <t>Mississippi, 2012</t>
  </si>
  <si>
    <t>Oklahoma, 2011</t>
  </si>
  <si>
    <t>Oklahoma</t>
  </si>
  <si>
    <t>Mississippi, 2010</t>
  </si>
  <si>
    <t>Kentucky, 2014</t>
  </si>
  <si>
    <t>Kentucky</t>
  </si>
  <si>
    <t>Nevada, 2012</t>
  </si>
  <si>
    <t>Mississippi, 2009</t>
  </si>
  <si>
    <t>Oklahoma, 2009</t>
  </si>
  <si>
    <t>Alabama, 2015</t>
  </si>
  <si>
    <t>Alabama</t>
  </si>
  <si>
    <t>Nevada, 2016</t>
  </si>
  <si>
    <t>Kentucky, 2017</t>
  </si>
  <si>
    <t>Alabama, 2017</t>
  </si>
  <si>
    <t>Kentucky, 2015</t>
  </si>
  <si>
    <t>Tennessee, 2015</t>
  </si>
  <si>
    <t>Tennessee</t>
  </si>
  <si>
    <t>Nevada, 2010</t>
  </si>
  <si>
    <t>Connecticut, 2009</t>
  </si>
  <si>
    <t>Connecticut</t>
  </si>
  <si>
    <t>Kentucky, 2010</t>
  </si>
  <si>
    <t>Kentucky, 2011</t>
  </si>
  <si>
    <t>Nevada, 2013</t>
  </si>
  <si>
    <t>Nevada, 2011</t>
  </si>
  <si>
    <t>Connecticut, 2011</t>
  </si>
  <si>
    <t>Connecticut, 2015</t>
  </si>
  <si>
    <t>Oklahoma, 2010</t>
  </si>
  <si>
    <t>Kentucky, 2009</t>
  </si>
  <si>
    <t>Utah, 2013</t>
  </si>
  <si>
    <t>Utah</t>
  </si>
  <si>
    <t>Tennessee, 2013</t>
  </si>
  <si>
    <t>Kentucky, 2013</t>
  </si>
  <si>
    <t>Tennessee, 2014</t>
  </si>
  <si>
    <t>Utah, 2011</t>
  </si>
  <si>
    <t>Tennessee, 2017</t>
  </si>
  <si>
    <t>Connecticut, 2017</t>
  </si>
  <si>
    <t>Kentucky, 2016</t>
  </si>
  <si>
    <t>Utah, 2010</t>
  </si>
  <si>
    <t>Oklahoma, 2014</t>
  </si>
  <si>
    <t>Oklahoma, 2013</t>
  </si>
  <si>
    <t>Alabama, 2014</t>
  </si>
  <si>
    <t>Oklahoma, 2015</t>
  </si>
  <si>
    <t>Tennessee, 2016</t>
  </si>
  <si>
    <t>Connecticut, 2014</t>
  </si>
  <si>
    <t>Missouri, 2015</t>
  </si>
  <si>
    <t>Missouri</t>
  </si>
  <si>
    <t>Missouri, 2013</t>
  </si>
  <si>
    <t>Connecticut, 2013</t>
  </si>
  <si>
    <t>Utah, 2014</t>
  </si>
  <si>
    <t>Kentucky, 2012</t>
  </si>
  <si>
    <t>Alabama, 2016</t>
  </si>
  <si>
    <t>Connecticut, 2010</t>
  </si>
  <si>
    <t>Alabama, 2013</t>
  </si>
  <si>
    <t>Utah, 2009</t>
  </si>
  <si>
    <t>Utah, 2012</t>
  </si>
  <si>
    <t>Missouri, 2017</t>
  </si>
  <si>
    <t>Massachusetts, 2013</t>
  </si>
  <si>
    <t>Massachusetts</t>
  </si>
  <si>
    <t>Utah, 2015</t>
  </si>
  <si>
    <t>Missouri, 2014</t>
  </si>
  <si>
    <t>Connecticut, 2012</t>
  </si>
  <si>
    <t>Missouri, 2009</t>
  </si>
  <si>
    <t>Utah, 2016</t>
  </si>
  <si>
    <t>Tennessee, 2012</t>
  </si>
  <si>
    <t>Louisiana, 2013</t>
  </si>
  <si>
    <t>Louisiana</t>
  </si>
  <si>
    <t>Oklahoma, 2017</t>
  </si>
  <si>
    <t>Tennessee, 2011</t>
  </si>
  <si>
    <t>Massachusetts, 2015</t>
  </si>
  <si>
    <t>Louisiana, 2010</t>
  </si>
  <si>
    <t>Connecticut, 2016</t>
  </si>
  <si>
    <t>Alabama, 2010</t>
  </si>
  <si>
    <t>Tennessee, 2009</t>
  </si>
  <si>
    <t>Alabama, 2009</t>
  </si>
  <si>
    <t>Tennessee, 2010</t>
  </si>
  <si>
    <t>Alabama, 2011</t>
  </si>
  <si>
    <t>Wisconsin, 2013</t>
  </si>
  <si>
    <t>Wisconsin</t>
  </si>
  <si>
    <t>Louisiana, 2009</t>
  </si>
  <si>
    <t>Missouri, 2012</t>
  </si>
  <si>
    <t>Massachusetts, 2011</t>
  </si>
  <si>
    <t>Alabama, 2012</t>
  </si>
  <si>
    <t>Massachusetts, 2017</t>
  </si>
  <si>
    <t>Utah, 2017</t>
  </si>
  <si>
    <t>Missouri, 2011</t>
  </si>
  <si>
    <t>Louisiana, 2011</t>
  </si>
  <si>
    <t>Louisiana, 2014</t>
  </si>
  <si>
    <t>South Carolina, 2015</t>
  </si>
  <si>
    <t>South Carolina</t>
  </si>
  <si>
    <t>Missouri, 2010</t>
  </si>
  <si>
    <t>North Carolina, 2015</t>
  </si>
  <si>
    <t>North Carolina</t>
  </si>
  <si>
    <t>New York, 2011</t>
  </si>
  <si>
    <t>New York</t>
  </si>
  <si>
    <t>Wisconsin, 2015</t>
  </si>
  <si>
    <t>Louisiana, 2017</t>
  </si>
  <si>
    <t>Louisiana, 2012</t>
  </si>
  <si>
    <t>Oklahoma, 2012</t>
  </si>
  <si>
    <t>Oklahoma, 2016</t>
  </si>
  <si>
    <t>Massachusetts, 2012</t>
  </si>
  <si>
    <t>New York, 2013</t>
  </si>
  <si>
    <t>South Carolina, 2011</t>
  </si>
  <si>
    <t>Missouri, 2016</t>
  </si>
  <si>
    <t>Massachusetts, 2014</t>
  </si>
  <si>
    <t>New York, 2015</t>
  </si>
  <si>
    <t>Massachusetts, 2009</t>
  </si>
  <si>
    <t>Pennsylvania, 2015</t>
  </si>
  <si>
    <t>Pennsylvania</t>
  </si>
  <si>
    <t>Massachusetts, 2010</t>
  </si>
  <si>
    <t>Maryland, 2015</t>
  </si>
  <si>
    <t>Maryland</t>
  </si>
  <si>
    <t>Oregon, 2017</t>
  </si>
  <si>
    <t>Oregon</t>
  </si>
  <si>
    <t>Louisiana, 2015</t>
  </si>
  <si>
    <t>South Carolina, 2009</t>
  </si>
  <si>
    <t>South Carolina, 2010</t>
  </si>
  <si>
    <t>New York, 2010</t>
  </si>
  <si>
    <t>New York, 2014</t>
  </si>
  <si>
    <t>Wisconsin, 2012</t>
  </si>
  <si>
    <t>Wisconsin, 2011</t>
  </si>
  <si>
    <t>Ohio, 2015</t>
  </si>
  <si>
    <t>Ohio</t>
  </si>
  <si>
    <t>Maryland, 2013</t>
  </si>
  <si>
    <t>Pennsylvania, 2013</t>
  </si>
  <si>
    <t>Wisconsin, 2017</t>
  </si>
  <si>
    <t>Wisconsin, 2014</t>
  </si>
  <si>
    <t>Oregon, 2009</t>
  </si>
  <si>
    <t>Oregon, 2013</t>
  </si>
  <si>
    <t>South Carolina, 2012</t>
  </si>
  <si>
    <t>Maryland, 2011</t>
  </si>
  <si>
    <t>South Carolina, 2013</t>
  </si>
  <si>
    <t>Pennsylvania, 2011</t>
  </si>
  <si>
    <t>New York, 2009</t>
  </si>
  <si>
    <t>New York, 2012</t>
  </si>
  <si>
    <t>Massachusetts, 2016</t>
  </si>
  <si>
    <t>Wisconsin, 2009</t>
  </si>
  <si>
    <t>New York, 2017</t>
  </si>
  <si>
    <t>New York, 2016</t>
  </si>
  <si>
    <t>Ohio, 2013</t>
  </si>
  <si>
    <t>Oregon, 2015</t>
  </si>
  <si>
    <t>Virginia, 2014</t>
  </si>
  <si>
    <t>Virginia</t>
  </si>
  <si>
    <t>Louisiana, 2016</t>
  </si>
  <si>
    <t>North Carolina, 2017</t>
  </si>
  <si>
    <t>Ohio, 2014</t>
  </si>
  <si>
    <t>South Carolina, 2014</t>
  </si>
  <si>
    <t>North Carolina, 2012</t>
  </si>
  <si>
    <t>Pennsylvania, 2017</t>
  </si>
  <si>
    <t>Oregon, 2010</t>
  </si>
  <si>
    <t>Indiana, 2010</t>
  </si>
  <si>
    <t>Indiana</t>
  </si>
  <si>
    <t>Maryland, 2016</t>
  </si>
  <si>
    <t>Wisconsin, 2010</t>
  </si>
  <si>
    <t>Oregon, 2014</t>
  </si>
  <si>
    <t>Indiana, 2009</t>
  </si>
  <si>
    <t>North Carolina, 2013</t>
  </si>
  <si>
    <t>North Carolina, 2016</t>
  </si>
  <si>
    <t>South Carolina, 2017</t>
  </si>
  <si>
    <t>Indiana, 2013</t>
  </si>
  <si>
    <t>Oregon, 2011</t>
  </si>
  <si>
    <t>Oregon, 2012</t>
  </si>
  <si>
    <t>Wisconsin, 2016</t>
  </si>
  <si>
    <t>Indiana, 2015</t>
  </si>
  <si>
    <t>Maryland, 2014</t>
  </si>
  <si>
    <t>Virginia, 2013</t>
  </si>
  <si>
    <t>Maryland, 2017</t>
  </si>
  <si>
    <t>Michigan, 2015</t>
  </si>
  <si>
    <t>Michigan</t>
  </si>
  <si>
    <t>Ohio, 2017</t>
  </si>
  <si>
    <t>Pennsylvania, 2014</t>
  </si>
  <si>
    <t>North Carolina, 2014</t>
  </si>
  <si>
    <t>Michigan, 2013</t>
  </si>
  <si>
    <t>Maryland, 2009</t>
  </si>
  <si>
    <t>Maryland, 2012</t>
  </si>
  <si>
    <t>Pennsylvania, 2009</t>
  </si>
  <si>
    <t>Virginia, 2011</t>
  </si>
  <si>
    <t>Maryland, 2010</t>
  </si>
  <si>
    <t>Virginia, 2015</t>
  </si>
  <si>
    <t>Indiana, 2014</t>
  </si>
  <si>
    <t>North Carolina, 2009</t>
  </si>
  <si>
    <t>South Carolina, 2016</t>
  </si>
  <si>
    <t>Minnesota, 2013</t>
  </si>
  <si>
    <t>Minnesota</t>
  </si>
  <si>
    <t>Indiana, 2017</t>
  </si>
  <si>
    <t>Ohio, 2011</t>
  </si>
  <si>
    <t>Minnesota, 2015</t>
  </si>
  <si>
    <t>Michigan, 2014</t>
  </si>
  <si>
    <t>Minnesota, 2017</t>
  </si>
  <si>
    <t>Michigan, 2017</t>
  </si>
  <si>
    <t>Illinois, 2014</t>
  </si>
  <si>
    <t>Illinois</t>
  </si>
  <si>
    <t>Ohio, 2012</t>
  </si>
  <si>
    <t>Virginia, 2012</t>
  </si>
  <si>
    <t>Ohio, 2016</t>
  </si>
  <si>
    <t>Oregon, 2016</t>
  </si>
  <si>
    <t>North Carolina, 2010</t>
  </si>
  <si>
    <t>Indiana, 2011</t>
  </si>
  <si>
    <t>Pennsylvania, 2016</t>
  </si>
  <si>
    <t>Minnesota, 2011</t>
  </si>
  <si>
    <t>Minnesota, 2012</t>
  </si>
  <si>
    <t>Illinois, 2013</t>
  </si>
  <si>
    <t>Illinois, 2011</t>
  </si>
  <si>
    <t>Illinois, 2017</t>
  </si>
  <si>
    <t>Arizona, 2009</t>
  </si>
  <si>
    <t>Arizona</t>
  </si>
  <si>
    <t>Indiana, 2016</t>
  </si>
  <si>
    <t>Colorado, 2009</t>
  </si>
  <si>
    <t>Colorado</t>
  </si>
  <si>
    <t>Indiana, 2012</t>
  </si>
  <si>
    <t>Illinois, 2015</t>
  </si>
  <si>
    <t>Pennsylvania, 2012</t>
  </si>
  <si>
    <t>Pennsylvania, 2010</t>
  </si>
  <si>
    <t>Michigan, 2011</t>
  </si>
  <si>
    <t>Illinois, 2009</t>
  </si>
  <si>
    <t>Colorado, 2014</t>
  </si>
  <si>
    <t>Virginia, 2010</t>
  </si>
  <si>
    <t>Illinois, 2012</t>
  </si>
  <si>
    <t>North Carolina, 2011</t>
  </si>
  <si>
    <t>Virginia, 2009</t>
  </si>
  <si>
    <t>Michigan, 2016</t>
  </si>
  <si>
    <t>Minnesota, 2009</t>
  </si>
  <si>
    <t>Washington, 2017</t>
  </si>
  <si>
    <t>Washington</t>
  </si>
  <si>
    <t>Colorado, 2015</t>
  </si>
  <si>
    <t>Minnesota, 2014</t>
  </si>
  <si>
    <t>Colorado, 2011</t>
  </si>
  <si>
    <t>Ohio, 2009</t>
  </si>
  <si>
    <t>Virginia, 2017</t>
  </si>
  <si>
    <t>Colorado, 2010</t>
  </si>
  <si>
    <t>Minnesota, 2010</t>
  </si>
  <si>
    <t>New Jersey, 2015</t>
  </si>
  <si>
    <t>New Jersey</t>
  </si>
  <si>
    <t>Ohio, 2010</t>
  </si>
  <si>
    <t>Colorado, 2012</t>
  </si>
  <si>
    <t>Illinois, 2010</t>
  </si>
  <si>
    <t>Virginia, 2016</t>
  </si>
  <si>
    <t>Colorado, 2013</t>
  </si>
  <si>
    <t>Illinois, 2016</t>
  </si>
  <si>
    <t>Michigan, 2012</t>
  </si>
  <si>
    <t>New Jersey, 2013</t>
  </si>
  <si>
    <t>Arizona, 2016</t>
  </si>
  <si>
    <t>Georgia, 2014</t>
  </si>
  <si>
    <t>Georgia</t>
  </si>
  <si>
    <t>Michigan, 2009</t>
  </si>
  <si>
    <t>New Jersey, 2009</t>
  </si>
  <si>
    <t>New Jersey, 2017</t>
  </si>
  <si>
    <t>Georgia, 2011</t>
  </si>
  <si>
    <t>Georgia, 2013</t>
  </si>
  <si>
    <t>Georgia, 2009</t>
  </si>
  <si>
    <t>Georgia, 2010</t>
  </si>
  <si>
    <t>Minnesota, 2016</t>
  </si>
  <si>
    <t>Washington, 2015</t>
  </si>
  <si>
    <t>Georgia, 2015</t>
  </si>
  <si>
    <t>Colorado, 2017</t>
  </si>
  <si>
    <t>Arizona, 2017</t>
  </si>
  <si>
    <t>Michigan, 2010</t>
  </si>
  <si>
    <t>Arizona, 2010</t>
  </si>
  <si>
    <t>Georgia, 2017</t>
  </si>
  <si>
    <t>Georgia, 2012</t>
  </si>
  <si>
    <t>Georgia, 2016</t>
  </si>
  <si>
    <t>Colorado, 2016</t>
  </si>
  <si>
    <t>Arizona, 2013</t>
  </si>
  <si>
    <t>New Jersey, 2011</t>
  </si>
  <si>
    <t>New Jersey, 2016</t>
  </si>
  <si>
    <t>California, 2009</t>
  </si>
  <si>
    <t>California</t>
  </si>
  <si>
    <t>Arizona, 2015</t>
  </si>
  <si>
    <t>California, 2013</t>
  </si>
  <si>
    <t>New Jersey, 2014</t>
  </si>
  <si>
    <t>Arizona, 2014</t>
  </si>
  <si>
    <t>Washington, 2013</t>
  </si>
  <si>
    <t>Arizona, 2011</t>
  </si>
  <si>
    <t>Washington, 2011</t>
  </si>
  <si>
    <t>California, 2011</t>
  </si>
  <si>
    <t>Washington, 2016</t>
  </si>
  <si>
    <t>Washington, 2009</t>
  </si>
  <si>
    <t>New Jersey, 2012</t>
  </si>
  <si>
    <t>New Jersey, 2010</t>
  </si>
  <si>
    <t>Arizona, 2012</t>
  </si>
  <si>
    <t>California, 2017</t>
  </si>
  <si>
    <t>California, 2010</t>
  </si>
  <si>
    <t>California, 2015</t>
  </si>
  <si>
    <t>Washington, 2012</t>
  </si>
  <si>
    <t>Florida, 2017</t>
  </si>
  <si>
    <t>Florida</t>
  </si>
  <si>
    <t>Washington, 2014</t>
  </si>
  <si>
    <t>California, 2014</t>
  </si>
  <si>
    <t>California, 2012</t>
  </si>
  <si>
    <t>California, 2016</t>
  </si>
  <si>
    <t>Florida, 2013</t>
  </si>
  <si>
    <t>Florida, 2014</t>
  </si>
  <si>
    <t>Washington, 2010</t>
  </si>
  <si>
    <t>Florida, 2016</t>
  </si>
  <si>
    <t>Florida, 2015</t>
  </si>
  <si>
    <t>Texas, 2009</t>
  </si>
  <si>
    <t>Texas</t>
  </si>
  <si>
    <t>Florida, 2011</t>
  </si>
  <si>
    <t>Florida, 2009</t>
  </si>
  <si>
    <t>Texas, 2014</t>
  </si>
  <si>
    <t>Florida, 2012</t>
  </si>
  <si>
    <t>Texas, 2013</t>
  </si>
  <si>
    <t>Florida, 2010</t>
  </si>
  <si>
    <t>Texas, 2015</t>
  </si>
  <si>
    <t>Texas, 2010</t>
  </si>
  <si>
    <t>Texas, 2011</t>
  </si>
  <si>
    <t>Texas, 2012</t>
  </si>
  <si>
    <t>Texas, 2017</t>
  </si>
  <si>
    <t>Texas, 2016</t>
  </si>
  <si>
    <t>Population</t>
  </si>
  <si>
    <t>The Variance</t>
  </si>
  <si>
    <t>MEAN</t>
  </si>
  <si>
    <t>MEAN for Flu Deaths</t>
  </si>
  <si>
    <t xml:space="preserve">It is the average of the squared differences of the data from the MEAN. </t>
  </si>
  <si>
    <t>symbol</t>
  </si>
  <si>
    <t>meaning</t>
  </si>
  <si>
    <t>µ</t>
  </si>
  <si>
    <t>Variance</t>
  </si>
  <si>
    <t>Standard Deviation</t>
  </si>
  <si>
    <t>σ</t>
  </si>
  <si>
    <t>MEAN Pop</t>
  </si>
  <si>
    <r>
      <t>σ</t>
    </r>
    <r>
      <rPr>
        <b/>
        <vertAlign val="superscript"/>
        <sz val="11"/>
        <color rgb="FF1F1F1F"/>
        <rFont val="Aptos Display"/>
        <family val="2"/>
        <scheme val="major"/>
      </rPr>
      <t>2</t>
    </r>
  </si>
  <si>
    <t>SQRT</t>
  </si>
  <si>
    <t>Square Root</t>
  </si>
  <si>
    <t>1σ</t>
  </si>
  <si>
    <t>MEAN - Standard Dev</t>
  </si>
  <si>
    <t>MEAN + Standard Dev</t>
  </si>
  <si>
    <t>68% of all 85+ deaths will fall within 1σ</t>
  </si>
  <si>
    <t xml:space="preserve">95% of all 85+ deaths will fall within 2σ </t>
  </si>
  <si>
    <t>Empirical Rule range</t>
  </si>
  <si>
    <t>2σ</t>
  </si>
  <si>
    <t>MEAN - (Standard Dev x 2)</t>
  </si>
  <si>
    <t>MEAN + (Standard Dev x 2)</t>
  </si>
  <si>
    <t>3σ</t>
  </si>
  <si>
    <t>MEAN - (Standard Dev x 3)</t>
  </si>
  <si>
    <t>MEAN + (Standard Dev x 3)</t>
  </si>
  <si>
    <t>More than 2σ away from the mean are Outliers</t>
  </si>
  <si>
    <t>It is the square root of VARIANCE</t>
  </si>
  <si>
    <t>MIN</t>
  </si>
  <si>
    <t>MAX</t>
  </si>
  <si>
    <t>Outliers</t>
  </si>
  <si>
    <t>4σ</t>
  </si>
  <si>
    <t>5σ</t>
  </si>
  <si>
    <t>6σ</t>
  </si>
  <si>
    <t>MEAN - (Standard Dev x 4)</t>
  </si>
  <si>
    <t>MEAN + (Standard Dev x 4)</t>
  </si>
  <si>
    <t>MEAN - (Standard Dev x 5)</t>
  </si>
  <si>
    <t>MEAN + (Standard Dev x 5)</t>
  </si>
  <si>
    <t>MEAN - (Standard Dev x 6)</t>
  </si>
  <si>
    <t>MEAN + (Standard Dev x 6)</t>
  </si>
  <si>
    <t>Data Spread</t>
  </si>
  <si>
    <t>Dataset name</t>
  </si>
  <si>
    <t>Sample or population</t>
  </si>
  <si>
    <t>Normal distribution</t>
  </si>
  <si>
    <t>Outlier percentage</t>
  </si>
  <si>
    <t>Correlation</t>
  </si>
  <si>
    <t>Variables</t>
  </si>
  <si>
    <t>Proposed relationship</t>
  </si>
  <si>
    <t>Correlation Coefficient</t>
  </si>
  <si>
    <t>Strenght of correlation</t>
  </si>
  <si>
    <t>Usefulness/Interpretation</t>
  </si>
  <si>
    <t>Sample</t>
  </si>
  <si>
    <t>Flu Deaths 85+</t>
  </si>
  <si>
    <t>Population 85+</t>
  </si>
  <si>
    <t>Integrated Data set</t>
  </si>
  <si>
    <t xml:space="preserve">Hypothesis: The population 85 years and older has a higher risk of death due to Influenza virus </t>
  </si>
  <si>
    <r>
      <t xml:space="preserve">The Census and the Deaths for Flu are both Population Data sets.  The U.S. population statistics come from decennial censuses, which count the entire U.S. population every ten years, and several other surveys. NCHS collects death certificate data from state vital statistics offices for all deaths in the United States. In this case, we are analyzing only the population over 85 years old, which is a </t>
    </r>
    <r>
      <rPr>
        <b/>
        <sz val="11"/>
        <color theme="1"/>
        <rFont val="Aptos Narrow"/>
        <family val="2"/>
        <scheme val="minor"/>
      </rPr>
      <t>"sample".</t>
    </r>
  </si>
  <si>
    <t>% of population 85+</t>
  </si>
  <si>
    <t>% Female population</t>
  </si>
  <si>
    <t>Integrated Data Set</t>
  </si>
  <si>
    <t>Total Population</t>
  </si>
  <si>
    <t>Row Labels</t>
  </si>
  <si>
    <t>Sum of Population 85+ years</t>
  </si>
  <si>
    <t>Sum of Flu Deaths 85+ years</t>
  </si>
  <si>
    <t>MEDIAN</t>
  </si>
  <si>
    <t>MODE</t>
  </si>
  <si>
    <t>%Male Population</t>
  </si>
  <si>
    <t>Outlier lower  bound</t>
  </si>
  <si>
    <t>Outlier upper bound</t>
  </si>
  <si>
    <t>Outlier count</t>
  </si>
  <si>
    <t>Q1</t>
  </si>
  <si>
    <t>Q3</t>
  </si>
  <si>
    <t>IQR</t>
  </si>
  <si>
    <t>UPPER</t>
  </si>
  <si>
    <t>LOWER</t>
  </si>
  <si>
    <t>Outlier Count</t>
  </si>
  <si>
    <t>RANGE</t>
  </si>
  <si>
    <t>The outlier lower bound is below zero, which means we don’t have Low Outliers.</t>
  </si>
  <si>
    <t>To test the relationship between population 85+ years and the total deaths on 85+ years</t>
  </si>
  <si>
    <t>Population 85+ and Flu Deaths 85+</t>
  </si>
  <si>
    <t>Total Population and Total deaths</t>
  </si>
  <si>
    <t>To test the relationship between total population and total deaths due to influenza</t>
  </si>
  <si>
    <t>Pearson's test is the correlation coefficient. Uses Z codes to standarize all variables.</t>
  </si>
  <si>
    <t xml:space="preserve">As the total population increases, the total deaths increases.  </t>
  </si>
  <si>
    <t>Right skew (Positive)</t>
  </si>
  <si>
    <t>The correlation, identify and quantify the relationship between variables.</t>
  </si>
  <si>
    <t>mean&gt;median&gt;mode</t>
  </si>
  <si>
    <t>Mean&gt;median&gt;mode</t>
  </si>
  <si>
    <t>mean&gt;median</t>
  </si>
  <si>
    <t>Right Skew</t>
  </si>
  <si>
    <t>Right-Skew</t>
  </si>
  <si>
    <r>
      <t xml:space="preserve">Normal Distribution can be positive (tail to right) where </t>
    </r>
    <r>
      <rPr>
        <b/>
        <sz val="11"/>
        <color theme="1"/>
        <rFont val="Aptos Narrow"/>
        <family val="2"/>
        <scheme val="minor"/>
      </rPr>
      <t>mean&gt;median&gt;mode</t>
    </r>
    <r>
      <rPr>
        <sz val="11"/>
        <color theme="1"/>
        <rFont val="Aptos Narrow"/>
        <family val="2"/>
        <scheme val="minor"/>
      </rPr>
      <t xml:space="preserve">, or negative (tail to left) where </t>
    </r>
    <r>
      <rPr>
        <b/>
        <sz val="11"/>
        <color theme="1"/>
        <rFont val="Aptos Narrow"/>
        <family val="2"/>
        <scheme val="minor"/>
      </rPr>
      <t xml:space="preserve">mean&lt;median&lt;mode. </t>
    </r>
  </si>
  <si>
    <t>EMPIRICAL RULE - PEARSON'S TEST</t>
  </si>
  <si>
    <t>I have used the 2σ to identify Outliers.</t>
  </si>
  <si>
    <t>Average of Population 85+ years</t>
  </si>
  <si>
    <t>Strong Positive Correlation</t>
  </si>
  <si>
    <t>As the population 85+ years increases, the deaths due to influenza for 85+ years people increases.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</si>
</sst>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13"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sz val="8"/>
      <name val="Aptos Narrow"/>
      <family val="2"/>
      <scheme val="minor"/>
    </font>
    <font>
      <b/>
      <sz val="11"/>
      <color theme="1"/>
      <name val="Aptos Display"/>
      <family val="2"/>
      <scheme val="major"/>
    </font>
    <font>
      <sz val="11"/>
      <color theme="1"/>
      <name val="Aptos Display"/>
      <family val="2"/>
      <scheme val="major"/>
    </font>
    <font>
      <b/>
      <sz val="11"/>
      <name val="Aptos Display"/>
      <family val="2"/>
      <scheme val="major"/>
    </font>
    <font>
      <b/>
      <sz val="11"/>
      <color rgb="FF1F1F1F"/>
      <name val="Aptos Display"/>
      <family val="2"/>
      <scheme val="major"/>
    </font>
    <font>
      <b/>
      <vertAlign val="superscript"/>
      <sz val="11"/>
      <color rgb="FF1F1F1F"/>
      <name val="Aptos Display"/>
      <family val="2"/>
      <scheme val="major"/>
    </font>
    <font>
      <b/>
      <sz val="12"/>
      <color theme="1"/>
      <name val="Aptos Narrow"/>
      <family val="2"/>
      <scheme val="minor"/>
    </font>
  </fonts>
  <fills count="20">
    <fill>
      <patternFill patternType="none"/>
    </fill>
    <fill>
      <patternFill patternType="gray125"/>
    </fill>
    <fill>
      <patternFill patternType="solid">
        <fgColor theme="8" tint="0.79998168889431442"/>
        <bgColor indexed="65"/>
      </patternFill>
    </fill>
    <fill>
      <patternFill patternType="solid">
        <fgColor rgb="FFFFC000"/>
        <bgColor indexed="64"/>
      </patternFill>
    </fill>
    <fill>
      <patternFill patternType="solid">
        <fgColor theme="4"/>
        <bgColor theme="4"/>
      </patternFill>
    </fill>
    <fill>
      <patternFill patternType="solid">
        <fgColor theme="8" tint="0.79998168889431442"/>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6" tint="-0.249977111117893"/>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7"/>
        <bgColor indexed="64"/>
      </patternFill>
    </fill>
    <fill>
      <patternFill patternType="solid">
        <fgColor theme="7" tint="-0.499984740745262"/>
        <bgColor indexed="64"/>
      </patternFill>
    </fill>
    <fill>
      <patternFill patternType="solid">
        <fgColor theme="5" tint="0.7999816888943144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style="thin">
        <color theme="4"/>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181">
    <xf numFmtId="0" fontId="0" fillId="0" borderId="0" xfId="0"/>
    <xf numFmtId="0" fontId="3" fillId="0" borderId="0" xfId="0" applyFont="1"/>
    <xf numFmtId="3" fontId="0" fillId="0" borderId="0" xfId="0" applyNumberFormat="1"/>
    <xf numFmtId="0" fontId="2" fillId="4" borderId="2" xfId="0" applyFont="1" applyFill="1" applyBorder="1"/>
    <xf numFmtId="0" fontId="0" fillId="0" borderId="0" xfId="0" applyAlignment="1">
      <alignment wrapText="1"/>
    </xf>
    <xf numFmtId="9" fontId="0" fillId="0" borderId="0" xfId="1" applyFont="1"/>
    <xf numFmtId="0" fontId="0" fillId="0" borderId="1" xfId="0" applyBorder="1"/>
    <xf numFmtId="3" fontId="0" fillId="0" borderId="1" xfId="0" applyNumberFormat="1" applyBorder="1"/>
    <xf numFmtId="0" fontId="7" fillId="0" borderId="0" xfId="0" applyFont="1"/>
    <xf numFmtId="0" fontId="8" fillId="0" borderId="0" xfId="0" applyFont="1"/>
    <xf numFmtId="3" fontId="8" fillId="0" borderId="0" xfId="0" applyNumberFormat="1" applyFont="1"/>
    <xf numFmtId="0" fontId="7" fillId="0" borderId="0" xfId="0" applyFont="1" applyAlignment="1">
      <alignment horizontal="center" vertical="center"/>
    </xf>
    <xf numFmtId="0" fontId="8" fillId="0" borderId="1" xfId="0" applyFont="1" applyBorder="1"/>
    <xf numFmtId="3" fontId="9" fillId="2" borderId="1" xfId="2" applyNumberFormat="1" applyFont="1" applyBorder="1"/>
    <xf numFmtId="0" fontId="7" fillId="0" borderId="1" xfId="0" applyFont="1" applyBorder="1" applyAlignment="1">
      <alignment horizontal="center" vertical="center"/>
    </xf>
    <xf numFmtId="0" fontId="9" fillId="2" borderId="1" xfId="2" applyFont="1" applyBorder="1"/>
    <xf numFmtId="3" fontId="8" fillId="0" borderId="1" xfId="0" applyNumberFormat="1" applyFont="1" applyBorder="1" applyAlignment="1">
      <alignment horizontal="center"/>
    </xf>
    <xf numFmtId="3" fontId="8" fillId="0" borderId="1" xfId="0" applyNumberFormat="1" applyFont="1" applyBorder="1"/>
    <xf numFmtId="2" fontId="7" fillId="0" borderId="1" xfId="0" applyNumberFormat="1" applyFont="1" applyBorder="1" applyAlignment="1">
      <alignment horizontal="center" vertical="center"/>
    </xf>
    <xf numFmtId="3" fontId="8" fillId="5" borderId="1" xfId="1" applyNumberFormat="1" applyFont="1" applyFill="1" applyBorder="1" applyAlignment="1">
      <alignment horizontal="center"/>
    </xf>
    <xf numFmtId="0" fontId="9" fillId="0" borderId="1" xfId="2" applyFont="1" applyFill="1" applyBorder="1"/>
    <xf numFmtId="0" fontId="10" fillId="5" borderId="1" xfId="0" applyFont="1" applyFill="1" applyBorder="1" applyAlignment="1">
      <alignment horizontal="center" vertical="center" wrapText="1"/>
    </xf>
    <xf numFmtId="0" fontId="7" fillId="5" borderId="1" xfId="0" applyFont="1" applyFill="1" applyBorder="1" applyAlignment="1">
      <alignment vertical="center"/>
    </xf>
    <xf numFmtId="0" fontId="10" fillId="5" borderId="1" xfId="0" applyFont="1" applyFill="1" applyBorder="1" applyAlignment="1">
      <alignment horizontal="center" vertical="center"/>
    </xf>
    <xf numFmtId="0" fontId="7" fillId="5" borderId="1" xfId="0" applyFont="1" applyFill="1" applyBorder="1"/>
    <xf numFmtId="3" fontId="7" fillId="0" borderId="0" xfId="0" applyNumberFormat="1" applyFont="1"/>
    <xf numFmtId="0" fontId="8" fillId="0" borderId="0" xfId="0" applyFont="1" applyAlignment="1">
      <alignment vertical="center" wrapText="1"/>
    </xf>
    <xf numFmtId="3" fontId="8" fillId="0" borderId="11" xfId="0" applyNumberFormat="1" applyFont="1" applyBorder="1"/>
    <xf numFmtId="3" fontId="8" fillId="0" borderId="12" xfId="0" applyNumberFormat="1" applyFont="1" applyBorder="1"/>
    <xf numFmtId="3" fontId="8" fillId="0" borderId="13" xfId="0" applyNumberFormat="1" applyFont="1" applyBorder="1"/>
    <xf numFmtId="3" fontId="7" fillId="0" borderId="16" xfId="0" applyNumberFormat="1" applyFont="1" applyBorder="1"/>
    <xf numFmtId="0" fontId="8" fillId="0" borderId="5" xfId="0" applyFont="1" applyBorder="1"/>
    <xf numFmtId="0" fontId="8" fillId="0" borderId="7" xfId="0" applyFont="1" applyBorder="1"/>
    <xf numFmtId="0" fontId="8" fillId="0" borderId="15" xfId="0" applyFont="1" applyBorder="1"/>
    <xf numFmtId="3" fontId="8" fillId="0" borderId="0" xfId="0" applyNumberFormat="1" applyFont="1" applyAlignment="1">
      <alignment horizontal="left" vertical="center"/>
    </xf>
    <xf numFmtId="3" fontId="8" fillId="0" borderId="21" xfId="0" applyNumberFormat="1" applyFont="1" applyBorder="1"/>
    <xf numFmtId="0" fontId="7" fillId="0" borderId="22" xfId="0" applyFont="1" applyBorder="1"/>
    <xf numFmtId="0" fontId="10" fillId="6" borderId="1" xfId="0" applyFont="1" applyFill="1" applyBorder="1" applyAlignment="1">
      <alignment horizontal="center" vertical="center" wrapText="1"/>
    </xf>
    <xf numFmtId="0" fontId="7" fillId="6" borderId="1" xfId="0" applyFont="1" applyFill="1" applyBorder="1" applyAlignment="1">
      <alignment vertical="center"/>
    </xf>
    <xf numFmtId="0" fontId="10" fillId="6" borderId="1" xfId="0" applyFont="1" applyFill="1" applyBorder="1" applyAlignment="1">
      <alignment horizontal="center" vertical="center"/>
    </xf>
    <xf numFmtId="0" fontId="7" fillId="6" borderId="1" xfId="0" applyFont="1" applyFill="1" applyBorder="1"/>
    <xf numFmtId="0" fontId="4" fillId="7" borderId="3" xfId="0" applyFont="1" applyFill="1" applyBorder="1" applyAlignment="1">
      <alignment horizontal="center" vertical="center"/>
    </xf>
    <xf numFmtId="0" fontId="4" fillId="7" borderId="20" xfId="0" applyFont="1" applyFill="1" applyBorder="1"/>
    <xf numFmtId="0" fontId="4" fillId="7" borderId="23" xfId="0" applyFont="1" applyFill="1" applyBorder="1" applyAlignment="1">
      <alignment horizontal="left"/>
    </xf>
    <xf numFmtId="0" fontId="0" fillId="0" borderId="6" xfId="0" applyBorder="1" applyAlignment="1">
      <alignment horizontal="right"/>
    </xf>
    <xf numFmtId="0" fontId="0" fillId="0" borderId="24" xfId="0" applyBorder="1" applyAlignment="1">
      <alignment horizontal="left"/>
    </xf>
    <xf numFmtId="0" fontId="0" fillId="0" borderId="8" xfId="0" applyBorder="1" applyAlignment="1">
      <alignment horizontal="right"/>
    </xf>
    <xf numFmtId="0" fontId="0" fillId="0" borderId="9" xfId="0" applyBorder="1"/>
    <xf numFmtId="0" fontId="0" fillId="0" borderId="10" xfId="0" applyBorder="1" applyAlignment="1">
      <alignment horizontal="left"/>
    </xf>
    <xf numFmtId="0" fontId="3" fillId="0" borderId="20" xfId="0" applyFont="1" applyBorder="1"/>
    <xf numFmtId="0" fontId="3" fillId="0" borderId="23" xfId="0" applyFont="1" applyBorder="1"/>
    <xf numFmtId="3" fontId="0" fillId="0" borderId="6" xfId="0" applyNumberFormat="1" applyBorder="1"/>
    <xf numFmtId="3" fontId="0" fillId="0" borderId="24" xfId="0" applyNumberFormat="1" applyBorder="1"/>
    <xf numFmtId="3" fontId="0" fillId="0" borderId="8" xfId="0" applyNumberFormat="1" applyBorder="1"/>
    <xf numFmtId="3" fontId="0" fillId="0" borderId="9" xfId="0" applyNumberFormat="1" applyBorder="1"/>
    <xf numFmtId="3" fontId="0" fillId="0" borderId="10" xfId="0" applyNumberFormat="1" applyBorder="1"/>
    <xf numFmtId="0" fontId="5" fillId="2" borderId="3" xfId="2" applyFont="1" applyBorder="1"/>
    <xf numFmtId="0" fontId="5" fillId="2" borderId="4" xfId="2" applyFont="1" applyBorder="1"/>
    <xf numFmtId="3" fontId="1" fillId="0" borderId="6" xfId="2" applyNumberFormat="1" applyFill="1" applyBorder="1"/>
    <xf numFmtId="3" fontId="1" fillId="0" borderId="0" xfId="2" applyNumberFormat="1" applyFill="1" applyBorder="1"/>
    <xf numFmtId="3" fontId="1" fillId="0" borderId="24" xfId="2" applyNumberFormat="1" applyFill="1" applyBorder="1"/>
    <xf numFmtId="3" fontId="1" fillId="0" borderId="8" xfId="2" applyNumberFormat="1" applyFill="1" applyBorder="1"/>
    <xf numFmtId="3" fontId="1" fillId="0" borderId="9" xfId="2" applyNumberFormat="1" applyFill="1" applyBorder="1"/>
    <xf numFmtId="3" fontId="1" fillId="0" borderId="10" xfId="2" applyNumberFormat="1" applyFill="1" applyBorder="1"/>
    <xf numFmtId="164" fontId="3" fillId="8" borderId="3" xfId="1" applyNumberFormat="1" applyFont="1" applyFill="1" applyBorder="1"/>
    <xf numFmtId="10" fontId="3" fillId="8" borderId="20" xfId="1" applyNumberFormat="1" applyFont="1" applyFill="1" applyBorder="1"/>
    <xf numFmtId="164" fontId="1" fillId="0" borderId="6" xfId="1" applyNumberFormat="1" applyFill="1" applyBorder="1"/>
    <xf numFmtId="164" fontId="1" fillId="0" borderId="0" xfId="1" applyNumberFormat="1" applyFill="1" applyBorder="1"/>
    <xf numFmtId="164" fontId="1" fillId="0" borderId="24" xfId="1" applyNumberFormat="1" applyFill="1" applyBorder="1"/>
    <xf numFmtId="164" fontId="1" fillId="0" borderId="8" xfId="1" applyNumberFormat="1" applyFill="1" applyBorder="1"/>
    <xf numFmtId="164" fontId="1" fillId="0" borderId="9" xfId="1" applyNumberFormat="1" applyFill="1" applyBorder="1"/>
    <xf numFmtId="164" fontId="1" fillId="0" borderId="10" xfId="1" applyNumberFormat="1" applyFill="1" applyBorder="1"/>
    <xf numFmtId="0" fontId="12" fillId="3" borderId="0" xfId="0" applyFont="1" applyFill="1"/>
    <xf numFmtId="3" fontId="0" fillId="0" borderId="0" xfId="0" applyNumberFormat="1" applyAlignment="1">
      <alignment horizontal="left" vertical="center" wrapText="1"/>
    </xf>
    <xf numFmtId="3" fontId="0" fillId="0" borderId="0" xfId="0" applyNumberFormat="1" applyAlignment="1">
      <alignment vertical="center" wrapText="1"/>
    </xf>
    <xf numFmtId="0" fontId="0" fillId="9" borderId="20" xfId="0" applyFill="1" applyBorder="1"/>
    <xf numFmtId="0" fontId="5" fillId="10" borderId="23" xfId="2" applyFont="1" applyFill="1" applyBorder="1"/>
    <xf numFmtId="164" fontId="3" fillId="11" borderId="23" xfId="1" applyNumberFormat="1" applyFont="1" applyFill="1" applyBorder="1"/>
    <xf numFmtId="9" fontId="0" fillId="0" borderId="0" xfId="1" applyFont="1" applyBorder="1"/>
    <xf numFmtId="9" fontId="0" fillId="0" borderId="9" xfId="1" applyFont="1" applyBorder="1"/>
    <xf numFmtId="9" fontId="0" fillId="9" borderId="20" xfId="1" applyFont="1" applyFill="1" applyBorder="1"/>
    <xf numFmtId="164" fontId="3" fillId="12" borderId="20" xfId="0" applyNumberFormat="1" applyFont="1" applyFill="1" applyBorder="1"/>
    <xf numFmtId="164" fontId="0" fillId="12" borderId="0" xfId="1" applyNumberFormat="1" applyFont="1" applyFill="1" applyBorder="1"/>
    <xf numFmtId="164" fontId="0" fillId="12" borderId="9" xfId="1" applyNumberFormat="1" applyFont="1" applyFill="1" applyBorder="1"/>
    <xf numFmtId="164" fontId="0" fillId="12" borderId="0" xfId="0" applyNumberFormat="1" applyFill="1"/>
    <xf numFmtId="0" fontId="0" fillId="13" borderId="1" xfId="0" applyFill="1" applyBorder="1"/>
    <xf numFmtId="0" fontId="0" fillId="14" borderId="1" xfId="0" applyFill="1" applyBorder="1"/>
    <xf numFmtId="0" fontId="0" fillId="0" borderId="0" xfId="0" pivotButton="1"/>
    <xf numFmtId="3" fontId="0" fillId="0" borderId="0" xfId="0" applyNumberFormat="1" applyAlignment="1">
      <alignment horizontal="left"/>
    </xf>
    <xf numFmtId="0" fontId="8" fillId="5" borderId="1" xfId="0" applyFont="1" applyFill="1" applyBorder="1"/>
    <xf numFmtId="0" fontId="8" fillId="6" borderId="1" xfId="0" applyFont="1" applyFill="1" applyBorder="1"/>
    <xf numFmtId="3" fontId="0" fillId="15" borderId="6" xfId="0" applyNumberFormat="1" applyFill="1" applyBorder="1"/>
    <xf numFmtId="3" fontId="0" fillId="15" borderId="8" xfId="0" applyNumberFormat="1" applyFill="1" applyBorder="1"/>
    <xf numFmtId="0" fontId="0" fillId="15" borderId="0" xfId="0" applyFill="1"/>
    <xf numFmtId="0" fontId="5" fillId="15" borderId="3" xfId="0" applyFont="1" applyFill="1" applyBorder="1"/>
    <xf numFmtId="3" fontId="9" fillId="15" borderId="1" xfId="2" applyNumberFormat="1" applyFont="1" applyFill="1" applyBorder="1"/>
    <xf numFmtId="0" fontId="10" fillId="15" borderId="1" xfId="0" applyFont="1" applyFill="1" applyBorder="1" applyAlignment="1">
      <alignment horizontal="center" vertical="center" wrapText="1"/>
    </xf>
    <xf numFmtId="0" fontId="10" fillId="15" borderId="1" xfId="0" applyFont="1" applyFill="1" applyBorder="1" applyAlignment="1">
      <alignment horizontal="center" vertical="center"/>
    </xf>
    <xf numFmtId="0" fontId="7" fillId="15" borderId="1" xfId="0" applyFont="1" applyFill="1" applyBorder="1" applyAlignment="1">
      <alignment vertical="center"/>
    </xf>
    <xf numFmtId="0" fontId="7" fillId="15" borderId="1" xfId="0" applyFont="1" applyFill="1" applyBorder="1"/>
    <xf numFmtId="0" fontId="8" fillId="15" borderId="1" xfId="0" applyFont="1" applyFill="1" applyBorder="1"/>
    <xf numFmtId="0" fontId="0" fillId="7" borderId="1" xfId="0" applyFill="1" applyBorder="1"/>
    <xf numFmtId="0" fontId="7" fillId="0" borderId="7" xfId="0" applyFont="1" applyBorder="1"/>
    <xf numFmtId="3" fontId="8" fillId="0" borderId="28" xfId="0" applyNumberFormat="1" applyFont="1" applyBorder="1"/>
    <xf numFmtId="0" fontId="8" fillId="0" borderId="30" xfId="0" applyFont="1" applyBorder="1"/>
    <xf numFmtId="0" fontId="7" fillId="6" borderId="16" xfId="0" applyFont="1" applyFill="1" applyBorder="1" applyAlignment="1">
      <alignment horizontal="center" vertical="center"/>
    </xf>
    <xf numFmtId="0" fontId="8" fillId="13" borderId="0" xfId="0" applyFont="1" applyFill="1"/>
    <xf numFmtId="3" fontId="8" fillId="13" borderId="0" xfId="0" applyNumberFormat="1" applyFont="1" applyFill="1"/>
    <xf numFmtId="0" fontId="8" fillId="14" borderId="0" xfId="0" applyFont="1" applyFill="1"/>
    <xf numFmtId="0" fontId="8" fillId="0" borderId="3" xfId="0" applyFont="1" applyBorder="1"/>
    <xf numFmtId="3" fontId="8" fillId="0" borderId="23" xfId="0" applyNumberFormat="1" applyFont="1" applyBorder="1"/>
    <xf numFmtId="0" fontId="8" fillId="0" borderId="6" xfId="0" applyFont="1" applyBorder="1"/>
    <xf numFmtId="3" fontId="8" fillId="0" borderId="24" xfId="0" applyNumberFormat="1" applyFont="1" applyBorder="1"/>
    <xf numFmtId="0" fontId="8" fillId="13" borderId="6" xfId="0" applyFont="1" applyFill="1" applyBorder="1"/>
    <xf numFmtId="3" fontId="8" fillId="13" borderId="24" xfId="0" applyNumberFormat="1" applyFont="1" applyFill="1" applyBorder="1"/>
    <xf numFmtId="0" fontId="8" fillId="0" borderId="8" xfId="0" applyFont="1" applyBorder="1"/>
    <xf numFmtId="3" fontId="8" fillId="0" borderId="10" xfId="0" applyNumberFormat="1" applyFont="1" applyBorder="1"/>
    <xf numFmtId="0" fontId="8" fillId="14" borderId="6" xfId="0" applyFont="1" applyFill="1" applyBorder="1"/>
    <xf numFmtId="3" fontId="8" fillId="14" borderId="24" xfId="0" applyNumberFormat="1" applyFont="1" applyFill="1" applyBorder="1"/>
    <xf numFmtId="0" fontId="8" fillId="16" borderId="6" xfId="0" applyFont="1" applyFill="1" applyBorder="1"/>
    <xf numFmtId="3" fontId="8" fillId="16" borderId="24" xfId="0" applyNumberFormat="1" applyFont="1" applyFill="1" applyBorder="1"/>
    <xf numFmtId="0" fontId="8" fillId="14" borderId="31" xfId="0" applyFont="1" applyFill="1" applyBorder="1"/>
    <xf numFmtId="3" fontId="0" fillId="14" borderId="0" xfId="0" applyNumberFormat="1" applyFill="1"/>
    <xf numFmtId="0" fontId="8" fillId="15" borderId="0" xfId="0" applyFont="1" applyFill="1"/>
    <xf numFmtId="3" fontId="8" fillId="15" borderId="0" xfId="0" applyNumberFormat="1" applyFont="1" applyFill="1"/>
    <xf numFmtId="0" fontId="7" fillId="5" borderId="0" xfId="0" applyFont="1" applyFill="1"/>
    <xf numFmtId="0" fontId="7" fillId="7" borderId="0" xfId="0" applyFont="1" applyFill="1"/>
    <xf numFmtId="164" fontId="0" fillId="0" borderId="0" xfId="1" applyNumberFormat="1" applyFont="1" applyFill="1" applyBorder="1"/>
    <xf numFmtId="164" fontId="0" fillId="0" borderId="9" xfId="1" applyNumberFormat="1" applyFont="1" applyFill="1" applyBorder="1"/>
    <xf numFmtId="164" fontId="0" fillId="0" borderId="0" xfId="0" applyNumberFormat="1"/>
    <xf numFmtId="164" fontId="4" fillId="17" borderId="20" xfId="0" applyNumberFormat="1" applyFont="1" applyFill="1" applyBorder="1"/>
    <xf numFmtId="0" fontId="5" fillId="10" borderId="4" xfId="2" applyFont="1" applyFill="1" applyBorder="1"/>
    <xf numFmtId="10" fontId="3" fillId="11" borderId="20" xfId="1" applyNumberFormat="1" applyFont="1" applyFill="1" applyBorder="1"/>
    <xf numFmtId="0" fontId="0" fillId="18" borderId="3" xfId="0" applyFill="1" applyBorder="1"/>
    <xf numFmtId="0" fontId="3" fillId="0" borderId="1" xfId="0" applyFont="1" applyBorder="1"/>
    <xf numFmtId="0" fontId="3" fillId="0" borderId="1" xfId="0" applyFont="1" applyBorder="1" applyAlignment="1">
      <alignment vertical="center"/>
    </xf>
    <xf numFmtId="0" fontId="0" fillId="0" borderId="1" xfId="0" applyBorder="1" applyAlignment="1">
      <alignment horizontal="center" vertical="center" wrapText="1"/>
    </xf>
    <xf numFmtId="165" fontId="0" fillId="0" borderId="1" xfId="0" applyNumberFormat="1" applyBorder="1" applyAlignment="1">
      <alignment horizontal="center" vertical="center" wrapText="1"/>
    </xf>
    <xf numFmtId="3" fontId="0" fillId="0" borderId="0" xfId="0" applyNumberFormat="1" applyAlignment="1">
      <alignment horizontal="left" vertical="center" wrapText="1"/>
    </xf>
    <xf numFmtId="0" fontId="0" fillId="0" borderId="1" xfId="0" applyBorder="1" applyAlignment="1">
      <alignment horizontal="center" wrapText="1"/>
    </xf>
    <xf numFmtId="0" fontId="0" fillId="15" borderId="1" xfId="0" applyFill="1" applyBorder="1" applyAlignment="1">
      <alignment horizontal="center" wrapText="1"/>
    </xf>
    <xf numFmtId="0" fontId="7" fillId="0" borderId="1" xfId="0" applyFont="1" applyBorder="1" applyAlignment="1">
      <alignment horizontal="center"/>
    </xf>
    <xf numFmtId="0" fontId="7" fillId="5" borderId="1" xfId="0" applyFont="1" applyFill="1" applyBorder="1" applyAlignment="1">
      <alignment horizontal="center" vertical="center"/>
    </xf>
    <xf numFmtId="0" fontId="8" fillId="0" borderId="0" xfId="0" applyFont="1" applyAlignment="1">
      <alignment horizontal="left" vertical="center" wrapText="1"/>
    </xf>
    <xf numFmtId="0" fontId="7" fillId="0" borderId="4" xfId="0" applyFont="1" applyBorder="1" applyAlignment="1">
      <alignment horizontal="center" vertical="center"/>
    </xf>
    <xf numFmtId="0" fontId="7" fillId="0" borderId="1" xfId="0" applyFont="1" applyBorder="1" applyAlignment="1">
      <alignment horizontal="center" vertical="center"/>
    </xf>
    <xf numFmtId="0" fontId="7" fillId="5" borderId="25" xfId="0" applyFont="1" applyFill="1" applyBorder="1" applyAlignment="1">
      <alignment horizontal="center" vertical="center"/>
    </xf>
    <xf numFmtId="0" fontId="7" fillId="5" borderId="26" xfId="0" applyFont="1" applyFill="1" applyBorder="1" applyAlignment="1">
      <alignment horizontal="center" vertical="center"/>
    </xf>
    <xf numFmtId="0" fontId="7" fillId="5" borderId="27" xfId="0" applyFont="1" applyFill="1" applyBorder="1" applyAlignment="1">
      <alignment horizontal="center" vertical="center"/>
    </xf>
    <xf numFmtId="0" fontId="7" fillId="0" borderId="9" xfId="0" applyFont="1" applyBorder="1" applyAlignment="1">
      <alignment horizontal="center"/>
    </xf>
    <xf numFmtId="0" fontId="7" fillId="5" borderId="29" xfId="0" applyFont="1" applyFill="1" applyBorder="1" applyAlignment="1">
      <alignment horizontal="center" vertical="center"/>
    </xf>
    <xf numFmtId="0" fontId="7" fillId="5" borderId="4" xfId="0" applyFont="1" applyFill="1" applyBorder="1" applyAlignment="1">
      <alignment horizontal="center" vertical="center"/>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17" xfId="0" applyFont="1" applyBorder="1" applyAlignment="1">
      <alignment horizontal="center" vertical="top" wrapText="1"/>
    </xf>
    <xf numFmtId="0" fontId="7" fillId="0" borderId="18" xfId="0" applyFont="1" applyBorder="1" applyAlignment="1">
      <alignment horizontal="center" vertical="top" wrapText="1"/>
    </xf>
    <xf numFmtId="0" fontId="7" fillId="0" borderId="19" xfId="0" applyFont="1" applyBorder="1" applyAlignment="1">
      <alignment horizontal="center" vertical="top" wrapText="1"/>
    </xf>
    <xf numFmtId="0" fontId="7" fillId="6" borderId="4"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29" xfId="0" applyFont="1" applyFill="1" applyBorder="1" applyAlignment="1">
      <alignment horizontal="center" vertical="center"/>
    </xf>
    <xf numFmtId="0" fontId="7" fillId="7" borderId="4" xfId="0" applyFont="1" applyFill="1" applyBorder="1" applyAlignment="1">
      <alignment horizontal="center" vertical="center"/>
    </xf>
    <xf numFmtId="0" fontId="7" fillId="7" borderId="1" xfId="0" applyFont="1" applyFill="1" applyBorder="1" applyAlignment="1">
      <alignment horizontal="center" vertical="center"/>
    </xf>
    <xf numFmtId="0" fontId="7" fillId="7" borderId="29" xfId="0" applyFont="1" applyFill="1" applyBorder="1" applyAlignment="1">
      <alignment horizontal="center" vertical="center"/>
    </xf>
    <xf numFmtId="0" fontId="7" fillId="7" borderId="25" xfId="0" applyFont="1" applyFill="1" applyBorder="1" applyAlignment="1">
      <alignment horizontal="center" vertical="center"/>
    </xf>
    <xf numFmtId="0" fontId="7" fillId="7" borderId="26" xfId="0" applyFont="1" applyFill="1" applyBorder="1" applyAlignment="1">
      <alignment horizontal="center" vertical="center"/>
    </xf>
    <xf numFmtId="0" fontId="7" fillId="7" borderId="27" xfId="0" applyFont="1" applyFill="1" applyBorder="1" applyAlignment="1">
      <alignment horizontal="center" vertical="center"/>
    </xf>
    <xf numFmtId="3" fontId="8" fillId="5" borderId="0" xfId="0" applyNumberFormat="1" applyFont="1" applyFill="1"/>
    <xf numFmtId="0" fontId="8" fillId="5" borderId="0" xfId="0" applyFont="1" applyFill="1"/>
    <xf numFmtId="3" fontId="8" fillId="14" borderId="0" xfId="0" applyNumberFormat="1" applyFont="1" applyFill="1"/>
    <xf numFmtId="0" fontId="0" fillId="14" borderId="0" xfId="0" applyFill="1"/>
    <xf numFmtId="0" fontId="0" fillId="19" borderId="1" xfId="0" applyFill="1" applyBorder="1"/>
    <xf numFmtId="3" fontId="0" fillId="19" borderId="1" xfId="0" applyNumberFormat="1" applyFill="1" applyBorder="1"/>
    <xf numFmtId="9" fontId="0" fillId="19" borderId="1" xfId="1" applyFont="1" applyFill="1" applyBorder="1"/>
    <xf numFmtId="0" fontId="0" fillId="19" borderId="1" xfId="0" applyFill="1" applyBorder="1" applyAlignment="1">
      <alignment horizontal="center" vertical="center" wrapText="1"/>
    </xf>
    <xf numFmtId="0" fontId="7" fillId="19" borderId="14" xfId="0" applyFont="1" applyFill="1" applyBorder="1" applyAlignment="1">
      <alignment horizontal="center" vertical="center"/>
    </xf>
    <xf numFmtId="0" fontId="7" fillId="19" borderId="1" xfId="0" applyFont="1" applyFill="1" applyBorder="1" applyAlignment="1">
      <alignment horizontal="center" vertical="center"/>
    </xf>
    <xf numFmtId="3" fontId="3" fillId="19" borderId="0" xfId="0" applyNumberFormat="1" applyFont="1" applyFill="1" applyAlignment="1">
      <alignment horizontal="left" vertical="center" wrapText="1"/>
    </xf>
    <xf numFmtId="0" fontId="3" fillId="3" borderId="32" xfId="0" applyFont="1" applyFill="1" applyBorder="1" applyAlignment="1">
      <alignment horizontal="center" vertical="center"/>
    </xf>
    <xf numFmtId="0" fontId="3" fillId="3" borderId="33" xfId="0" applyFont="1" applyFill="1" applyBorder="1" applyAlignment="1">
      <alignment horizontal="center" vertical="center"/>
    </xf>
    <xf numFmtId="0" fontId="3" fillId="3" borderId="1" xfId="0" applyFont="1" applyFill="1" applyBorder="1" applyAlignment="1">
      <alignment horizontal="center"/>
    </xf>
  </cellXfs>
  <cellStyles count="3">
    <cellStyle name="20% - Accent5" xfId="2" builtinId="46"/>
    <cellStyle name="Normal" xfId="0" builtinId="0"/>
    <cellStyle name="Percent" xfId="1" builtinId="5"/>
  </cellStyles>
  <dxfs count="63">
    <dxf>
      <numFmt numFmtId="164" formatCode="0.0000%"/>
      <fill>
        <patternFill patternType="none">
          <fgColor indexed="64"/>
          <bgColor auto="1"/>
        </patternFill>
      </fill>
      <border diagonalUp="0" diagonalDown="0">
        <left/>
        <right style="medium">
          <color indexed="64"/>
        </right>
        <top/>
        <bottom/>
        <vertical/>
        <horizontal/>
      </border>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border diagonalUp="0" diagonalDown="0">
        <left style="medium">
          <color indexed="64"/>
        </left>
        <right/>
        <top/>
        <bottom/>
        <vertical/>
        <horizontal/>
      </border>
    </dxf>
    <dxf>
      <numFmt numFmtId="3" formatCode="#,##0"/>
      <fill>
        <patternFill patternType="none">
          <fgColor indexed="64"/>
          <bgColor indexed="65"/>
        </patternFill>
      </fill>
    </dxf>
    <dxf>
      <numFmt numFmtId="3" formatCode="#,##0"/>
      <fill>
        <patternFill patternType="none">
          <fgColor indexed="64"/>
          <bgColor auto="1"/>
        </patternFill>
      </fill>
    </dxf>
    <dxf>
      <numFmt numFmtId="164" formatCode="0.0000%"/>
      <fill>
        <patternFill patternType="solid">
          <fgColor indexed="64"/>
          <bgColor theme="7" tint="0.39997558519241921"/>
        </patternFill>
      </fill>
    </dxf>
    <dxf>
      <numFmt numFmtId="3" formatCode="#,##0"/>
    </dxf>
    <dxf>
      <numFmt numFmtId="3" formatCode="#,##0"/>
      <alignment horizontal="left" vertical="bottom" textRotation="0" wrapText="0" indent="0" justifyLastLine="0" shrinkToFit="0" readingOrder="0"/>
    </dxf>
    <dxf>
      <numFmt numFmtId="3" formatCode="#,##0"/>
      <alignment horizontal="left" vertical="bottom" textRotation="0" wrapText="0" indent="0" justifyLastLine="0" shrinkToFit="0" readingOrder="0"/>
    </dxf>
    <dxf>
      <numFmt numFmtId="3" formatCode="#,##0"/>
      <fill>
        <patternFill>
          <fgColor indexed="64"/>
          <bgColor theme="0" tint="-0.14999847407452621"/>
        </patternFill>
      </fill>
      <alignment horizontal="left" vertical="bottom" textRotation="0" wrapText="0" indent="0" justifyLastLine="0" shrinkToFit="0" readingOrder="0"/>
      <border diagonalUp="0" diagonalDown="0" outline="0">
        <left style="medium">
          <color indexed="64"/>
        </left>
        <right/>
        <top/>
        <bottom/>
      </border>
    </dxf>
    <dxf>
      <alignment horizontal="left" vertical="bottom" textRotation="0" wrapText="0" indent="0" justifyLastLine="0" shrinkToFit="0" readingOrder="0"/>
      <border diagonalUp="0" diagonalDown="0">
        <left/>
        <right style="medium">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medium">
          <color indexed="64"/>
        </left>
        <right/>
        <top/>
        <bottom/>
        <vertical/>
        <horizontal/>
      </border>
    </dxf>
    <dxf>
      <font>
        <b/>
        <i val="0"/>
        <strike val="0"/>
        <condense val="0"/>
        <extend val="0"/>
        <outline val="0"/>
        <shadow val="0"/>
        <u val="none"/>
        <vertAlign val="baseline"/>
        <sz val="11"/>
        <color theme="1"/>
        <name val="Aptos Narrow"/>
        <family val="2"/>
        <scheme val="minor"/>
      </font>
    </dxf>
    <dxf>
      <numFmt numFmtId="164" formatCode="0.0000%"/>
      <fill>
        <patternFill patternType="none">
          <fgColor indexed="64"/>
          <bgColor auto="1"/>
        </patternFill>
      </fill>
      <border diagonalUp="0" diagonalDown="0">
        <left/>
        <right style="medium">
          <color indexed="64"/>
        </right>
        <top/>
        <bottom/>
        <vertical/>
        <horizontal/>
      </border>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dxf>
    <dxf>
      <numFmt numFmtId="164" formatCode="0.0000%"/>
      <fill>
        <patternFill patternType="none">
          <fgColor indexed="64"/>
          <bgColor auto="1"/>
        </patternFill>
      </fill>
      <border diagonalUp="0" diagonalDown="0">
        <left style="medium">
          <color indexed="64"/>
        </left>
        <right/>
        <top/>
        <bottom/>
        <vertical/>
        <horizontal/>
      </border>
    </dxf>
    <dxf>
      <numFmt numFmtId="3" formatCode="#,##0"/>
      <fill>
        <patternFill patternType="none">
          <fgColor indexed="64"/>
          <bgColor indexed="65"/>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164" formatCode="0.0000%"/>
      <fill>
        <patternFill patternType="none">
          <fgColor indexed="64"/>
          <bgColor auto="1"/>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alignment horizontal="left" vertical="bottom" textRotation="0" wrapText="0" indent="0" justifyLastLine="0" shrinkToFit="0" readingOrder="0"/>
    </dxf>
    <dxf>
      <numFmt numFmtId="3" formatCode="#,##0"/>
      <alignment horizontal="left" vertical="bottom" textRotation="0" wrapText="0" indent="0" justifyLastLine="0" shrinkToFit="0" readingOrder="0"/>
    </dxf>
    <dxf>
      <numFmt numFmtId="3" formatCode="#,##0"/>
      <alignment horizontal="left" vertical="bottom" textRotation="0" wrapText="0" indent="0" justifyLastLine="0" shrinkToFit="0" readingOrder="0"/>
      <border diagonalUp="0" diagonalDown="0">
        <left style="medium">
          <color indexed="64"/>
        </left>
        <right/>
        <top/>
        <bottom/>
        <vertical/>
        <horizontal/>
      </border>
    </dxf>
    <dxf>
      <alignment horizontal="left" vertical="bottom" textRotation="0" wrapText="0" indent="0" justifyLastLine="0" shrinkToFit="0" readingOrder="0"/>
      <border diagonalUp="0" diagonalDown="0">
        <left/>
        <right style="medium">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medium">
          <color indexed="64"/>
        </left>
        <right/>
        <top/>
        <bottom/>
        <vertical/>
        <horizontal/>
      </border>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[1.8 Conducting Statistical Analyses.xlsx]Pivot Deaths 85+!PivotTable6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Population and Deaths</a:t>
            </a:r>
            <a:r>
              <a:rPr lang="en-US" baseline="0"/>
              <a:t> 85+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Deaths 85+'!$C$3</c:f>
              <c:strCache>
                <c:ptCount val="1"/>
                <c:pt idx="0">
                  <c:v>Total</c:v>
                </c:pt>
              </c:strCache>
            </c:strRef>
          </c:tx>
          <c:spPr>
            <a:solidFill>
              <a:schemeClr val="accent1"/>
            </a:solidFill>
            <a:ln>
              <a:noFill/>
            </a:ln>
            <a:effectLst/>
          </c:spPr>
          <c:invertIfNegative val="0"/>
          <c:cat>
            <c:strRef>
              <c:f>'Pivot Deaths 85+'!$B$4:$B$343</c:f>
              <c:strCache>
                <c:ptCount val="340"/>
                <c:pt idx="0">
                  <c:v>60</c:v>
                </c:pt>
                <c:pt idx="1">
                  <c:v>65</c:v>
                </c:pt>
                <c:pt idx="2">
                  <c:v>66</c:v>
                </c:pt>
                <c:pt idx="3">
                  <c:v>67</c:v>
                </c:pt>
                <c:pt idx="4">
                  <c:v>70</c:v>
                </c:pt>
                <c:pt idx="5">
                  <c:v>71</c:v>
                </c:pt>
                <c:pt idx="6">
                  <c:v>72</c:v>
                </c:pt>
                <c:pt idx="7">
                  <c:v>75</c:v>
                </c:pt>
                <c:pt idx="8">
                  <c:v>76</c:v>
                </c:pt>
                <c:pt idx="9">
                  <c:v>77</c:v>
                </c:pt>
                <c:pt idx="10">
                  <c:v>83</c:v>
                </c:pt>
                <c:pt idx="11">
                  <c:v>84</c:v>
                </c:pt>
                <c:pt idx="12">
                  <c:v>85</c:v>
                </c:pt>
                <c:pt idx="13">
                  <c:v>86</c:v>
                </c:pt>
                <c:pt idx="14">
                  <c:v>87</c:v>
                </c:pt>
                <c:pt idx="15">
                  <c:v>88</c:v>
                </c:pt>
                <c:pt idx="16">
                  <c:v>89</c:v>
                </c:pt>
                <c:pt idx="17">
                  <c:v>91</c:v>
                </c:pt>
                <c:pt idx="18">
                  <c:v>93</c:v>
                </c:pt>
                <c:pt idx="19">
                  <c:v>94</c:v>
                </c:pt>
                <c:pt idx="20">
                  <c:v>96</c:v>
                </c:pt>
                <c:pt idx="21">
                  <c:v>98</c:v>
                </c:pt>
                <c:pt idx="22">
                  <c:v>99</c:v>
                </c:pt>
                <c:pt idx="23">
                  <c:v>100</c:v>
                </c:pt>
                <c:pt idx="24">
                  <c:v>101</c:v>
                </c:pt>
                <c:pt idx="25">
                  <c:v>102</c:v>
                </c:pt>
                <c:pt idx="26">
                  <c:v>103</c:v>
                </c:pt>
                <c:pt idx="27">
                  <c:v>104</c:v>
                </c:pt>
                <c:pt idx="28">
                  <c:v>105</c:v>
                </c:pt>
                <c:pt idx="29">
                  <c:v>107</c:v>
                </c:pt>
                <c:pt idx="30">
                  <c:v>109</c:v>
                </c:pt>
                <c:pt idx="31">
                  <c:v>110</c:v>
                </c:pt>
                <c:pt idx="32">
                  <c:v>111</c:v>
                </c:pt>
                <c:pt idx="33">
                  <c:v>114</c:v>
                </c:pt>
                <c:pt idx="34">
                  <c:v>116</c:v>
                </c:pt>
                <c:pt idx="35">
                  <c:v>117</c:v>
                </c:pt>
                <c:pt idx="36">
                  <c:v>118</c:v>
                </c:pt>
                <c:pt idx="37">
                  <c:v>119</c:v>
                </c:pt>
                <c:pt idx="38">
                  <c:v>121</c:v>
                </c:pt>
                <c:pt idx="39">
                  <c:v>122</c:v>
                </c:pt>
                <c:pt idx="40">
                  <c:v>123</c:v>
                </c:pt>
                <c:pt idx="41">
                  <c:v>125</c:v>
                </c:pt>
                <c:pt idx="42">
                  <c:v>126</c:v>
                </c:pt>
                <c:pt idx="43">
                  <c:v>129</c:v>
                </c:pt>
                <c:pt idx="44">
                  <c:v>132</c:v>
                </c:pt>
                <c:pt idx="45">
                  <c:v>135</c:v>
                </c:pt>
                <c:pt idx="46">
                  <c:v>137</c:v>
                </c:pt>
                <c:pt idx="47">
                  <c:v>139</c:v>
                </c:pt>
                <c:pt idx="48">
                  <c:v>141</c:v>
                </c:pt>
                <c:pt idx="49">
                  <c:v>142</c:v>
                </c:pt>
                <c:pt idx="50">
                  <c:v>143</c:v>
                </c:pt>
                <c:pt idx="51">
                  <c:v>147</c:v>
                </c:pt>
                <c:pt idx="52">
                  <c:v>149</c:v>
                </c:pt>
                <c:pt idx="53">
                  <c:v>150</c:v>
                </c:pt>
                <c:pt idx="54">
                  <c:v>152</c:v>
                </c:pt>
                <c:pt idx="55">
                  <c:v>153</c:v>
                </c:pt>
                <c:pt idx="56">
                  <c:v>154</c:v>
                </c:pt>
                <c:pt idx="57">
                  <c:v>155</c:v>
                </c:pt>
                <c:pt idx="58">
                  <c:v>157</c:v>
                </c:pt>
                <c:pt idx="59">
                  <c:v>158</c:v>
                </c:pt>
                <c:pt idx="60">
                  <c:v>160</c:v>
                </c:pt>
                <c:pt idx="61">
                  <c:v>161</c:v>
                </c:pt>
                <c:pt idx="62">
                  <c:v>163</c:v>
                </c:pt>
                <c:pt idx="63">
                  <c:v>164</c:v>
                </c:pt>
                <c:pt idx="64">
                  <c:v>166</c:v>
                </c:pt>
                <c:pt idx="65">
                  <c:v>170</c:v>
                </c:pt>
                <c:pt idx="66">
                  <c:v>171</c:v>
                </c:pt>
                <c:pt idx="67">
                  <c:v>174</c:v>
                </c:pt>
                <c:pt idx="68">
                  <c:v>175</c:v>
                </c:pt>
                <c:pt idx="69">
                  <c:v>177</c:v>
                </c:pt>
                <c:pt idx="70">
                  <c:v>178</c:v>
                </c:pt>
                <c:pt idx="71">
                  <c:v>184</c:v>
                </c:pt>
                <c:pt idx="72">
                  <c:v>186</c:v>
                </c:pt>
                <c:pt idx="73">
                  <c:v>187</c:v>
                </c:pt>
                <c:pt idx="74">
                  <c:v>193</c:v>
                </c:pt>
                <c:pt idx="75">
                  <c:v>194</c:v>
                </c:pt>
                <c:pt idx="76">
                  <c:v>196</c:v>
                </c:pt>
                <c:pt idx="77">
                  <c:v>198</c:v>
                </c:pt>
                <c:pt idx="78">
                  <c:v>199</c:v>
                </c:pt>
                <c:pt idx="79">
                  <c:v>206</c:v>
                </c:pt>
                <c:pt idx="80">
                  <c:v>207</c:v>
                </c:pt>
                <c:pt idx="81">
                  <c:v>208</c:v>
                </c:pt>
                <c:pt idx="82">
                  <c:v>211</c:v>
                </c:pt>
                <c:pt idx="83">
                  <c:v>212</c:v>
                </c:pt>
                <c:pt idx="84">
                  <c:v>215</c:v>
                </c:pt>
                <c:pt idx="85">
                  <c:v>217</c:v>
                </c:pt>
                <c:pt idx="86">
                  <c:v>219</c:v>
                </c:pt>
                <c:pt idx="87">
                  <c:v>222</c:v>
                </c:pt>
                <c:pt idx="88">
                  <c:v>224</c:v>
                </c:pt>
                <c:pt idx="89">
                  <c:v>225</c:v>
                </c:pt>
                <c:pt idx="90">
                  <c:v>227</c:v>
                </c:pt>
                <c:pt idx="91">
                  <c:v>229</c:v>
                </c:pt>
                <c:pt idx="92">
                  <c:v>230</c:v>
                </c:pt>
                <c:pt idx="93">
                  <c:v>236</c:v>
                </c:pt>
                <c:pt idx="94">
                  <c:v>237</c:v>
                </c:pt>
                <c:pt idx="95">
                  <c:v>239</c:v>
                </c:pt>
                <c:pt idx="96">
                  <c:v>240</c:v>
                </c:pt>
                <c:pt idx="97">
                  <c:v>241</c:v>
                </c:pt>
                <c:pt idx="98">
                  <c:v>244</c:v>
                </c:pt>
                <c:pt idx="99">
                  <c:v>246</c:v>
                </c:pt>
                <c:pt idx="100">
                  <c:v>251</c:v>
                </c:pt>
                <c:pt idx="101">
                  <c:v>252</c:v>
                </c:pt>
                <c:pt idx="102">
                  <c:v>253</c:v>
                </c:pt>
                <c:pt idx="103">
                  <c:v>254</c:v>
                </c:pt>
                <c:pt idx="104">
                  <c:v>256</c:v>
                </c:pt>
                <c:pt idx="105">
                  <c:v>257</c:v>
                </c:pt>
                <c:pt idx="106">
                  <c:v>260</c:v>
                </c:pt>
                <c:pt idx="107">
                  <c:v>263</c:v>
                </c:pt>
                <c:pt idx="108">
                  <c:v>264</c:v>
                </c:pt>
                <c:pt idx="109">
                  <c:v>266</c:v>
                </c:pt>
                <c:pt idx="110">
                  <c:v>268</c:v>
                </c:pt>
                <c:pt idx="111">
                  <c:v>269</c:v>
                </c:pt>
                <c:pt idx="112">
                  <c:v>270</c:v>
                </c:pt>
                <c:pt idx="113">
                  <c:v>271</c:v>
                </c:pt>
                <c:pt idx="114">
                  <c:v>272</c:v>
                </c:pt>
                <c:pt idx="115">
                  <c:v>273</c:v>
                </c:pt>
                <c:pt idx="116">
                  <c:v>275</c:v>
                </c:pt>
                <c:pt idx="117">
                  <c:v>280</c:v>
                </c:pt>
                <c:pt idx="118">
                  <c:v>282</c:v>
                </c:pt>
                <c:pt idx="119">
                  <c:v>285</c:v>
                </c:pt>
                <c:pt idx="120">
                  <c:v>286</c:v>
                </c:pt>
                <c:pt idx="121">
                  <c:v>287</c:v>
                </c:pt>
                <c:pt idx="122">
                  <c:v>288</c:v>
                </c:pt>
                <c:pt idx="123">
                  <c:v>289</c:v>
                </c:pt>
                <c:pt idx="124">
                  <c:v>290</c:v>
                </c:pt>
                <c:pt idx="125">
                  <c:v>291</c:v>
                </c:pt>
                <c:pt idx="126">
                  <c:v>292</c:v>
                </c:pt>
                <c:pt idx="127">
                  <c:v>294</c:v>
                </c:pt>
                <c:pt idx="128">
                  <c:v>295</c:v>
                </c:pt>
                <c:pt idx="129">
                  <c:v>296</c:v>
                </c:pt>
                <c:pt idx="130">
                  <c:v>298</c:v>
                </c:pt>
                <c:pt idx="131">
                  <c:v>299</c:v>
                </c:pt>
                <c:pt idx="132">
                  <c:v>303</c:v>
                </c:pt>
                <c:pt idx="133">
                  <c:v>305</c:v>
                </c:pt>
                <c:pt idx="134">
                  <c:v>307</c:v>
                </c:pt>
                <c:pt idx="135">
                  <c:v>313</c:v>
                </c:pt>
                <c:pt idx="136">
                  <c:v>317</c:v>
                </c:pt>
                <c:pt idx="137">
                  <c:v>318</c:v>
                </c:pt>
                <c:pt idx="138">
                  <c:v>319</c:v>
                </c:pt>
                <c:pt idx="139">
                  <c:v>320</c:v>
                </c:pt>
                <c:pt idx="140">
                  <c:v>321</c:v>
                </c:pt>
                <c:pt idx="141">
                  <c:v>322</c:v>
                </c:pt>
                <c:pt idx="142">
                  <c:v>326</c:v>
                </c:pt>
                <c:pt idx="143">
                  <c:v>327</c:v>
                </c:pt>
                <c:pt idx="144">
                  <c:v>328</c:v>
                </c:pt>
                <c:pt idx="145">
                  <c:v>329</c:v>
                </c:pt>
                <c:pt idx="146">
                  <c:v>333</c:v>
                </c:pt>
                <c:pt idx="147">
                  <c:v>335</c:v>
                </c:pt>
                <c:pt idx="148">
                  <c:v>337</c:v>
                </c:pt>
                <c:pt idx="149">
                  <c:v>338</c:v>
                </c:pt>
                <c:pt idx="150">
                  <c:v>339</c:v>
                </c:pt>
                <c:pt idx="151">
                  <c:v>341</c:v>
                </c:pt>
                <c:pt idx="152">
                  <c:v>342</c:v>
                </c:pt>
                <c:pt idx="153">
                  <c:v>343</c:v>
                </c:pt>
                <c:pt idx="154">
                  <c:v>344</c:v>
                </c:pt>
                <c:pt idx="155">
                  <c:v>345</c:v>
                </c:pt>
                <c:pt idx="156">
                  <c:v>348</c:v>
                </c:pt>
                <c:pt idx="157">
                  <c:v>350</c:v>
                </c:pt>
                <c:pt idx="158">
                  <c:v>353</c:v>
                </c:pt>
                <c:pt idx="159">
                  <c:v>355</c:v>
                </c:pt>
                <c:pt idx="160">
                  <c:v>356</c:v>
                </c:pt>
                <c:pt idx="161">
                  <c:v>357</c:v>
                </c:pt>
                <c:pt idx="162">
                  <c:v>358</c:v>
                </c:pt>
                <c:pt idx="163">
                  <c:v>360</c:v>
                </c:pt>
                <c:pt idx="164">
                  <c:v>364</c:v>
                </c:pt>
                <c:pt idx="165">
                  <c:v>365</c:v>
                </c:pt>
                <c:pt idx="166">
                  <c:v>366</c:v>
                </c:pt>
                <c:pt idx="167">
                  <c:v>374</c:v>
                </c:pt>
                <c:pt idx="168">
                  <c:v>375</c:v>
                </c:pt>
                <c:pt idx="169">
                  <c:v>377</c:v>
                </c:pt>
                <c:pt idx="170">
                  <c:v>381</c:v>
                </c:pt>
                <c:pt idx="171">
                  <c:v>382</c:v>
                </c:pt>
                <c:pt idx="172">
                  <c:v>386</c:v>
                </c:pt>
                <c:pt idx="173">
                  <c:v>387</c:v>
                </c:pt>
                <c:pt idx="174">
                  <c:v>388</c:v>
                </c:pt>
                <c:pt idx="175">
                  <c:v>389</c:v>
                </c:pt>
                <c:pt idx="176">
                  <c:v>390</c:v>
                </c:pt>
                <c:pt idx="177">
                  <c:v>394</c:v>
                </c:pt>
                <c:pt idx="178">
                  <c:v>397</c:v>
                </c:pt>
                <c:pt idx="179">
                  <c:v>398</c:v>
                </c:pt>
                <c:pt idx="180">
                  <c:v>403</c:v>
                </c:pt>
                <c:pt idx="181">
                  <c:v>407</c:v>
                </c:pt>
                <c:pt idx="182">
                  <c:v>411</c:v>
                </c:pt>
                <c:pt idx="183">
                  <c:v>412</c:v>
                </c:pt>
                <c:pt idx="184">
                  <c:v>415</c:v>
                </c:pt>
                <c:pt idx="185">
                  <c:v>416</c:v>
                </c:pt>
                <c:pt idx="186">
                  <c:v>418</c:v>
                </c:pt>
                <c:pt idx="187">
                  <c:v>420</c:v>
                </c:pt>
                <c:pt idx="188">
                  <c:v>436</c:v>
                </c:pt>
                <c:pt idx="189">
                  <c:v>440</c:v>
                </c:pt>
                <c:pt idx="190">
                  <c:v>442</c:v>
                </c:pt>
                <c:pt idx="191">
                  <c:v>450</c:v>
                </c:pt>
                <c:pt idx="192">
                  <c:v>451</c:v>
                </c:pt>
                <c:pt idx="193">
                  <c:v>452</c:v>
                </c:pt>
                <c:pt idx="194">
                  <c:v>455</c:v>
                </c:pt>
                <c:pt idx="195">
                  <c:v>456</c:v>
                </c:pt>
                <c:pt idx="196">
                  <c:v>457</c:v>
                </c:pt>
                <c:pt idx="197">
                  <c:v>458</c:v>
                </c:pt>
                <c:pt idx="198">
                  <c:v>471</c:v>
                </c:pt>
                <c:pt idx="199">
                  <c:v>472</c:v>
                </c:pt>
                <c:pt idx="200">
                  <c:v>480</c:v>
                </c:pt>
                <c:pt idx="201">
                  <c:v>488</c:v>
                </c:pt>
                <c:pt idx="202">
                  <c:v>492</c:v>
                </c:pt>
                <c:pt idx="203">
                  <c:v>494</c:v>
                </c:pt>
                <c:pt idx="204">
                  <c:v>499</c:v>
                </c:pt>
                <c:pt idx="205">
                  <c:v>501</c:v>
                </c:pt>
                <c:pt idx="206">
                  <c:v>511</c:v>
                </c:pt>
                <c:pt idx="207">
                  <c:v>513</c:v>
                </c:pt>
                <c:pt idx="208">
                  <c:v>514</c:v>
                </c:pt>
                <c:pt idx="209">
                  <c:v>518</c:v>
                </c:pt>
                <c:pt idx="210">
                  <c:v>519</c:v>
                </c:pt>
                <c:pt idx="211">
                  <c:v>521</c:v>
                </c:pt>
                <c:pt idx="212">
                  <c:v>528</c:v>
                </c:pt>
                <c:pt idx="213">
                  <c:v>531</c:v>
                </c:pt>
                <c:pt idx="214">
                  <c:v>532</c:v>
                </c:pt>
                <c:pt idx="215">
                  <c:v>533</c:v>
                </c:pt>
                <c:pt idx="216">
                  <c:v>535</c:v>
                </c:pt>
                <c:pt idx="217">
                  <c:v>537</c:v>
                </c:pt>
                <c:pt idx="218">
                  <c:v>544</c:v>
                </c:pt>
                <c:pt idx="219">
                  <c:v>545</c:v>
                </c:pt>
                <c:pt idx="220">
                  <c:v>546</c:v>
                </c:pt>
                <c:pt idx="221">
                  <c:v>549</c:v>
                </c:pt>
                <c:pt idx="222">
                  <c:v>550</c:v>
                </c:pt>
                <c:pt idx="223">
                  <c:v>554</c:v>
                </c:pt>
                <c:pt idx="224">
                  <c:v>557</c:v>
                </c:pt>
                <c:pt idx="225">
                  <c:v>560</c:v>
                </c:pt>
                <c:pt idx="226">
                  <c:v>562</c:v>
                </c:pt>
                <c:pt idx="227">
                  <c:v>566</c:v>
                </c:pt>
                <c:pt idx="228">
                  <c:v>568</c:v>
                </c:pt>
                <c:pt idx="229">
                  <c:v>571</c:v>
                </c:pt>
                <c:pt idx="230">
                  <c:v>573</c:v>
                </c:pt>
                <c:pt idx="231">
                  <c:v>581</c:v>
                </c:pt>
                <c:pt idx="232">
                  <c:v>582</c:v>
                </c:pt>
                <c:pt idx="233">
                  <c:v>586</c:v>
                </c:pt>
                <c:pt idx="234">
                  <c:v>595</c:v>
                </c:pt>
                <c:pt idx="235">
                  <c:v>597</c:v>
                </c:pt>
                <c:pt idx="236">
                  <c:v>603</c:v>
                </c:pt>
                <c:pt idx="237">
                  <c:v>605</c:v>
                </c:pt>
                <c:pt idx="238">
                  <c:v>620</c:v>
                </c:pt>
                <c:pt idx="239">
                  <c:v>630</c:v>
                </c:pt>
                <c:pt idx="240">
                  <c:v>632</c:v>
                </c:pt>
                <c:pt idx="241">
                  <c:v>633</c:v>
                </c:pt>
                <c:pt idx="242">
                  <c:v>640</c:v>
                </c:pt>
                <c:pt idx="243">
                  <c:v>642</c:v>
                </c:pt>
                <c:pt idx="244">
                  <c:v>643</c:v>
                </c:pt>
                <c:pt idx="245">
                  <c:v>645</c:v>
                </c:pt>
                <c:pt idx="246">
                  <c:v>647</c:v>
                </c:pt>
                <c:pt idx="247">
                  <c:v>649</c:v>
                </c:pt>
                <c:pt idx="248">
                  <c:v>650</c:v>
                </c:pt>
                <c:pt idx="249">
                  <c:v>654</c:v>
                </c:pt>
                <c:pt idx="250">
                  <c:v>661</c:v>
                </c:pt>
                <c:pt idx="251">
                  <c:v>663</c:v>
                </c:pt>
                <c:pt idx="252">
                  <c:v>685</c:v>
                </c:pt>
                <c:pt idx="253">
                  <c:v>690</c:v>
                </c:pt>
                <c:pt idx="254">
                  <c:v>697</c:v>
                </c:pt>
                <c:pt idx="255">
                  <c:v>703</c:v>
                </c:pt>
                <c:pt idx="256">
                  <c:v>706</c:v>
                </c:pt>
                <c:pt idx="257">
                  <c:v>709</c:v>
                </c:pt>
                <c:pt idx="258">
                  <c:v>717</c:v>
                </c:pt>
                <c:pt idx="259">
                  <c:v>720</c:v>
                </c:pt>
                <c:pt idx="260">
                  <c:v>740</c:v>
                </c:pt>
                <c:pt idx="261">
                  <c:v>745</c:v>
                </c:pt>
                <c:pt idx="262">
                  <c:v>754</c:v>
                </c:pt>
                <c:pt idx="263">
                  <c:v>762</c:v>
                </c:pt>
                <c:pt idx="264">
                  <c:v>783</c:v>
                </c:pt>
                <c:pt idx="265">
                  <c:v>784</c:v>
                </c:pt>
                <c:pt idx="266">
                  <c:v>791</c:v>
                </c:pt>
                <c:pt idx="267">
                  <c:v>794</c:v>
                </c:pt>
                <c:pt idx="268">
                  <c:v>797</c:v>
                </c:pt>
                <c:pt idx="269">
                  <c:v>805</c:v>
                </c:pt>
                <c:pt idx="270">
                  <c:v>813</c:v>
                </c:pt>
                <c:pt idx="271">
                  <c:v>825</c:v>
                </c:pt>
                <c:pt idx="272">
                  <c:v>829</c:v>
                </c:pt>
                <c:pt idx="273">
                  <c:v>838</c:v>
                </c:pt>
                <c:pt idx="274">
                  <c:v>847</c:v>
                </c:pt>
                <c:pt idx="275">
                  <c:v>868</c:v>
                </c:pt>
                <c:pt idx="276">
                  <c:v>879</c:v>
                </c:pt>
                <c:pt idx="277">
                  <c:v>883</c:v>
                </c:pt>
                <c:pt idx="278">
                  <c:v>893</c:v>
                </c:pt>
                <c:pt idx="279">
                  <c:v>900</c:v>
                </c:pt>
                <c:pt idx="280">
                  <c:v>903</c:v>
                </c:pt>
                <c:pt idx="281">
                  <c:v>947</c:v>
                </c:pt>
                <c:pt idx="282">
                  <c:v>962</c:v>
                </c:pt>
                <c:pt idx="283">
                  <c:v>963</c:v>
                </c:pt>
                <c:pt idx="284">
                  <c:v>973</c:v>
                </c:pt>
                <c:pt idx="285">
                  <c:v>1,025</c:v>
                </c:pt>
                <c:pt idx="286">
                  <c:v>1,026</c:v>
                </c:pt>
                <c:pt idx="287">
                  <c:v>1,031</c:v>
                </c:pt>
                <c:pt idx="288">
                  <c:v>1,053</c:v>
                </c:pt>
                <c:pt idx="289">
                  <c:v>1,054</c:v>
                </c:pt>
                <c:pt idx="290">
                  <c:v>1,055</c:v>
                </c:pt>
                <c:pt idx="291">
                  <c:v>1,068</c:v>
                </c:pt>
                <c:pt idx="292">
                  <c:v>1,069</c:v>
                </c:pt>
                <c:pt idx="293">
                  <c:v>1,075</c:v>
                </c:pt>
                <c:pt idx="294">
                  <c:v>1,078</c:v>
                </c:pt>
                <c:pt idx="295">
                  <c:v>1,084</c:v>
                </c:pt>
                <c:pt idx="296">
                  <c:v>1,088</c:v>
                </c:pt>
                <c:pt idx="297">
                  <c:v>1,097</c:v>
                </c:pt>
                <c:pt idx="298">
                  <c:v>1,132</c:v>
                </c:pt>
                <c:pt idx="299">
                  <c:v>1,136</c:v>
                </c:pt>
                <c:pt idx="300">
                  <c:v>1,141</c:v>
                </c:pt>
                <c:pt idx="301">
                  <c:v>1,153</c:v>
                </c:pt>
                <c:pt idx="302">
                  <c:v>1,154</c:v>
                </c:pt>
                <c:pt idx="303">
                  <c:v>1,168</c:v>
                </c:pt>
                <c:pt idx="304">
                  <c:v>1,176</c:v>
                </c:pt>
                <c:pt idx="305">
                  <c:v>1,190</c:v>
                </c:pt>
                <c:pt idx="306">
                  <c:v>1,191</c:v>
                </c:pt>
                <c:pt idx="307">
                  <c:v>1,207</c:v>
                </c:pt>
                <c:pt idx="308">
                  <c:v>1,208</c:v>
                </c:pt>
                <c:pt idx="309">
                  <c:v>1,211</c:v>
                </c:pt>
                <c:pt idx="310">
                  <c:v>1,215</c:v>
                </c:pt>
                <c:pt idx="311">
                  <c:v>1,219</c:v>
                </c:pt>
                <c:pt idx="312">
                  <c:v>1,232</c:v>
                </c:pt>
                <c:pt idx="313">
                  <c:v>1,245</c:v>
                </c:pt>
                <c:pt idx="314">
                  <c:v>1,253</c:v>
                </c:pt>
                <c:pt idx="315">
                  <c:v>1,265</c:v>
                </c:pt>
                <c:pt idx="316">
                  <c:v>1,277</c:v>
                </c:pt>
                <c:pt idx="317">
                  <c:v>1,294</c:v>
                </c:pt>
                <c:pt idx="318">
                  <c:v>1,422</c:v>
                </c:pt>
                <c:pt idx="319">
                  <c:v>1,423</c:v>
                </c:pt>
                <c:pt idx="320">
                  <c:v>1,508</c:v>
                </c:pt>
                <c:pt idx="321">
                  <c:v>1,526</c:v>
                </c:pt>
                <c:pt idx="322">
                  <c:v>2,081</c:v>
                </c:pt>
                <c:pt idx="323">
                  <c:v>2,090</c:v>
                </c:pt>
                <c:pt idx="324">
                  <c:v>2,166</c:v>
                </c:pt>
                <c:pt idx="325">
                  <c:v>2,208</c:v>
                </c:pt>
                <c:pt idx="326">
                  <c:v>2,244</c:v>
                </c:pt>
                <c:pt idx="327">
                  <c:v>2,273</c:v>
                </c:pt>
                <c:pt idx="328">
                  <c:v>2,430</c:v>
                </c:pt>
                <c:pt idx="329">
                  <c:v>2,464</c:v>
                </c:pt>
                <c:pt idx="330">
                  <c:v>2,498</c:v>
                </c:pt>
                <c:pt idx="331">
                  <c:v>2,638</c:v>
                </c:pt>
                <c:pt idx="332">
                  <c:v>2,725</c:v>
                </c:pt>
                <c:pt idx="333">
                  <c:v>2,856</c:v>
                </c:pt>
                <c:pt idx="334">
                  <c:v>2,938</c:v>
                </c:pt>
                <c:pt idx="335">
                  <c:v>2,955</c:v>
                </c:pt>
                <c:pt idx="336">
                  <c:v>2,985</c:v>
                </c:pt>
                <c:pt idx="337">
                  <c:v>3,017</c:v>
                </c:pt>
                <c:pt idx="338">
                  <c:v>3,050</c:v>
                </c:pt>
                <c:pt idx="339">
                  <c:v>3,264</c:v>
                </c:pt>
              </c:strCache>
            </c:strRef>
          </c:cat>
          <c:val>
            <c:numRef>
              <c:f>'Pivot Deaths 85+'!$C$4:$C$343</c:f>
              <c:numCache>
                <c:formatCode>#,##0</c:formatCode>
                <c:ptCount val="340"/>
                <c:pt idx="0">
                  <c:v>10132.108108108108</c:v>
                </c:pt>
                <c:pt idx="1">
                  <c:v>14312.333333333334</c:v>
                </c:pt>
                <c:pt idx="2">
                  <c:v>19330</c:v>
                </c:pt>
                <c:pt idx="3">
                  <c:v>7753</c:v>
                </c:pt>
                <c:pt idx="4">
                  <c:v>17600</c:v>
                </c:pt>
                <c:pt idx="5">
                  <c:v>18863.25</c:v>
                </c:pt>
                <c:pt idx="6">
                  <c:v>8474.5</c:v>
                </c:pt>
                <c:pt idx="7">
                  <c:v>15361.666666666666</c:v>
                </c:pt>
                <c:pt idx="8">
                  <c:v>26119</c:v>
                </c:pt>
                <c:pt idx="9">
                  <c:v>17825.5</c:v>
                </c:pt>
                <c:pt idx="10">
                  <c:v>28283</c:v>
                </c:pt>
                <c:pt idx="11">
                  <c:v>18412</c:v>
                </c:pt>
                <c:pt idx="12">
                  <c:v>22047.5</c:v>
                </c:pt>
                <c:pt idx="13">
                  <c:v>17744</c:v>
                </c:pt>
                <c:pt idx="14">
                  <c:v>19209.333333333332</c:v>
                </c:pt>
                <c:pt idx="15">
                  <c:v>15868.5</c:v>
                </c:pt>
                <c:pt idx="16">
                  <c:v>23772</c:v>
                </c:pt>
                <c:pt idx="17">
                  <c:v>23481</c:v>
                </c:pt>
                <c:pt idx="18">
                  <c:v>13683</c:v>
                </c:pt>
                <c:pt idx="19">
                  <c:v>18933</c:v>
                </c:pt>
                <c:pt idx="20">
                  <c:v>28841.5</c:v>
                </c:pt>
                <c:pt idx="21">
                  <c:v>22149.666666666668</c:v>
                </c:pt>
                <c:pt idx="22">
                  <c:v>24526.5</c:v>
                </c:pt>
                <c:pt idx="23">
                  <c:v>15198</c:v>
                </c:pt>
                <c:pt idx="24">
                  <c:v>25682</c:v>
                </c:pt>
                <c:pt idx="25">
                  <c:v>17962</c:v>
                </c:pt>
                <c:pt idx="26">
                  <c:v>23351</c:v>
                </c:pt>
                <c:pt idx="27">
                  <c:v>23227</c:v>
                </c:pt>
                <c:pt idx="28">
                  <c:v>24417.666666666668</c:v>
                </c:pt>
                <c:pt idx="29">
                  <c:v>26321.333333333332</c:v>
                </c:pt>
                <c:pt idx="30">
                  <c:v>29798</c:v>
                </c:pt>
                <c:pt idx="31">
                  <c:v>24563</c:v>
                </c:pt>
                <c:pt idx="32">
                  <c:v>33634</c:v>
                </c:pt>
                <c:pt idx="33">
                  <c:v>25862.333333333332</c:v>
                </c:pt>
                <c:pt idx="34">
                  <c:v>28675</c:v>
                </c:pt>
                <c:pt idx="35">
                  <c:v>13115</c:v>
                </c:pt>
                <c:pt idx="36">
                  <c:v>30445</c:v>
                </c:pt>
                <c:pt idx="37">
                  <c:v>24574</c:v>
                </c:pt>
                <c:pt idx="38">
                  <c:v>37282</c:v>
                </c:pt>
                <c:pt idx="39">
                  <c:v>31638.666666666668</c:v>
                </c:pt>
                <c:pt idx="40">
                  <c:v>23156.5</c:v>
                </c:pt>
                <c:pt idx="41">
                  <c:v>26612.5</c:v>
                </c:pt>
                <c:pt idx="42">
                  <c:v>25089</c:v>
                </c:pt>
                <c:pt idx="43">
                  <c:v>29702</c:v>
                </c:pt>
                <c:pt idx="44">
                  <c:v>31093</c:v>
                </c:pt>
                <c:pt idx="45">
                  <c:v>36167</c:v>
                </c:pt>
                <c:pt idx="46">
                  <c:v>32369</c:v>
                </c:pt>
                <c:pt idx="47">
                  <c:v>27042</c:v>
                </c:pt>
                <c:pt idx="48">
                  <c:v>32267</c:v>
                </c:pt>
                <c:pt idx="49">
                  <c:v>27237</c:v>
                </c:pt>
                <c:pt idx="50">
                  <c:v>29682.5</c:v>
                </c:pt>
                <c:pt idx="51">
                  <c:v>31744</c:v>
                </c:pt>
                <c:pt idx="52">
                  <c:v>35813</c:v>
                </c:pt>
                <c:pt idx="53">
                  <c:v>28301.5</c:v>
                </c:pt>
                <c:pt idx="54">
                  <c:v>28550</c:v>
                </c:pt>
                <c:pt idx="55">
                  <c:v>30638</c:v>
                </c:pt>
                <c:pt idx="56">
                  <c:v>38309</c:v>
                </c:pt>
                <c:pt idx="57">
                  <c:v>26664</c:v>
                </c:pt>
                <c:pt idx="58">
                  <c:v>34215</c:v>
                </c:pt>
                <c:pt idx="59">
                  <c:v>34620</c:v>
                </c:pt>
                <c:pt idx="60">
                  <c:v>33117</c:v>
                </c:pt>
                <c:pt idx="61">
                  <c:v>32751</c:v>
                </c:pt>
                <c:pt idx="62">
                  <c:v>29529</c:v>
                </c:pt>
                <c:pt idx="63">
                  <c:v>34062</c:v>
                </c:pt>
                <c:pt idx="64">
                  <c:v>34293</c:v>
                </c:pt>
                <c:pt idx="65">
                  <c:v>32887</c:v>
                </c:pt>
                <c:pt idx="66">
                  <c:v>35471</c:v>
                </c:pt>
                <c:pt idx="67">
                  <c:v>35082</c:v>
                </c:pt>
                <c:pt idx="68">
                  <c:v>51120</c:v>
                </c:pt>
                <c:pt idx="69">
                  <c:v>32037</c:v>
                </c:pt>
                <c:pt idx="70">
                  <c:v>37024</c:v>
                </c:pt>
                <c:pt idx="71">
                  <c:v>33856</c:v>
                </c:pt>
                <c:pt idx="72">
                  <c:v>55468</c:v>
                </c:pt>
                <c:pt idx="73">
                  <c:v>28780</c:v>
                </c:pt>
                <c:pt idx="74">
                  <c:v>71959</c:v>
                </c:pt>
                <c:pt idx="75">
                  <c:v>35785</c:v>
                </c:pt>
                <c:pt idx="76">
                  <c:v>60381</c:v>
                </c:pt>
                <c:pt idx="77">
                  <c:v>32711</c:v>
                </c:pt>
                <c:pt idx="78">
                  <c:v>33599</c:v>
                </c:pt>
                <c:pt idx="79">
                  <c:v>60181</c:v>
                </c:pt>
                <c:pt idx="80">
                  <c:v>35186</c:v>
                </c:pt>
                <c:pt idx="81">
                  <c:v>72594</c:v>
                </c:pt>
                <c:pt idx="82">
                  <c:v>73084</c:v>
                </c:pt>
                <c:pt idx="83">
                  <c:v>32746</c:v>
                </c:pt>
                <c:pt idx="84">
                  <c:v>34111</c:v>
                </c:pt>
                <c:pt idx="85">
                  <c:v>40469</c:v>
                </c:pt>
                <c:pt idx="86">
                  <c:v>42801.5</c:v>
                </c:pt>
                <c:pt idx="87">
                  <c:v>41357</c:v>
                </c:pt>
                <c:pt idx="88">
                  <c:v>35491</c:v>
                </c:pt>
                <c:pt idx="89">
                  <c:v>78428</c:v>
                </c:pt>
                <c:pt idx="90">
                  <c:v>74219</c:v>
                </c:pt>
                <c:pt idx="91">
                  <c:v>61568</c:v>
                </c:pt>
                <c:pt idx="92">
                  <c:v>75966</c:v>
                </c:pt>
                <c:pt idx="93">
                  <c:v>76092</c:v>
                </c:pt>
                <c:pt idx="94">
                  <c:v>41661</c:v>
                </c:pt>
                <c:pt idx="95">
                  <c:v>39626</c:v>
                </c:pt>
                <c:pt idx="96">
                  <c:v>51022</c:v>
                </c:pt>
                <c:pt idx="97">
                  <c:v>42920</c:v>
                </c:pt>
                <c:pt idx="98">
                  <c:v>79076</c:v>
                </c:pt>
                <c:pt idx="99">
                  <c:v>82959</c:v>
                </c:pt>
                <c:pt idx="100">
                  <c:v>80894</c:v>
                </c:pt>
                <c:pt idx="101">
                  <c:v>32581</c:v>
                </c:pt>
                <c:pt idx="102">
                  <c:v>73678</c:v>
                </c:pt>
                <c:pt idx="103">
                  <c:v>70433</c:v>
                </c:pt>
                <c:pt idx="104">
                  <c:v>68395</c:v>
                </c:pt>
                <c:pt idx="105">
                  <c:v>60898</c:v>
                </c:pt>
                <c:pt idx="106">
                  <c:v>55176.5</c:v>
                </c:pt>
                <c:pt idx="107">
                  <c:v>46752.5</c:v>
                </c:pt>
                <c:pt idx="108">
                  <c:v>80304</c:v>
                </c:pt>
                <c:pt idx="109">
                  <c:v>63182</c:v>
                </c:pt>
                <c:pt idx="110">
                  <c:v>49972</c:v>
                </c:pt>
                <c:pt idx="111">
                  <c:v>96550</c:v>
                </c:pt>
                <c:pt idx="112">
                  <c:v>112942</c:v>
                </c:pt>
                <c:pt idx="113">
                  <c:v>69698</c:v>
                </c:pt>
                <c:pt idx="114">
                  <c:v>62048.5</c:v>
                </c:pt>
                <c:pt idx="115">
                  <c:v>103884</c:v>
                </c:pt>
                <c:pt idx="116">
                  <c:v>106341</c:v>
                </c:pt>
                <c:pt idx="117">
                  <c:v>72045</c:v>
                </c:pt>
                <c:pt idx="118">
                  <c:v>57441</c:v>
                </c:pt>
                <c:pt idx="119">
                  <c:v>57322</c:v>
                </c:pt>
                <c:pt idx="120">
                  <c:v>73572</c:v>
                </c:pt>
                <c:pt idx="121">
                  <c:v>68462</c:v>
                </c:pt>
                <c:pt idx="122">
                  <c:v>51335</c:v>
                </c:pt>
                <c:pt idx="123">
                  <c:v>77513</c:v>
                </c:pt>
                <c:pt idx="124">
                  <c:v>43418</c:v>
                </c:pt>
                <c:pt idx="125">
                  <c:v>68869</c:v>
                </c:pt>
                <c:pt idx="126">
                  <c:v>69580</c:v>
                </c:pt>
                <c:pt idx="127">
                  <c:v>62424</c:v>
                </c:pt>
                <c:pt idx="128">
                  <c:v>94393</c:v>
                </c:pt>
                <c:pt idx="129">
                  <c:v>66026</c:v>
                </c:pt>
                <c:pt idx="130">
                  <c:v>82839.5</c:v>
                </c:pt>
                <c:pt idx="131">
                  <c:v>115584</c:v>
                </c:pt>
                <c:pt idx="132">
                  <c:v>47030</c:v>
                </c:pt>
                <c:pt idx="133">
                  <c:v>61174</c:v>
                </c:pt>
                <c:pt idx="134">
                  <c:v>72518.333333333328</c:v>
                </c:pt>
                <c:pt idx="135">
                  <c:v>64311</c:v>
                </c:pt>
                <c:pt idx="136">
                  <c:v>84752</c:v>
                </c:pt>
                <c:pt idx="137">
                  <c:v>70757</c:v>
                </c:pt>
                <c:pt idx="138">
                  <c:v>67506</c:v>
                </c:pt>
                <c:pt idx="139">
                  <c:v>103099</c:v>
                </c:pt>
                <c:pt idx="140">
                  <c:v>119069</c:v>
                </c:pt>
                <c:pt idx="141">
                  <c:v>57536</c:v>
                </c:pt>
                <c:pt idx="142">
                  <c:v>51290</c:v>
                </c:pt>
                <c:pt idx="143">
                  <c:v>62955.5</c:v>
                </c:pt>
                <c:pt idx="144">
                  <c:v>72368.5</c:v>
                </c:pt>
                <c:pt idx="145">
                  <c:v>123232</c:v>
                </c:pt>
                <c:pt idx="146">
                  <c:v>62575</c:v>
                </c:pt>
                <c:pt idx="147">
                  <c:v>48819</c:v>
                </c:pt>
                <c:pt idx="148">
                  <c:v>100450</c:v>
                </c:pt>
                <c:pt idx="149">
                  <c:v>63745</c:v>
                </c:pt>
                <c:pt idx="150">
                  <c:v>101981</c:v>
                </c:pt>
                <c:pt idx="151">
                  <c:v>65747</c:v>
                </c:pt>
                <c:pt idx="152">
                  <c:v>69877</c:v>
                </c:pt>
                <c:pt idx="153">
                  <c:v>48747</c:v>
                </c:pt>
                <c:pt idx="154">
                  <c:v>64959</c:v>
                </c:pt>
                <c:pt idx="155">
                  <c:v>70195</c:v>
                </c:pt>
                <c:pt idx="156">
                  <c:v>82381.8</c:v>
                </c:pt>
                <c:pt idx="157">
                  <c:v>96577</c:v>
                </c:pt>
                <c:pt idx="158">
                  <c:v>57701</c:v>
                </c:pt>
                <c:pt idx="159">
                  <c:v>98443</c:v>
                </c:pt>
                <c:pt idx="160">
                  <c:v>95052</c:v>
                </c:pt>
                <c:pt idx="161">
                  <c:v>69100</c:v>
                </c:pt>
                <c:pt idx="162">
                  <c:v>77173</c:v>
                </c:pt>
                <c:pt idx="163">
                  <c:v>56242</c:v>
                </c:pt>
                <c:pt idx="164">
                  <c:v>82062.5</c:v>
                </c:pt>
                <c:pt idx="165">
                  <c:v>117649.5</c:v>
                </c:pt>
                <c:pt idx="166">
                  <c:v>94994</c:v>
                </c:pt>
                <c:pt idx="167">
                  <c:v>62038</c:v>
                </c:pt>
                <c:pt idx="168">
                  <c:v>78740</c:v>
                </c:pt>
                <c:pt idx="169">
                  <c:v>84701</c:v>
                </c:pt>
                <c:pt idx="170">
                  <c:v>75565</c:v>
                </c:pt>
                <c:pt idx="171">
                  <c:v>37852</c:v>
                </c:pt>
                <c:pt idx="172">
                  <c:v>67884</c:v>
                </c:pt>
                <c:pt idx="173">
                  <c:v>116858</c:v>
                </c:pt>
                <c:pt idx="174">
                  <c:v>65731</c:v>
                </c:pt>
                <c:pt idx="175">
                  <c:v>90109</c:v>
                </c:pt>
                <c:pt idx="176">
                  <c:v>72428</c:v>
                </c:pt>
                <c:pt idx="177">
                  <c:v>95310</c:v>
                </c:pt>
                <c:pt idx="178">
                  <c:v>87960</c:v>
                </c:pt>
                <c:pt idx="179">
                  <c:v>75890</c:v>
                </c:pt>
                <c:pt idx="180">
                  <c:v>55169</c:v>
                </c:pt>
                <c:pt idx="181">
                  <c:v>64764</c:v>
                </c:pt>
                <c:pt idx="182">
                  <c:v>69297</c:v>
                </c:pt>
                <c:pt idx="183">
                  <c:v>89219</c:v>
                </c:pt>
                <c:pt idx="184">
                  <c:v>93242</c:v>
                </c:pt>
                <c:pt idx="185">
                  <c:v>117389</c:v>
                </c:pt>
                <c:pt idx="186">
                  <c:v>103250</c:v>
                </c:pt>
                <c:pt idx="187">
                  <c:v>103921</c:v>
                </c:pt>
                <c:pt idx="188">
                  <c:v>119075</c:v>
                </c:pt>
                <c:pt idx="189">
                  <c:v>105820</c:v>
                </c:pt>
                <c:pt idx="190">
                  <c:v>106981</c:v>
                </c:pt>
                <c:pt idx="191">
                  <c:v>98030</c:v>
                </c:pt>
                <c:pt idx="192">
                  <c:v>119810</c:v>
                </c:pt>
                <c:pt idx="193">
                  <c:v>93741</c:v>
                </c:pt>
                <c:pt idx="194">
                  <c:v>115193</c:v>
                </c:pt>
                <c:pt idx="195">
                  <c:v>123264</c:v>
                </c:pt>
                <c:pt idx="196">
                  <c:v>92688</c:v>
                </c:pt>
                <c:pt idx="197">
                  <c:v>104100</c:v>
                </c:pt>
                <c:pt idx="198">
                  <c:v>117526</c:v>
                </c:pt>
                <c:pt idx="199">
                  <c:v>107664</c:v>
                </c:pt>
                <c:pt idx="200">
                  <c:v>112014</c:v>
                </c:pt>
                <c:pt idx="201">
                  <c:v>123557</c:v>
                </c:pt>
                <c:pt idx="202">
                  <c:v>114616</c:v>
                </c:pt>
                <c:pt idx="203">
                  <c:v>125813</c:v>
                </c:pt>
                <c:pt idx="204">
                  <c:v>118824</c:v>
                </c:pt>
                <c:pt idx="205">
                  <c:v>109284</c:v>
                </c:pt>
                <c:pt idx="206">
                  <c:v>131483</c:v>
                </c:pt>
                <c:pt idx="207">
                  <c:v>100635</c:v>
                </c:pt>
                <c:pt idx="208">
                  <c:v>108929</c:v>
                </c:pt>
                <c:pt idx="209">
                  <c:v>105615</c:v>
                </c:pt>
                <c:pt idx="210">
                  <c:v>100463</c:v>
                </c:pt>
                <c:pt idx="211">
                  <c:v>117455</c:v>
                </c:pt>
                <c:pt idx="212">
                  <c:v>115190</c:v>
                </c:pt>
                <c:pt idx="213">
                  <c:v>117183</c:v>
                </c:pt>
                <c:pt idx="214">
                  <c:v>110878</c:v>
                </c:pt>
                <c:pt idx="215">
                  <c:v>113170</c:v>
                </c:pt>
                <c:pt idx="216">
                  <c:v>93003</c:v>
                </c:pt>
                <c:pt idx="217">
                  <c:v>108382</c:v>
                </c:pt>
                <c:pt idx="218">
                  <c:v>110113</c:v>
                </c:pt>
                <c:pt idx="219">
                  <c:v>105881</c:v>
                </c:pt>
                <c:pt idx="220">
                  <c:v>139396</c:v>
                </c:pt>
                <c:pt idx="221">
                  <c:v>107898</c:v>
                </c:pt>
                <c:pt idx="222">
                  <c:v>104226.5</c:v>
                </c:pt>
                <c:pt idx="223">
                  <c:v>94567</c:v>
                </c:pt>
                <c:pt idx="224">
                  <c:v>108740</c:v>
                </c:pt>
                <c:pt idx="225">
                  <c:v>117645</c:v>
                </c:pt>
                <c:pt idx="226">
                  <c:v>110138</c:v>
                </c:pt>
                <c:pt idx="227">
                  <c:v>109809</c:v>
                </c:pt>
                <c:pt idx="228">
                  <c:v>107559</c:v>
                </c:pt>
                <c:pt idx="229">
                  <c:v>177904</c:v>
                </c:pt>
                <c:pt idx="230">
                  <c:v>110362</c:v>
                </c:pt>
                <c:pt idx="231">
                  <c:v>150090.5</c:v>
                </c:pt>
                <c:pt idx="232">
                  <c:v>100935</c:v>
                </c:pt>
                <c:pt idx="233">
                  <c:v>113212</c:v>
                </c:pt>
                <c:pt idx="234">
                  <c:v>115833</c:v>
                </c:pt>
                <c:pt idx="235">
                  <c:v>95104</c:v>
                </c:pt>
                <c:pt idx="236">
                  <c:v>172164</c:v>
                </c:pt>
                <c:pt idx="237">
                  <c:v>161660</c:v>
                </c:pt>
                <c:pt idx="238">
                  <c:v>113337</c:v>
                </c:pt>
                <c:pt idx="239">
                  <c:v>95450</c:v>
                </c:pt>
                <c:pt idx="240">
                  <c:v>128355</c:v>
                </c:pt>
                <c:pt idx="241">
                  <c:v>188711</c:v>
                </c:pt>
                <c:pt idx="242">
                  <c:v>196665</c:v>
                </c:pt>
                <c:pt idx="243">
                  <c:v>114736</c:v>
                </c:pt>
                <c:pt idx="244">
                  <c:v>144488</c:v>
                </c:pt>
                <c:pt idx="245">
                  <c:v>102597</c:v>
                </c:pt>
                <c:pt idx="246">
                  <c:v>107121</c:v>
                </c:pt>
                <c:pt idx="247">
                  <c:v>116930</c:v>
                </c:pt>
                <c:pt idx="248">
                  <c:v>198172</c:v>
                </c:pt>
                <c:pt idx="249">
                  <c:v>155006</c:v>
                </c:pt>
                <c:pt idx="250">
                  <c:v>113679</c:v>
                </c:pt>
                <c:pt idx="251">
                  <c:v>109643</c:v>
                </c:pt>
                <c:pt idx="252">
                  <c:v>173824</c:v>
                </c:pt>
                <c:pt idx="253">
                  <c:v>184444</c:v>
                </c:pt>
                <c:pt idx="254">
                  <c:v>132098</c:v>
                </c:pt>
                <c:pt idx="255">
                  <c:v>137726</c:v>
                </c:pt>
                <c:pt idx="256">
                  <c:v>136977</c:v>
                </c:pt>
                <c:pt idx="257">
                  <c:v>137573</c:v>
                </c:pt>
                <c:pt idx="258">
                  <c:v>187879</c:v>
                </c:pt>
                <c:pt idx="259">
                  <c:v>151054</c:v>
                </c:pt>
                <c:pt idx="260">
                  <c:v>151983</c:v>
                </c:pt>
                <c:pt idx="261">
                  <c:v>155756</c:v>
                </c:pt>
                <c:pt idx="262">
                  <c:v>191628</c:v>
                </c:pt>
                <c:pt idx="263">
                  <c:v>144509</c:v>
                </c:pt>
                <c:pt idx="264">
                  <c:v>134211</c:v>
                </c:pt>
                <c:pt idx="265">
                  <c:v>196893</c:v>
                </c:pt>
                <c:pt idx="266">
                  <c:v>154837</c:v>
                </c:pt>
                <c:pt idx="267">
                  <c:v>140169</c:v>
                </c:pt>
                <c:pt idx="268">
                  <c:v>147458</c:v>
                </c:pt>
                <c:pt idx="269">
                  <c:v>182934</c:v>
                </c:pt>
                <c:pt idx="270">
                  <c:v>162244</c:v>
                </c:pt>
                <c:pt idx="271">
                  <c:v>212187</c:v>
                </c:pt>
                <c:pt idx="272">
                  <c:v>197129</c:v>
                </c:pt>
                <c:pt idx="273">
                  <c:v>141669</c:v>
                </c:pt>
                <c:pt idx="274">
                  <c:v>190520</c:v>
                </c:pt>
                <c:pt idx="275">
                  <c:v>153647</c:v>
                </c:pt>
                <c:pt idx="276">
                  <c:v>241850</c:v>
                </c:pt>
                <c:pt idx="277">
                  <c:v>148496</c:v>
                </c:pt>
                <c:pt idx="278">
                  <c:v>215896</c:v>
                </c:pt>
                <c:pt idx="279">
                  <c:v>196103</c:v>
                </c:pt>
                <c:pt idx="280">
                  <c:v>144833</c:v>
                </c:pt>
                <c:pt idx="281">
                  <c:v>240782</c:v>
                </c:pt>
                <c:pt idx="282">
                  <c:v>412590</c:v>
                </c:pt>
                <c:pt idx="283">
                  <c:v>243255</c:v>
                </c:pt>
                <c:pt idx="284">
                  <c:v>427459</c:v>
                </c:pt>
                <c:pt idx="285">
                  <c:v>221281</c:v>
                </c:pt>
                <c:pt idx="286">
                  <c:v>336300</c:v>
                </c:pt>
                <c:pt idx="287">
                  <c:v>344377</c:v>
                </c:pt>
                <c:pt idx="288">
                  <c:v>229033</c:v>
                </c:pt>
                <c:pt idx="289">
                  <c:v>228330</c:v>
                </c:pt>
                <c:pt idx="290">
                  <c:v>443967</c:v>
                </c:pt>
                <c:pt idx="291">
                  <c:v>224425</c:v>
                </c:pt>
                <c:pt idx="292">
                  <c:v>239896</c:v>
                </c:pt>
                <c:pt idx="293">
                  <c:v>238053</c:v>
                </c:pt>
                <c:pt idx="294">
                  <c:v>429397</c:v>
                </c:pt>
                <c:pt idx="295">
                  <c:v>475978</c:v>
                </c:pt>
                <c:pt idx="296">
                  <c:v>514243</c:v>
                </c:pt>
                <c:pt idx="297">
                  <c:v>493015</c:v>
                </c:pt>
                <c:pt idx="298">
                  <c:v>232382</c:v>
                </c:pt>
                <c:pt idx="299">
                  <c:v>235148</c:v>
                </c:pt>
                <c:pt idx="300">
                  <c:v>233286</c:v>
                </c:pt>
                <c:pt idx="301">
                  <c:v>456260</c:v>
                </c:pt>
                <c:pt idx="302">
                  <c:v>220660</c:v>
                </c:pt>
                <c:pt idx="303">
                  <c:v>224669</c:v>
                </c:pt>
                <c:pt idx="304">
                  <c:v>286517</c:v>
                </c:pt>
                <c:pt idx="305">
                  <c:v>323659</c:v>
                </c:pt>
                <c:pt idx="306">
                  <c:v>321298</c:v>
                </c:pt>
                <c:pt idx="307">
                  <c:v>233380</c:v>
                </c:pt>
                <c:pt idx="308">
                  <c:v>303548</c:v>
                </c:pt>
                <c:pt idx="309">
                  <c:v>305910</c:v>
                </c:pt>
                <c:pt idx="310">
                  <c:v>233727</c:v>
                </c:pt>
                <c:pt idx="311">
                  <c:v>286373</c:v>
                </c:pt>
                <c:pt idx="312">
                  <c:v>299196</c:v>
                </c:pt>
                <c:pt idx="313">
                  <c:v>293282</c:v>
                </c:pt>
                <c:pt idx="314">
                  <c:v>321095</c:v>
                </c:pt>
                <c:pt idx="315">
                  <c:v>297580</c:v>
                </c:pt>
                <c:pt idx="316">
                  <c:v>314583</c:v>
                </c:pt>
                <c:pt idx="317">
                  <c:v>520524</c:v>
                </c:pt>
                <c:pt idx="318">
                  <c:v>323833</c:v>
                </c:pt>
                <c:pt idx="319">
                  <c:v>292628</c:v>
                </c:pt>
                <c:pt idx="320">
                  <c:v>309149</c:v>
                </c:pt>
                <c:pt idx="321">
                  <c:v>307542</c:v>
                </c:pt>
                <c:pt idx="322">
                  <c:v>424865</c:v>
                </c:pt>
                <c:pt idx="323">
                  <c:v>365860</c:v>
                </c:pt>
                <c:pt idx="324">
                  <c:v>433804</c:v>
                </c:pt>
                <c:pt idx="325">
                  <c:v>385210</c:v>
                </c:pt>
                <c:pt idx="326">
                  <c:v>410066</c:v>
                </c:pt>
                <c:pt idx="327">
                  <c:v>366737</c:v>
                </c:pt>
                <c:pt idx="328">
                  <c:v>400137</c:v>
                </c:pt>
                <c:pt idx="329">
                  <c:v>414173</c:v>
                </c:pt>
                <c:pt idx="330">
                  <c:v>376007</c:v>
                </c:pt>
                <c:pt idx="331">
                  <c:v>650707</c:v>
                </c:pt>
                <c:pt idx="332">
                  <c:v>673571</c:v>
                </c:pt>
                <c:pt idx="333">
                  <c:v>543486</c:v>
                </c:pt>
                <c:pt idx="334">
                  <c:v>613671</c:v>
                </c:pt>
                <c:pt idx="335">
                  <c:v>555581</c:v>
                </c:pt>
                <c:pt idx="336">
                  <c:v>680993</c:v>
                </c:pt>
                <c:pt idx="337">
                  <c:v>659321</c:v>
                </c:pt>
                <c:pt idx="338">
                  <c:v>581946</c:v>
                </c:pt>
                <c:pt idx="339">
                  <c:v>626696</c:v>
                </c:pt>
              </c:numCache>
            </c:numRef>
          </c:val>
          <c:extLst>
            <c:ext xmlns:c16="http://schemas.microsoft.com/office/drawing/2014/chart" uri="{C3380CC4-5D6E-409C-BE32-E72D297353CC}">
              <c16:uniqueId val="{00000000-474D-4BEB-9C7C-15FC6AD3638D}"/>
            </c:ext>
          </c:extLst>
        </c:ser>
        <c:dLbls>
          <c:showLegendKey val="0"/>
          <c:showVal val="0"/>
          <c:showCatName val="0"/>
          <c:showSerName val="0"/>
          <c:showPercent val="0"/>
          <c:showBubbleSize val="0"/>
        </c:dLbls>
        <c:gapWidth val="219"/>
        <c:overlap val="-27"/>
        <c:axId val="1996706208"/>
        <c:axId val="1996704768"/>
      </c:barChart>
      <c:catAx>
        <c:axId val="199670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704768"/>
        <c:crosses val="autoZero"/>
        <c:auto val="1"/>
        <c:lblAlgn val="ctr"/>
        <c:lblOffset val="100"/>
        <c:noMultiLvlLbl val="0"/>
      </c:catAx>
      <c:valAx>
        <c:axId val="19967047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70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[1.8 Conducting Statistical Analyses.xlsx]Pivot Population 85+!PivotTable7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Population</a:t>
            </a:r>
            <a:r>
              <a:rPr lang="en-US" baseline="0"/>
              <a:t> 85+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Population 85+'!$C$3</c:f>
              <c:strCache>
                <c:ptCount val="1"/>
                <c:pt idx="0">
                  <c:v>Total</c:v>
                </c:pt>
              </c:strCache>
            </c:strRef>
          </c:tx>
          <c:spPr>
            <a:solidFill>
              <a:schemeClr val="accent1"/>
            </a:solidFill>
            <a:ln>
              <a:noFill/>
            </a:ln>
            <a:effectLst/>
          </c:spPr>
          <c:invertIfNegative val="0"/>
          <c:cat>
            <c:strRef>
              <c:f>'Pivot Population 85+'!$B$4:$B$461</c:f>
              <c:strCache>
                <c:ptCount val="458"/>
                <c:pt idx="0">
                  <c:v>4,236</c:v>
                </c:pt>
                <c:pt idx="1">
                  <c:v>4,336</c:v>
                </c:pt>
                <c:pt idx="2">
                  <c:v>4,435</c:v>
                </c:pt>
                <c:pt idx="3">
                  <c:v>4,652</c:v>
                </c:pt>
                <c:pt idx="4">
                  <c:v>5,102</c:v>
                </c:pt>
                <c:pt idx="5">
                  <c:v>5,165</c:v>
                </c:pt>
                <c:pt idx="6">
                  <c:v>5,948</c:v>
                </c:pt>
                <c:pt idx="7">
                  <c:v>6,285</c:v>
                </c:pt>
                <c:pt idx="8">
                  <c:v>6,814</c:v>
                </c:pt>
                <c:pt idx="9">
                  <c:v>7,753</c:v>
                </c:pt>
                <c:pt idx="10">
                  <c:v>7,875</c:v>
                </c:pt>
                <c:pt idx="11">
                  <c:v>7,891</c:v>
                </c:pt>
                <c:pt idx="12">
                  <c:v>8,173</c:v>
                </c:pt>
                <c:pt idx="13">
                  <c:v>8,313</c:v>
                </c:pt>
                <c:pt idx="14">
                  <c:v>8,427</c:v>
                </c:pt>
                <c:pt idx="15">
                  <c:v>8,443</c:v>
                </c:pt>
                <c:pt idx="16">
                  <c:v>8,723</c:v>
                </c:pt>
                <c:pt idx="17">
                  <c:v>9,074</c:v>
                </c:pt>
                <c:pt idx="18">
                  <c:v>9,351</c:v>
                </c:pt>
                <c:pt idx="19">
                  <c:v>9,910</c:v>
                </c:pt>
                <c:pt idx="20">
                  <c:v>9,991</c:v>
                </c:pt>
                <c:pt idx="21">
                  <c:v>10,004</c:v>
                </c:pt>
                <c:pt idx="22">
                  <c:v>10,098</c:v>
                </c:pt>
                <c:pt idx="23">
                  <c:v>10,140</c:v>
                </c:pt>
                <c:pt idx="24">
                  <c:v>10,298</c:v>
                </c:pt>
                <c:pt idx="25">
                  <c:v>10,360</c:v>
                </c:pt>
                <c:pt idx="26">
                  <c:v>10,489</c:v>
                </c:pt>
                <c:pt idx="27">
                  <c:v>10,517</c:v>
                </c:pt>
                <c:pt idx="28">
                  <c:v>10,545</c:v>
                </c:pt>
                <c:pt idx="29">
                  <c:v>10,734</c:v>
                </c:pt>
                <c:pt idx="30">
                  <c:v>11,129</c:v>
                </c:pt>
                <c:pt idx="31">
                  <c:v>11,293</c:v>
                </c:pt>
                <c:pt idx="32">
                  <c:v>11,398</c:v>
                </c:pt>
                <c:pt idx="33">
                  <c:v>11,704</c:v>
                </c:pt>
                <c:pt idx="34">
                  <c:v>12,397</c:v>
                </c:pt>
                <c:pt idx="35">
                  <c:v>12,843</c:v>
                </c:pt>
                <c:pt idx="36">
                  <c:v>13,115</c:v>
                </c:pt>
                <c:pt idx="37">
                  <c:v>13,538</c:v>
                </c:pt>
                <c:pt idx="38">
                  <c:v>13,683</c:v>
                </c:pt>
                <c:pt idx="39">
                  <c:v>13,751</c:v>
                </c:pt>
                <c:pt idx="40">
                  <c:v>13,957</c:v>
                </c:pt>
                <c:pt idx="41">
                  <c:v>14,518</c:v>
                </c:pt>
                <c:pt idx="42">
                  <c:v>14,678</c:v>
                </c:pt>
                <c:pt idx="43">
                  <c:v>15,062</c:v>
                </c:pt>
                <c:pt idx="44">
                  <c:v>15,198</c:v>
                </c:pt>
                <c:pt idx="45">
                  <c:v>15,286</c:v>
                </c:pt>
                <c:pt idx="46">
                  <c:v>15,394</c:v>
                </c:pt>
                <c:pt idx="47">
                  <c:v>15,492</c:v>
                </c:pt>
                <c:pt idx="48">
                  <c:v>15,623</c:v>
                </c:pt>
                <c:pt idx="49">
                  <c:v>15,633</c:v>
                </c:pt>
                <c:pt idx="50">
                  <c:v>16,086</c:v>
                </c:pt>
                <c:pt idx="51">
                  <c:v>16,114</c:v>
                </c:pt>
                <c:pt idx="52">
                  <c:v>16,153</c:v>
                </c:pt>
                <c:pt idx="53">
                  <c:v>16,164</c:v>
                </c:pt>
                <c:pt idx="54">
                  <c:v>16,312</c:v>
                </c:pt>
                <c:pt idx="55">
                  <c:v>16,356</c:v>
                </c:pt>
                <c:pt idx="56">
                  <c:v>16,720</c:v>
                </c:pt>
                <c:pt idx="57">
                  <c:v>16,927</c:v>
                </c:pt>
                <c:pt idx="58">
                  <c:v>17,043</c:v>
                </c:pt>
                <c:pt idx="59">
                  <c:v>17,219</c:v>
                </c:pt>
                <c:pt idx="60">
                  <c:v>17,600</c:v>
                </c:pt>
                <c:pt idx="61">
                  <c:v>17,744</c:v>
                </c:pt>
                <c:pt idx="62">
                  <c:v>17,790</c:v>
                </c:pt>
                <c:pt idx="63">
                  <c:v>17,813</c:v>
                </c:pt>
                <c:pt idx="64">
                  <c:v>17,838</c:v>
                </c:pt>
                <c:pt idx="65">
                  <c:v>17,961</c:v>
                </c:pt>
                <c:pt idx="66">
                  <c:v>17,962</c:v>
                </c:pt>
                <c:pt idx="67">
                  <c:v>18,319</c:v>
                </c:pt>
                <c:pt idx="68">
                  <c:v>18,412</c:v>
                </c:pt>
                <c:pt idx="69">
                  <c:v>18,564</c:v>
                </c:pt>
                <c:pt idx="70">
                  <c:v>19,330</c:v>
                </c:pt>
                <c:pt idx="71">
                  <c:v>19,836</c:v>
                </c:pt>
                <c:pt idx="72">
                  <c:v>21,962</c:v>
                </c:pt>
                <c:pt idx="73">
                  <c:v>22,954</c:v>
                </c:pt>
                <c:pt idx="74">
                  <c:v>23,057</c:v>
                </c:pt>
                <c:pt idx="75">
                  <c:v>23,227</c:v>
                </c:pt>
                <c:pt idx="76">
                  <c:v>23,351</c:v>
                </c:pt>
                <c:pt idx="77">
                  <c:v>23,462</c:v>
                </c:pt>
                <c:pt idx="78">
                  <c:v>23,556</c:v>
                </c:pt>
                <c:pt idx="79">
                  <c:v>23,772</c:v>
                </c:pt>
                <c:pt idx="80">
                  <c:v>23,995</c:v>
                </c:pt>
                <c:pt idx="81">
                  <c:v>24,008</c:v>
                </c:pt>
                <c:pt idx="82">
                  <c:v>24,160</c:v>
                </c:pt>
                <c:pt idx="83">
                  <c:v>24,205</c:v>
                </c:pt>
                <c:pt idx="84">
                  <c:v>24,351</c:v>
                </c:pt>
                <c:pt idx="85">
                  <c:v>24,355</c:v>
                </c:pt>
                <c:pt idx="86">
                  <c:v>24,373</c:v>
                </c:pt>
                <c:pt idx="87">
                  <c:v>24,563</c:v>
                </c:pt>
                <c:pt idx="88">
                  <c:v>24,574</c:v>
                </c:pt>
                <c:pt idx="89">
                  <c:v>24,949</c:v>
                </c:pt>
                <c:pt idx="90">
                  <c:v>25,089</c:v>
                </c:pt>
                <c:pt idx="91">
                  <c:v>25,895</c:v>
                </c:pt>
                <c:pt idx="92">
                  <c:v>26,119</c:v>
                </c:pt>
                <c:pt idx="93">
                  <c:v>26,946</c:v>
                </c:pt>
                <c:pt idx="94">
                  <c:v>27,042</c:v>
                </c:pt>
                <c:pt idx="95">
                  <c:v>27,168</c:v>
                </c:pt>
                <c:pt idx="96">
                  <c:v>27,204</c:v>
                </c:pt>
                <c:pt idx="97">
                  <c:v>27,237</c:v>
                </c:pt>
                <c:pt idx="98">
                  <c:v>27,330</c:v>
                </c:pt>
                <c:pt idx="99">
                  <c:v>27,652</c:v>
                </c:pt>
                <c:pt idx="100">
                  <c:v>27,808</c:v>
                </c:pt>
                <c:pt idx="101">
                  <c:v>28,283</c:v>
                </c:pt>
                <c:pt idx="102">
                  <c:v>28,299</c:v>
                </c:pt>
                <c:pt idx="103">
                  <c:v>28,304</c:v>
                </c:pt>
                <c:pt idx="104">
                  <c:v>28,550</c:v>
                </c:pt>
                <c:pt idx="105">
                  <c:v>28,675</c:v>
                </c:pt>
                <c:pt idx="106">
                  <c:v>28,780</c:v>
                </c:pt>
                <c:pt idx="107">
                  <c:v>28,941</c:v>
                </c:pt>
                <c:pt idx="108">
                  <c:v>29,189</c:v>
                </c:pt>
                <c:pt idx="109">
                  <c:v>29,264</c:v>
                </c:pt>
                <c:pt idx="110">
                  <c:v>29,284</c:v>
                </c:pt>
                <c:pt idx="111">
                  <c:v>29,333</c:v>
                </c:pt>
                <c:pt idx="112">
                  <c:v>29,529</c:v>
                </c:pt>
                <c:pt idx="113">
                  <c:v>29,633</c:v>
                </c:pt>
                <c:pt idx="114">
                  <c:v>29,664</c:v>
                </c:pt>
                <c:pt idx="115">
                  <c:v>29,702</c:v>
                </c:pt>
                <c:pt idx="116">
                  <c:v>29,875</c:v>
                </c:pt>
                <c:pt idx="117">
                  <c:v>30,176</c:v>
                </c:pt>
                <c:pt idx="118">
                  <c:v>30,638</c:v>
                </c:pt>
                <c:pt idx="119">
                  <c:v>31,093</c:v>
                </c:pt>
                <c:pt idx="120">
                  <c:v>31,606</c:v>
                </c:pt>
                <c:pt idx="121">
                  <c:v>31,744</c:v>
                </c:pt>
                <c:pt idx="122">
                  <c:v>31,783</c:v>
                </c:pt>
                <c:pt idx="123">
                  <c:v>31,808</c:v>
                </c:pt>
                <c:pt idx="124">
                  <c:v>31,944</c:v>
                </c:pt>
                <c:pt idx="125">
                  <c:v>32,037</c:v>
                </c:pt>
                <c:pt idx="126">
                  <c:v>32,267</c:v>
                </c:pt>
                <c:pt idx="127">
                  <c:v>32,369</c:v>
                </c:pt>
                <c:pt idx="128">
                  <c:v>32,581</c:v>
                </c:pt>
                <c:pt idx="129">
                  <c:v>32,615</c:v>
                </c:pt>
                <c:pt idx="130">
                  <c:v>32,711</c:v>
                </c:pt>
                <c:pt idx="131">
                  <c:v>32,746</c:v>
                </c:pt>
                <c:pt idx="132">
                  <c:v>32,751</c:v>
                </c:pt>
                <c:pt idx="133">
                  <c:v>32,887</c:v>
                </c:pt>
                <c:pt idx="134">
                  <c:v>33,117</c:v>
                </c:pt>
                <c:pt idx="135">
                  <c:v>33,444</c:v>
                </c:pt>
                <c:pt idx="136">
                  <c:v>33,599</c:v>
                </c:pt>
                <c:pt idx="137">
                  <c:v>33,634</c:v>
                </c:pt>
                <c:pt idx="138">
                  <c:v>33,856</c:v>
                </c:pt>
                <c:pt idx="139">
                  <c:v>33,937</c:v>
                </c:pt>
                <c:pt idx="140">
                  <c:v>34,000</c:v>
                </c:pt>
                <c:pt idx="141">
                  <c:v>34,062</c:v>
                </c:pt>
                <c:pt idx="142">
                  <c:v>34,111</c:v>
                </c:pt>
                <c:pt idx="143">
                  <c:v>34,215</c:v>
                </c:pt>
                <c:pt idx="144">
                  <c:v>34,293</c:v>
                </c:pt>
                <c:pt idx="145">
                  <c:v>34,620</c:v>
                </c:pt>
                <c:pt idx="146">
                  <c:v>35,082</c:v>
                </c:pt>
                <c:pt idx="147">
                  <c:v>35,096</c:v>
                </c:pt>
                <c:pt idx="148">
                  <c:v>35,186</c:v>
                </c:pt>
                <c:pt idx="149">
                  <c:v>35,471</c:v>
                </c:pt>
                <c:pt idx="150">
                  <c:v>35,491</c:v>
                </c:pt>
                <c:pt idx="151">
                  <c:v>35,785</c:v>
                </c:pt>
                <c:pt idx="152">
                  <c:v>35,813</c:v>
                </c:pt>
                <c:pt idx="153">
                  <c:v>36,167</c:v>
                </c:pt>
                <c:pt idx="154">
                  <c:v>36,239</c:v>
                </c:pt>
                <c:pt idx="155">
                  <c:v>36,782</c:v>
                </c:pt>
                <c:pt idx="156">
                  <c:v>37,024</c:v>
                </c:pt>
                <c:pt idx="157">
                  <c:v>37,282</c:v>
                </c:pt>
                <c:pt idx="158">
                  <c:v>37,852</c:v>
                </c:pt>
                <c:pt idx="159">
                  <c:v>37,991</c:v>
                </c:pt>
                <c:pt idx="160">
                  <c:v>38,309</c:v>
                </c:pt>
                <c:pt idx="161">
                  <c:v>38,979</c:v>
                </c:pt>
                <c:pt idx="162">
                  <c:v>40,469</c:v>
                </c:pt>
                <c:pt idx="163">
                  <c:v>41,357</c:v>
                </c:pt>
                <c:pt idx="164">
                  <c:v>41,661</c:v>
                </c:pt>
                <c:pt idx="165">
                  <c:v>42,920</c:v>
                </c:pt>
                <c:pt idx="166">
                  <c:v>43,418</c:v>
                </c:pt>
                <c:pt idx="167">
                  <c:v>43,739</c:v>
                </c:pt>
                <c:pt idx="168">
                  <c:v>44,535</c:v>
                </c:pt>
                <c:pt idx="169">
                  <c:v>44,624</c:v>
                </c:pt>
                <c:pt idx="170">
                  <c:v>46,624</c:v>
                </c:pt>
                <c:pt idx="171">
                  <c:v>47,469</c:v>
                </c:pt>
                <c:pt idx="172">
                  <c:v>48,292</c:v>
                </c:pt>
                <c:pt idx="173">
                  <c:v>48,747</c:v>
                </c:pt>
                <c:pt idx="174">
                  <c:v>48,819</c:v>
                </c:pt>
                <c:pt idx="175">
                  <c:v>48,881</c:v>
                </c:pt>
                <c:pt idx="176">
                  <c:v>49,972</c:v>
                </c:pt>
                <c:pt idx="177">
                  <c:v>51,022</c:v>
                </c:pt>
                <c:pt idx="178">
                  <c:v>51,335</c:v>
                </c:pt>
                <c:pt idx="179">
                  <c:v>55,140</c:v>
                </c:pt>
                <c:pt idx="180">
                  <c:v>55,169</c:v>
                </c:pt>
                <c:pt idx="181">
                  <c:v>55,861</c:v>
                </c:pt>
                <c:pt idx="182">
                  <c:v>55,898</c:v>
                </c:pt>
                <c:pt idx="183">
                  <c:v>56,069</c:v>
                </c:pt>
                <c:pt idx="184">
                  <c:v>56,242</c:v>
                </c:pt>
                <c:pt idx="185">
                  <c:v>56,357</c:v>
                </c:pt>
                <c:pt idx="186">
                  <c:v>57,115</c:v>
                </c:pt>
                <c:pt idx="187">
                  <c:v>57,322</c:v>
                </c:pt>
                <c:pt idx="188">
                  <c:v>57,536</c:v>
                </c:pt>
                <c:pt idx="189">
                  <c:v>58,710</c:v>
                </c:pt>
                <c:pt idx="190">
                  <c:v>60,181</c:v>
                </c:pt>
                <c:pt idx="191">
                  <c:v>60,381</c:v>
                </c:pt>
                <c:pt idx="192">
                  <c:v>60,628</c:v>
                </c:pt>
                <c:pt idx="193">
                  <c:v>60,731</c:v>
                </c:pt>
                <c:pt idx="194">
                  <c:v>60,898</c:v>
                </c:pt>
                <c:pt idx="195">
                  <c:v>61,174</c:v>
                </c:pt>
                <c:pt idx="196">
                  <c:v>61,568</c:v>
                </c:pt>
                <c:pt idx="197">
                  <c:v>62,424</c:v>
                </c:pt>
                <c:pt idx="198">
                  <c:v>62,575</c:v>
                </c:pt>
                <c:pt idx="199">
                  <c:v>62,985</c:v>
                </c:pt>
                <c:pt idx="200">
                  <c:v>63,182</c:v>
                </c:pt>
                <c:pt idx="201">
                  <c:v>63,600</c:v>
                </c:pt>
                <c:pt idx="202">
                  <c:v>63,745</c:v>
                </c:pt>
                <c:pt idx="203">
                  <c:v>64,764</c:v>
                </c:pt>
                <c:pt idx="204">
                  <c:v>64,959</c:v>
                </c:pt>
                <c:pt idx="205">
                  <c:v>65,022</c:v>
                </c:pt>
                <c:pt idx="206">
                  <c:v>65,283</c:v>
                </c:pt>
                <c:pt idx="207">
                  <c:v>65,584</c:v>
                </c:pt>
                <c:pt idx="208">
                  <c:v>65,731</c:v>
                </c:pt>
                <c:pt idx="209">
                  <c:v>65,747</c:v>
                </c:pt>
                <c:pt idx="210">
                  <c:v>65,818</c:v>
                </c:pt>
                <c:pt idx="211">
                  <c:v>66,026</c:v>
                </c:pt>
                <c:pt idx="212">
                  <c:v>67,110</c:v>
                </c:pt>
                <c:pt idx="213">
                  <c:v>67,411</c:v>
                </c:pt>
                <c:pt idx="214">
                  <c:v>67,506</c:v>
                </c:pt>
                <c:pt idx="215">
                  <c:v>67,781</c:v>
                </c:pt>
                <c:pt idx="216">
                  <c:v>67,884</c:v>
                </c:pt>
                <c:pt idx="217">
                  <c:v>68,236</c:v>
                </c:pt>
                <c:pt idx="218">
                  <c:v>68,462</c:v>
                </c:pt>
                <c:pt idx="219">
                  <c:v>68,823</c:v>
                </c:pt>
                <c:pt idx="220">
                  <c:v>68,869</c:v>
                </c:pt>
                <c:pt idx="221">
                  <c:v>68,936</c:v>
                </c:pt>
                <c:pt idx="222">
                  <c:v>69,100</c:v>
                </c:pt>
                <c:pt idx="223">
                  <c:v>69,297</c:v>
                </c:pt>
                <c:pt idx="224">
                  <c:v>69,580</c:v>
                </c:pt>
                <c:pt idx="225">
                  <c:v>69,698</c:v>
                </c:pt>
                <c:pt idx="226">
                  <c:v>69,804</c:v>
                </c:pt>
                <c:pt idx="227">
                  <c:v>69,877</c:v>
                </c:pt>
                <c:pt idx="228">
                  <c:v>70,433</c:v>
                </c:pt>
                <c:pt idx="229">
                  <c:v>70,757</c:v>
                </c:pt>
                <c:pt idx="230">
                  <c:v>71,143</c:v>
                </c:pt>
                <c:pt idx="231">
                  <c:v>71,959</c:v>
                </c:pt>
                <c:pt idx="232">
                  <c:v>72,045</c:v>
                </c:pt>
                <c:pt idx="233">
                  <c:v>72,428</c:v>
                </c:pt>
                <c:pt idx="234">
                  <c:v>72,594</c:v>
                </c:pt>
                <c:pt idx="235">
                  <c:v>73,084</c:v>
                </c:pt>
                <c:pt idx="236">
                  <c:v>73,572</c:v>
                </c:pt>
                <c:pt idx="237">
                  <c:v>73,678</c:v>
                </c:pt>
                <c:pt idx="238">
                  <c:v>73,805</c:v>
                </c:pt>
                <c:pt idx="239">
                  <c:v>73,891</c:v>
                </c:pt>
                <c:pt idx="240">
                  <c:v>74,147</c:v>
                </c:pt>
                <c:pt idx="241">
                  <c:v>74,219</c:v>
                </c:pt>
                <c:pt idx="242">
                  <c:v>74,327</c:v>
                </c:pt>
                <c:pt idx="243">
                  <c:v>74,806</c:v>
                </c:pt>
                <c:pt idx="244">
                  <c:v>74,933</c:v>
                </c:pt>
                <c:pt idx="245">
                  <c:v>75,203</c:v>
                </c:pt>
                <c:pt idx="246">
                  <c:v>75,966</c:v>
                </c:pt>
                <c:pt idx="247">
                  <c:v>76,092</c:v>
                </c:pt>
                <c:pt idx="248">
                  <c:v>76,514</c:v>
                </c:pt>
                <c:pt idx="249">
                  <c:v>76,936</c:v>
                </c:pt>
                <c:pt idx="250">
                  <c:v>76,983</c:v>
                </c:pt>
                <c:pt idx="251">
                  <c:v>77,173</c:v>
                </c:pt>
                <c:pt idx="252">
                  <c:v>77,310</c:v>
                </c:pt>
                <c:pt idx="253">
                  <c:v>77,513</c:v>
                </c:pt>
                <c:pt idx="254">
                  <c:v>78,428</c:v>
                </c:pt>
                <c:pt idx="255">
                  <c:v>78,740</c:v>
                </c:pt>
                <c:pt idx="256">
                  <c:v>79,076</c:v>
                </c:pt>
                <c:pt idx="257">
                  <c:v>80,304</c:v>
                </c:pt>
                <c:pt idx="258">
                  <c:v>80,637</c:v>
                </c:pt>
                <c:pt idx="259">
                  <c:v>80,894</c:v>
                </c:pt>
                <c:pt idx="260">
                  <c:v>82,959</c:v>
                </c:pt>
                <c:pt idx="261">
                  <c:v>84,369</c:v>
                </c:pt>
                <c:pt idx="262">
                  <c:v>84,419</c:v>
                </c:pt>
                <c:pt idx="263">
                  <c:v>84,506</c:v>
                </c:pt>
                <c:pt idx="264">
                  <c:v>84,752</c:v>
                </c:pt>
                <c:pt idx="265">
                  <c:v>86,815</c:v>
                </c:pt>
                <c:pt idx="266">
                  <c:v>86,894</c:v>
                </c:pt>
                <c:pt idx="267">
                  <c:v>87,330</c:v>
                </c:pt>
                <c:pt idx="268">
                  <c:v>87,960</c:v>
                </c:pt>
                <c:pt idx="269">
                  <c:v>89,219</c:v>
                </c:pt>
                <c:pt idx="270">
                  <c:v>90,109</c:v>
                </c:pt>
                <c:pt idx="271">
                  <c:v>92,688</c:v>
                </c:pt>
                <c:pt idx="272">
                  <c:v>93,003</c:v>
                </c:pt>
                <c:pt idx="273">
                  <c:v>94,393</c:v>
                </c:pt>
                <c:pt idx="274">
                  <c:v>94,567</c:v>
                </c:pt>
                <c:pt idx="275">
                  <c:v>94,994</c:v>
                </c:pt>
                <c:pt idx="276">
                  <c:v>95,104</c:v>
                </c:pt>
                <c:pt idx="277">
                  <c:v>95,310</c:v>
                </c:pt>
                <c:pt idx="278">
                  <c:v>95,450</c:v>
                </c:pt>
                <c:pt idx="279">
                  <c:v>96,550</c:v>
                </c:pt>
                <c:pt idx="280">
                  <c:v>96,577</c:v>
                </c:pt>
                <c:pt idx="281">
                  <c:v>97,093</c:v>
                </c:pt>
                <c:pt idx="282">
                  <c:v>98,030</c:v>
                </c:pt>
                <c:pt idx="283">
                  <c:v>98,386</c:v>
                </c:pt>
                <c:pt idx="284">
                  <c:v>98,443</c:v>
                </c:pt>
                <c:pt idx="285">
                  <c:v>98,753</c:v>
                </c:pt>
                <c:pt idx="286">
                  <c:v>100,450</c:v>
                </c:pt>
                <c:pt idx="287">
                  <c:v>100,463</c:v>
                </c:pt>
                <c:pt idx="288">
                  <c:v>100,635</c:v>
                </c:pt>
                <c:pt idx="289">
                  <c:v>100,935</c:v>
                </c:pt>
                <c:pt idx="290">
                  <c:v>102,065</c:v>
                </c:pt>
                <c:pt idx="291">
                  <c:v>102,597</c:v>
                </c:pt>
                <c:pt idx="292">
                  <c:v>103,099</c:v>
                </c:pt>
                <c:pt idx="293">
                  <c:v>103,250</c:v>
                </c:pt>
                <c:pt idx="294">
                  <c:v>103,884</c:v>
                </c:pt>
                <c:pt idx="295">
                  <c:v>103,921</c:v>
                </c:pt>
                <c:pt idx="296">
                  <c:v>104,100</c:v>
                </c:pt>
                <c:pt idx="297">
                  <c:v>105,615</c:v>
                </c:pt>
                <c:pt idx="298">
                  <c:v>105,820</c:v>
                </c:pt>
                <c:pt idx="299">
                  <c:v>105,881</c:v>
                </c:pt>
                <c:pt idx="300">
                  <c:v>106,341</c:v>
                </c:pt>
                <c:pt idx="301">
                  <c:v>106,781</c:v>
                </c:pt>
                <c:pt idx="302">
                  <c:v>106,947</c:v>
                </c:pt>
                <c:pt idx="303">
                  <c:v>106,969</c:v>
                </c:pt>
                <c:pt idx="304">
                  <c:v>106,981</c:v>
                </c:pt>
                <c:pt idx="305">
                  <c:v>107,121</c:v>
                </c:pt>
                <c:pt idx="306">
                  <c:v>107,559</c:v>
                </c:pt>
                <c:pt idx="307">
                  <c:v>107,664</c:v>
                </c:pt>
                <c:pt idx="308">
                  <c:v>107,898</c:v>
                </c:pt>
                <c:pt idx="309">
                  <c:v>107,910</c:v>
                </c:pt>
                <c:pt idx="310">
                  <c:v>108,382</c:v>
                </c:pt>
                <c:pt idx="311">
                  <c:v>108,414</c:v>
                </c:pt>
                <c:pt idx="312">
                  <c:v>108,740</c:v>
                </c:pt>
                <c:pt idx="313">
                  <c:v>108,929</c:v>
                </c:pt>
                <c:pt idx="314">
                  <c:v>109,218</c:v>
                </c:pt>
                <c:pt idx="315">
                  <c:v>109,284</c:v>
                </c:pt>
                <c:pt idx="316">
                  <c:v>109,643</c:v>
                </c:pt>
                <c:pt idx="317">
                  <c:v>109,809</c:v>
                </c:pt>
                <c:pt idx="318">
                  <c:v>110,113</c:v>
                </c:pt>
                <c:pt idx="319">
                  <c:v>110,362</c:v>
                </c:pt>
                <c:pt idx="320">
                  <c:v>110,486</c:v>
                </c:pt>
                <c:pt idx="321">
                  <c:v>111,316</c:v>
                </c:pt>
                <c:pt idx="322">
                  <c:v>111,360</c:v>
                </c:pt>
                <c:pt idx="323">
                  <c:v>112,014</c:v>
                </c:pt>
                <c:pt idx="324">
                  <c:v>112,366</c:v>
                </c:pt>
                <c:pt idx="325">
                  <c:v>112,369</c:v>
                </c:pt>
                <c:pt idx="326">
                  <c:v>112,538</c:v>
                </c:pt>
                <c:pt idx="327">
                  <c:v>112,942</c:v>
                </c:pt>
                <c:pt idx="328">
                  <c:v>113,170</c:v>
                </c:pt>
                <c:pt idx="329">
                  <c:v>113,212</c:v>
                </c:pt>
                <c:pt idx="330">
                  <c:v>113,590</c:v>
                </c:pt>
                <c:pt idx="331">
                  <c:v>113,679</c:v>
                </c:pt>
                <c:pt idx="332">
                  <c:v>114,616</c:v>
                </c:pt>
                <c:pt idx="333">
                  <c:v>114,736</c:v>
                </c:pt>
                <c:pt idx="334">
                  <c:v>115,190</c:v>
                </c:pt>
                <c:pt idx="335">
                  <c:v>115,193</c:v>
                </c:pt>
                <c:pt idx="336">
                  <c:v>115,584</c:v>
                </c:pt>
                <c:pt idx="337">
                  <c:v>115,833</c:v>
                </c:pt>
                <c:pt idx="338">
                  <c:v>116,858</c:v>
                </c:pt>
                <c:pt idx="339">
                  <c:v>116,930</c:v>
                </c:pt>
                <c:pt idx="340">
                  <c:v>117,183</c:v>
                </c:pt>
                <c:pt idx="341">
                  <c:v>117,389</c:v>
                </c:pt>
                <c:pt idx="342">
                  <c:v>117,455</c:v>
                </c:pt>
                <c:pt idx="343">
                  <c:v>117,526</c:v>
                </c:pt>
                <c:pt idx="344">
                  <c:v>117,645</c:v>
                </c:pt>
                <c:pt idx="345">
                  <c:v>118,260</c:v>
                </c:pt>
                <c:pt idx="346">
                  <c:v>118,824</c:v>
                </c:pt>
                <c:pt idx="347">
                  <c:v>119,069</c:v>
                </c:pt>
                <c:pt idx="348">
                  <c:v>119,075</c:v>
                </c:pt>
                <c:pt idx="349">
                  <c:v>119,701</c:v>
                </c:pt>
                <c:pt idx="350">
                  <c:v>119,810</c:v>
                </c:pt>
                <c:pt idx="351">
                  <c:v>123,232</c:v>
                </c:pt>
                <c:pt idx="352">
                  <c:v>123,264</c:v>
                </c:pt>
                <c:pt idx="353">
                  <c:v>123,325</c:v>
                </c:pt>
                <c:pt idx="354">
                  <c:v>123,557</c:v>
                </c:pt>
                <c:pt idx="355">
                  <c:v>123,983</c:v>
                </c:pt>
                <c:pt idx="356">
                  <c:v>125,813</c:v>
                </c:pt>
                <c:pt idx="357">
                  <c:v>128,355</c:v>
                </c:pt>
                <c:pt idx="358">
                  <c:v>131,483</c:v>
                </c:pt>
                <c:pt idx="359">
                  <c:v>132,098</c:v>
                </c:pt>
                <c:pt idx="360">
                  <c:v>134,211</c:v>
                </c:pt>
                <c:pt idx="361">
                  <c:v>136,977</c:v>
                </c:pt>
                <c:pt idx="362">
                  <c:v>137,573</c:v>
                </c:pt>
                <c:pt idx="363">
                  <c:v>137,726</c:v>
                </c:pt>
                <c:pt idx="364">
                  <c:v>140,169</c:v>
                </c:pt>
                <c:pt idx="365">
                  <c:v>141,669</c:v>
                </c:pt>
                <c:pt idx="366">
                  <c:v>144,509</c:v>
                </c:pt>
                <c:pt idx="367">
                  <c:v>144,833</c:v>
                </c:pt>
                <c:pt idx="368">
                  <c:v>147,458</c:v>
                </c:pt>
                <c:pt idx="369">
                  <c:v>148,496</c:v>
                </c:pt>
                <c:pt idx="370">
                  <c:v>151,054</c:v>
                </c:pt>
                <c:pt idx="371">
                  <c:v>151,983</c:v>
                </c:pt>
                <c:pt idx="372">
                  <c:v>153,647</c:v>
                </c:pt>
                <c:pt idx="373">
                  <c:v>154,837</c:v>
                </c:pt>
                <c:pt idx="374">
                  <c:v>155,006</c:v>
                </c:pt>
                <c:pt idx="375">
                  <c:v>155,756</c:v>
                </c:pt>
                <c:pt idx="376">
                  <c:v>161,660</c:v>
                </c:pt>
                <c:pt idx="377">
                  <c:v>162,244</c:v>
                </c:pt>
                <c:pt idx="378">
                  <c:v>166,423</c:v>
                </c:pt>
                <c:pt idx="379">
                  <c:v>172,164</c:v>
                </c:pt>
                <c:pt idx="380">
                  <c:v>173,824</c:v>
                </c:pt>
                <c:pt idx="381">
                  <c:v>177,904</c:v>
                </c:pt>
                <c:pt idx="382">
                  <c:v>178,490</c:v>
                </c:pt>
                <c:pt idx="383">
                  <c:v>182,934</c:v>
                </c:pt>
                <c:pt idx="384">
                  <c:v>184,444</c:v>
                </c:pt>
                <c:pt idx="385">
                  <c:v>187,879</c:v>
                </c:pt>
                <c:pt idx="386">
                  <c:v>188,711</c:v>
                </c:pt>
                <c:pt idx="387">
                  <c:v>190,520</c:v>
                </c:pt>
                <c:pt idx="388">
                  <c:v>191,628</c:v>
                </c:pt>
                <c:pt idx="389">
                  <c:v>193,400</c:v>
                </c:pt>
                <c:pt idx="390">
                  <c:v>196,103</c:v>
                </c:pt>
                <c:pt idx="391">
                  <c:v>196,665</c:v>
                </c:pt>
                <c:pt idx="392">
                  <c:v>196,893</c:v>
                </c:pt>
                <c:pt idx="393">
                  <c:v>197,129</c:v>
                </c:pt>
                <c:pt idx="394">
                  <c:v>198,172</c:v>
                </c:pt>
                <c:pt idx="395">
                  <c:v>212,187</c:v>
                </c:pt>
                <c:pt idx="396">
                  <c:v>215,896</c:v>
                </c:pt>
                <c:pt idx="397">
                  <c:v>220,660</c:v>
                </c:pt>
                <c:pt idx="398">
                  <c:v>221,281</c:v>
                </c:pt>
                <c:pt idx="399">
                  <c:v>224,425</c:v>
                </c:pt>
                <c:pt idx="400">
                  <c:v>224,669</c:v>
                </c:pt>
                <c:pt idx="401">
                  <c:v>228,330</c:v>
                </c:pt>
                <c:pt idx="402">
                  <c:v>229,033</c:v>
                </c:pt>
                <c:pt idx="403">
                  <c:v>232,382</c:v>
                </c:pt>
                <c:pt idx="404">
                  <c:v>233,286</c:v>
                </c:pt>
                <c:pt idx="405">
                  <c:v>233,380</c:v>
                </c:pt>
                <c:pt idx="406">
                  <c:v>233,727</c:v>
                </c:pt>
                <c:pt idx="407">
                  <c:v>235,148</c:v>
                </c:pt>
                <c:pt idx="408">
                  <c:v>238,053</c:v>
                </c:pt>
                <c:pt idx="409">
                  <c:v>239,896</c:v>
                </c:pt>
                <c:pt idx="410">
                  <c:v>240,782</c:v>
                </c:pt>
                <c:pt idx="411">
                  <c:v>241,850</c:v>
                </c:pt>
                <c:pt idx="412">
                  <c:v>243,255</c:v>
                </c:pt>
                <c:pt idx="413">
                  <c:v>284,780</c:v>
                </c:pt>
                <c:pt idx="414">
                  <c:v>286,373</c:v>
                </c:pt>
                <c:pt idx="415">
                  <c:v>286,517</c:v>
                </c:pt>
                <c:pt idx="416">
                  <c:v>292,628</c:v>
                </c:pt>
                <c:pt idx="417">
                  <c:v>293,282</c:v>
                </c:pt>
                <c:pt idx="418">
                  <c:v>297,580</c:v>
                </c:pt>
                <c:pt idx="419">
                  <c:v>303,548</c:v>
                </c:pt>
                <c:pt idx="420">
                  <c:v>305,910</c:v>
                </c:pt>
                <c:pt idx="421">
                  <c:v>307,542</c:v>
                </c:pt>
                <c:pt idx="422">
                  <c:v>309,149</c:v>
                </c:pt>
                <c:pt idx="423">
                  <c:v>313,612</c:v>
                </c:pt>
                <c:pt idx="424">
                  <c:v>314,583</c:v>
                </c:pt>
                <c:pt idx="425">
                  <c:v>321,095</c:v>
                </c:pt>
                <c:pt idx="426">
                  <c:v>321,298</c:v>
                </c:pt>
                <c:pt idx="427">
                  <c:v>323,659</c:v>
                </c:pt>
                <c:pt idx="428">
                  <c:v>323,833</c:v>
                </c:pt>
                <c:pt idx="429">
                  <c:v>336,300</c:v>
                </c:pt>
                <c:pt idx="430">
                  <c:v>344,377</c:v>
                </c:pt>
                <c:pt idx="431">
                  <c:v>365,860</c:v>
                </c:pt>
                <c:pt idx="432">
                  <c:v>366,737</c:v>
                </c:pt>
                <c:pt idx="433">
                  <c:v>376,007</c:v>
                </c:pt>
                <c:pt idx="434">
                  <c:v>385,210</c:v>
                </c:pt>
                <c:pt idx="435">
                  <c:v>400,137</c:v>
                </c:pt>
                <c:pt idx="436">
                  <c:v>410,066</c:v>
                </c:pt>
                <c:pt idx="437">
                  <c:v>412,590</c:v>
                </c:pt>
                <c:pt idx="438">
                  <c:v>414,173</c:v>
                </c:pt>
                <c:pt idx="439">
                  <c:v>424,865</c:v>
                </c:pt>
                <c:pt idx="440">
                  <c:v>427,459</c:v>
                </c:pt>
                <c:pt idx="441">
                  <c:v>429,397</c:v>
                </c:pt>
                <c:pt idx="442">
                  <c:v>433,804</c:v>
                </c:pt>
                <c:pt idx="443">
                  <c:v>443,967</c:v>
                </c:pt>
                <c:pt idx="444">
                  <c:v>456,260</c:v>
                </c:pt>
                <c:pt idx="445">
                  <c:v>475,978</c:v>
                </c:pt>
                <c:pt idx="446">
                  <c:v>493,015</c:v>
                </c:pt>
                <c:pt idx="447">
                  <c:v>514,243</c:v>
                </c:pt>
                <c:pt idx="448">
                  <c:v>520,524</c:v>
                </c:pt>
                <c:pt idx="449">
                  <c:v>543,486</c:v>
                </c:pt>
                <c:pt idx="450">
                  <c:v>555,581</c:v>
                </c:pt>
                <c:pt idx="451">
                  <c:v>581,946</c:v>
                </c:pt>
                <c:pt idx="452">
                  <c:v>613,671</c:v>
                </c:pt>
                <c:pt idx="453">
                  <c:v>626,696</c:v>
                </c:pt>
                <c:pt idx="454">
                  <c:v>650,707</c:v>
                </c:pt>
                <c:pt idx="455">
                  <c:v>659,321</c:v>
                </c:pt>
                <c:pt idx="456">
                  <c:v>673,571</c:v>
                </c:pt>
                <c:pt idx="457">
                  <c:v>680,993</c:v>
                </c:pt>
              </c:strCache>
            </c:strRef>
          </c:cat>
          <c:val>
            <c:numRef>
              <c:f>'Pivot Population 85+'!$C$4:$C$461</c:f>
              <c:numCache>
                <c:formatCode>#,##0</c:formatCode>
                <c:ptCount val="458"/>
                <c:pt idx="0">
                  <c:v>4236</c:v>
                </c:pt>
                <c:pt idx="1">
                  <c:v>4336</c:v>
                </c:pt>
                <c:pt idx="2">
                  <c:v>4435</c:v>
                </c:pt>
                <c:pt idx="3">
                  <c:v>4652</c:v>
                </c:pt>
                <c:pt idx="4">
                  <c:v>5102</c:v>
                </c:pt>
                <c:pt idx="5">
                  <c:v>5165</c:v>
                </c:pt>
                <c:pt idx="6">
                  <c:v>5948</c:v>
                </c:pt>
                <c:pt idx="7">
                  <c:v>6285</c:v>
                </c:pt>
                <c:pt idx="8">
                  <c:v>6814</c:v>
                </c:pt>
                <c:pt idx="9">
                  <c:v>7753</c:v>
                </c:pt>
                <c:pt idx="10">
                  <c:v>7875</c:v>
                </c:pt>
                <c:pt idx="11">
                  <c:v>7891</c:v>
                </c:pt>
                <c:pt idx="12">
                  <c:v>8173</c:v>
                </c:pt>
                <c:pt idx="13">
                  <c:v>8313</c:v>
                </c:pt>
                <c:pt idx="14">
                  <c:v>8427</c:v>
                </c:pt>
                <c:pt idx="15">
                  <c:v>8443</c:v>
                </c:pt>
                <c:pt idx="16">
                  <c:v>8723</c:v>
                </c:pt>
                <c:pt idx="17">
                  <c:v>9074</c:v>
                </c:pt>
                <c:pt idx="18">
                  <c:v>9351</c:v>
                </c:pt>
                <c:pt idx="19">
                  <c:v>9910</c:v>
                </c:pt>
                <c:pt idx="20">
                  <c:v>9991</c:v>
                </c:pt>
                <c:pt idx="21">
                  <c:v>10004</c:v>
                </c:pt>
                <c:pt idx="22">
                  <c:v>10098</c:v>
                </c:pt>
                <c:pt idx="23">
                  <c:v>10140</c:v>
                </c:pt>
                <c:pt idx="24">
                  <c:v>10298</c:v>
                </c:pt>
                <c:pt idx="25">
                  <c:v>10360</c:v>
                </c:pt>
                <c:pt idx="26">
                  <c:v>10489</c:v>
                </c:pt>
                <c:pt idx="27">
                  <c:v>10517</c:v>
                </c:pt>
                <c:pt idx="28">
                  <c:v>10545</c:v>
                </c:pt>
                <c:pt idx="29">
                  <c:v>10734</c:v>
                </c:pt>
                <c:pt idx="30">
                  <c:v>11129</c:v>
                </c:pt>
                <c:pt idx="31">
                  <c:v>11293</c:v>
                </c:pt>
                <c:pt idx="32">
                  <c:v>11398</c:v>
                </c:pt>
                <c:pt idx="33">
                  <c:v>11704</c:v>
                </c:pt>
                <c:pt idx="34">
                  <c:v>12397</c:v>
                </c:pt>
                <c:pt idx="35">
                  <c:v>12843</c:v>
                </c:pt>
                <c:pt idx="36">
                  <c:v>13115</c:v>
                </c:pt>
                <c:pt idx="37">
                  <c:v>13538</c:v>
                </c:pt>
                <c:pt idx="38">
                  <c:v>13683</c:v>
                </c:pt>
                <c:pt idx="39">
                  <c:v>13751</c:v>
                </c:pt>
                <c:pt idx="40">
                  <c:v>13957</c:v>
                </c:pt>
                <c:pt idx="41">
                  <c:v>14518</c:v>
                </c:pt>
                <c:pt idx="42">
                  <c:v>14678</c:v>
                </c:pt>
                <c:pt idx="43">
                  <c:v>15062</c:v>
                </c:pt>
                <c:pt idx="44">
                  <c:v>15198</c:v>
                </c:pt>
                <c:pt idx="45">
                  <c:v>15286</c:v>
                </c:pt>
                <c:pt idx="46">
                  <c:v>15394</c:v>
                </c:pt>
                <c:pt idx="47">
                  <c:v>15492</c:v>
                </c:pt>
                <c:pt idx="48">
                  <c:v>15623</c:v>
                </c:pt>
                <c:pt idx="49">
                  <c:v>15633</c:v>
                </c:pt>
                <c:pt idx="50">
                  <c:v>16086</c:v>
                </c:pt>
                <c:pt idx="51">
                  <c:v>16114</c:v>
                </c:pt>
                <c:pt idx="52">
                  <c:v>16153</c:v>
                </c:pt>
                <c:pt idx="53">
                  <c:v>16164</c:v>
                </c:pt>
                <c:pt idx="54">
                  <c:v>16312</c:v>
                </c:pt>
                <c:pt idx="55">
                  <c:v>16356</c:v>
                </c:pt>
                <c:pt idx="56">
                  <c:v>16720</c:v>
                </c:pt>
                <c:pt idx="57">
                  <c:v>16927</c:v>
                </c:pt>
                <c:pt idx="58">
                  <c:v>17043</c:v>
                </c:pt>
                <c:pt idx="59">
                  <c:v>17219</c:v>
                </c:pt>
                <c:pt idx="60">
                  <c:v>17600</c:v>
                </c:pt>
                <c:pt idx="61">
                  <c:v>17744</c:v>
                </c:pt>
                <c:pt idx="62">
                  <c:v>17790</c:v>
                </c:pt>
                <c:pt idx="63">
                  <c:v>17813</c:v>
                </c:pt>
                <c:pt idx="64">
                  <c:v>17838</c:v>
                </c:pt>
                <c:pt idx="65">
                  <c:v>17961</c:v>
                </c:pt>
                <c:pt idx="66">
                  <c:v>17962</c:v>
                </c:pt>
                <c:pt idx="67">
                  <c:v>18319</c:v>
                </c:pt>
                <c:pt idx="68">
                  <c:v>18412</c:v>
                </c:pt>
                <c:pt idx="69">
                  <c:v>18564</c:v>
                </c:pt>
                <c:pt idx="70">
                  <c:v>19330</c:v>
                </c:pt>
                <c:pt idx="71">
                  <c:v>19836</c:v>
                </c:pt>
                <c:pt idx="72">
                  <c:v>21962</c:v>
                </c:pt>
                <c:pt idx="73">
                  <c:v>22954</c:v>
                </c:pt>
                <c:pt idx="74">
                  <c:v>23057</c:v>
                </c:pt>
                <c:pt idx="75">
                  <c:v>23227</c:v>
                </c:pt>
                <c:pt idx="76">
                  <c:v>23351</c:v>
                </c:pt>
                <c:pt idx="77">
                  <c:v>23462</c:v>
                </c:pt>
                <c:pt idx="78">
                  <c:v>23556</c:v>
                </c:pt>
                <c:pt idx="79">
                  <c:v>23772</c:v>
                </c:pt>
                <c:pt idx="80">
                  <c:v>23995</c:v>
                </c:pt>
                <c:pt idx="81">
                  <c:v>24008</c:v>
                </c:pt>
                <c:pt idx="82">
                  <c:v>24160</c:v>
                </c:pt>
                <c:pt idx="83">
                  <c:v>24205</c:v>
                </c:pt>
                <c:pt idx="84">
                  <c:v>24351</c:v>
                </c:pt>
                <c:pt idx="85">
                  <c:v>24355</c:v>
                </c:pt>
                <c:pt idx="86">
                  <c:v>24373</c:v>
                </c:pt>
                <c:pt idx="87">
                  <c:v>24563</c:v>
                </c:pt>
                <c:pt idx="88">
                  <c:v>24574</c:v>
                </c:pt>
                <c:pt idx="89">
                  <c:v>24949</c:v>
                </c:pt>
                <c:pt idx="90">
                  <c:v>25089</c:v>
                </c:pt>
                <c:pt idx="91">
                  <c:v>25895</c:v>
                </c:pt>
                <c:pt idx="92">
                  <c:v>26119</c:v>
                </c:pt>
                <c:pt idx="93">
                  <c:v>26946</c:v>
                </c:pt>
                <c:pt idx="94">
                  <c:v>27042</c:v>
                </c:pt>
                <c:pt idx="95">
                  <c:v>27168</c:v>
                </c:pt>
                <c:pt idx="96">
                  <c:v>27204</c:v>
                </c:pt>
                <c:pt idx="97">
                  <c:v>27237</c:v>
                </c:pt>
                <c:pt idx="98">
                  <c:v>27330</c:v>
                </c:pt>
                <c:pt idx="99">
                  <c:v>27652</c:v>
                </c:pt>
                <c:pt idx="100">
                  <c:v>27808</c:v>
                </c:pt>
                <c:pt idx="101">
                  <c:v>56566</c:v>
                </c:pt>
                <c:pt idx="102">
                  <c:v>28299</c:v>
                </c:pt>
                <c:pt idx="103">
                  <c:v>28304</c:v>
                </c:pt>
                <c:pt idx="104">
                  <c:v>28550</c:v>
                </c:pt>
                <c:pt idx="105">
                  <c:v>28675</c:v>
                </c:pt>
                <c:pt idx="106">
                  <c:v>28780</c:v>
                </c:pt>
                <c:pt idx="107">
                  <c:v>28941</c:v>
                </c:pt>
                <c:pt idx="108">
                  <c:v>29189</c:v>
                </c:pt>
                <c:pt idx="109">
                  <c:v>29264</c:v>
                </c:pt>
                <c:pt idx="110">
                  <c:v>29284</c:v>
                </c:pt>
                <c:pt idx="111">
                  <c:v>29333</c:v>
                </c:pt>
                <c:pt idx="112">
                  <c:v>29529</c:v>
                </c:pt>
                <c:pt idx="113">
                  <c:v>29633</c:v>
                </c:pt>
                <c:pt idx="114">
                  <c:v>29664</c:v>
                </c:pt>
                <c:pt idx="115">
                  <c:v>29702</c:v>
                </c:pt>
                <c:pt idx="116">
                  <c:v>29875</c:v>
                </c:pt>
                <c:pt idx="117">
                  <c:v>30176</c:v>
                </c:pt>
                <c:pt idx="118">
                  <c:v>30638</c:v>
                </c:pt>
                <c:pt idx="119">
                  <c:v>31093</c:v>
                </c:pt>
                <c:pt idx="120">
                  <c:v>31606</c:v>
                </c:pt>
                <c:pt idx="121">
                  <c:v>31744</c:v>
                </c:pt>
                <c:pt idx="122">
                  <c:v>31783</c:v>
                </c:pt>
                <c:pt idx="123">
                  <c:v>31808</c:v>
                </c:pt>
                <c:pt idx="124">
                  <c:v>31944</c:v>
                </c:pt>
                <c:pt idx="125">
                  <c:v>32037</c:v>
                </c:pt>
                <c:pt idx="126">
                  <c:v>32267</c:v>
                </c:pt>
                <c:pt idx="127">
                  <c:v>32369</c:v>
                </c:pt>
                <c:pt idx="128">
                  <c:v>32581</c:v>
                </c:pt>
                <c:pt idx="129">
                  <c:v>32615</c:v>
                </c:pt>
                <c:pt idx="130">
                  <c:v>32711</c:v>
                </c:pt>
                <c:pt idx="131">
                  <c:v>32746</c:v>
                </c:pt>
                <c:pt idx="132">
                  <c:v>32751</c:v>
                </c:pt>
                <c:pt idx="133">
                  <c:v>32887</c:v>
                </c:pt>
                <c:pt idx="134">
                  <c:v>33117</c:v>
                </c:pt>
                <c:pt idx="135">
                  <c:v>33444</c:v>
                </c:pt>
                <c:pt idx="136">
                  <c:v>33599</c:v>
                </c:pt>
                <c:pt idx="137">
                  <c:v>33634</c:v>
                </c:pt>
                <c:pt idx="138">
                  <c:v>33856</c:v>
                </c:pt>
                <c:pt idx="139">
                  <c:v>33937</c:v>
                </c:pt>
                <c:pt idx="140">
                  <c:v>34000</c:v>
                </c:pt>
                <c:pt idx="141">
                  <c:v>34062</c:v>
                </c:pt>
                <c:pt idx="142">
                  <c:v>34111</c:v>
                </c:pt>
                <c:pt idx="143">
                  <c:v>34215</c:v>
                </c:pt>
                <c:pt idx="144">
                  <c:v>34293</c:v>
                </c:pt>
                <c:pt idx="145">
                  <c:v>34620</c:v>
                </c:pt>
                <c:pt idx="146">
                  <c:v>35082</c:v>
                </c:pt>
                <c:pt idx="147">
                  <c:v>35096</c:v>
                </c:pt>
                <c:pt idx="148">
                  <c:v>35186</c:v>
                </c:pt>
                <c:pt idx="149">
                  <c:v>35471</c:v>
                </c:pt>
                <c:pt idx="150">
                  <c:v>35491</c:v>
                </c:pt>
                <c:pt idx="151">
                  <c:v>35785</c:v>
                </c:pt>
                <c:pt idx="152">
                  <c:v>35813</c:v>
                </c:pt>
                <c:pt idx="153">
                  <c:v>36167</c:v>
                </c:pt>
                <c:pt idx="154">
                  <c:v>36239</c:v>
                </c:pt>
                <c:pt idx="155">
                  <c:v>36782</c:v>
                </c:pt>
                <c:pt idx="156">
                  <c:v>37024</c:v>
                </c:pt>
                <c:pt idx="157">
                  <c:v>37282</c:v>
                </c:pt>
                <c:pt idx="158">
                  <c:v>37852</c:v>
                </c:pt>
                <c:pt idx="159">
                  <c:v>37991</c:v>
                </c:pt>
                <c:pt idx="160">
                  <c:v>38309</c:v>
                </c:pt>
                <c:pt idx="161">
                  <c:v>38979</c:v>
                </c:pt>
                <c:pt idx="162">
                  <c:v>40469</c:v>
                </c:pt>
                <c:pt idx="163">
                  <c:v>41357</c:v>
                </c:pt>
                <c:pt idx="164">
                  <c:v>41661</c:v>
                </c:pt>
                <c:pt idx="165">
                  <c:v>42920</c:v>
                </c:pt>
                <c:pt idx="166">
                  <c:v>43418</c:v>
                </c:pt>
                <c:pt idx="167">
                  <c:v>43739</c:v>
                </c:pt>
                <c:pt idx="168">
                  <c:v>44535</c:v>
                </c:pt>
                <c:pt idx="169">
                  <c:v>44624</c:v>
                </c:pt>
                <c:pt idx="170">
                  <c:v>46624</c:v>
                </c:pt>
                <c:pt idx="171">
                  <c:v>47469</c:v>
                </c:pt>
                <c:pt idx="172">
                  <c:v>48292</c:v>
                </c:pt>
                <c:pt idx="173">
                  <c:v>48747</c:v>
                </c:pt>
                <c:pt idx="174">
                  <c:v>48819</c:v>
                </c:pt>
                <c:pt idx="175">
                  <c:v>48881</c:v>
                </c:pt>
                <c:pt idx="176">
                  <c:v>49972</c:v>
                </c:pt>
                <c:pt idx="177">
                  <c:v>51022</c:v>
                </c:pt>
                <c:pt idx="178">
                  <c:v>51335</c:v>
                </c:pt>
                <c:pt idx="179">
                  <c:v>55140</c:v>
                </c:pt>
                <c:pt idx="180">
                  <c:v>55169</c:v>
                </c:pt>
                <c:pt idx="181">
                  <c:v>55861</c:v>
                </c:pt>
                <c:pt idx="182">
                  <c:v>55898</c:v>
                </c:pt>
                <c:pt idx="183">
                  <c:v>56069</c:v>
                </c:pt>
                <c:pt idx="184">
                  <c:v>56242</c:v>
                </c:pt>
                <c:pt idx="185">
                  <c:v>56357</c:v>
                </c:pt>
                <c:pt idx="186">
                  <c:v>57115</c:v>
                </c:pt>
                <c:pt idx="187">
                  <c:v>57322</c:v>
                </c:pt>
                <c:pt idx="188">
                  <c:v>57536</c:v>
                </c:pt>
                <c:pt idx="189">
                  <c:v>58710</c:v>
                </c:pt>
                <c:pt idx="190">
                  <c:v>60181</c:v>
                </c:pt>
                <c:pt idx="191">
                  <c:v>60381</c:v>
                </c:pt>
                <c:pt idx="192">
                  <c:v>60628</c:v>
                </c:pt>
                <c:pt idx="193">
                  <c:v>60731</c:v>
                </c:pt>
                <c:pt idx="194">
                  <c:v>60898</c:v>
                </c:pt>
                <c:pt idx="195">
                  <c:v>61174</c:v>
                </c:pt>
                <c:pt idx="196">
                  <c:v>61568</c:v>
                </c:pt>
                <c:pt idx="197">
                  <c:v>62424</c:v>
                </c:pt>
                <c:pt idx="198">
                  <c:v>62575</c:v>
                </c:pt>
                <c:pt idx="199">
                  <c:v>62985</c:v>
                </c:pt>
                <c:pt idx="200">
                  <c:v>63182</c:v>
                </c:pt>
                <c:pt idx="201">
                  <c:v>63600</c:v>
                </c:pt>
                <c:pt idx="202">
                  <c:v>63745</c:v>
                </c:pt>
                <c:pt idx="203">
                  <c:v>64764</c:v>
                </c:pt>
                <c:pt idx="204">
                  <c:v>64959</c:v>
                </c:pt>
                <c:pt idx="205">
                  <c:v>65022</c:v>
                </c:pt>
                <c:pt idx="206">
                  <c:v>65283</c:v>
                </c:pt>
                <c:pt idx="207">
                  <c:v>65584</c:v>
                </c:pt>
                <c:pt idx="208">
                  <c:v>65731</c:v>
                </c:pt>
                <c:pt idx="209">
                  <c:v>65747</c:v>
                </c:pt>
                <c:pt idx="210">
                  <c:v>65818</c:v>
                </c:pt>
                <c:pt idx="211">
                  <c:v>66026</c:v>
                </c:pt>
                <c:pt idx="212">
                  <c:v>67110</c:v>
                </c:pt>
                <c:pt idx="213">
                  <c:v>67411</c:v>
                </c:pt>
                <c:pt idx="214">
                  <c:v>67506</c:v>
                </c:pt>
                <c:pt idx="215">
                  <c:v>67781</c:v>
                </c:pt>
                <c:pt idx="216">
                  <c:v>67884</c:v>
                </c:pt>
                <c:pt idx="217">
                  <c:v>68236</c:v>
                </c:pt>
                <c:pt idx="218">
                  <c:v>68462</c:v>
                </c:pt>
                <c:pt idx="219">
                  <c:v>68823</c:v>
                </c:pt>
                <c:pt idx="220">
                  <c:v>68869</c:v>
                </c:pt>
                <c:pt idx="221">
                  <c:v>68936</c:v>
                </c:pt>
                <c:pt idx="222">
                  <c:v>69100</c:v>
                </c:pt>
                <c:pt idx="223">
                  <c:v>69297</c:v>
                </c:pt>
                <c:pt idx="224">
                  <c:v>69580</c:v>
                </c:pt>
                <c:pt idx="225">
                  <c:v>69698</c:v>
                </c:pt>
                <c:pt idx="226">
                  <c:v>69804</c:v>
                </c:pt>
                <c:pt idx="227">
                  <c:v>69877</c:v>
                </c:pt>
                <c:pt idx="228">
                  <c:v>70433</c:v>
                </c:pt>
                <c:pt idx="229">
                  <c:v>70757</c:v>
                </c:pt>
                <c:pt idx="230">
                  <c:v>71143</c:v>
                </c:pt>
                <c:pt idx="231">
                  <c:v>71959</c:v>
                </c:pt>
                <c:pt idx="232">
                  <c:v>72045</c:v>
                </c:pt>
                <c:pt idx="233">
                  <c:v>72428</c:v>
                </c:pt>
                <c:pt idx="234">
                  <c:v>72594</c:v>
                </c:pt>
                <c:pt idx="235">
                  <c:v>73084</c:v>
                </c:pt>
                <c:pt idx="236">
                  <c:v>73572</c:v>
                </c:pt>
                <c:pt idx="237">
                  <c:v>73678</c:v>
                </c:pt>
                <c:pt idx="238">
                  <c:v>73805</c:v>
                </c:pt>
                <c:pt idx="239">
                  <c:v>73891</c:v>
                </c:pt>
                <c:pt idx="240">
                  <c:v>74147</c:v>
                </c:pt>
                <c:pt idx="241">
                  <c:v>74219</c:v>
                </c:pt>
                <c:pt idx="242">
                  <c:v>74327</c:v>
                </c:pt>
                <c:pt idx="243">
                  <c:v>74806</c:v>
                </c:pt>
                <c:pt idx="244">
                  <c:v>74933</c:v>
                </c:pt>
                <c:pt idx="245">
                  <c:v>75203</c:v>
                </c:pt>
                <c:pt idx="246">
                  <c:v>75966</c:v>
                </c:pt>
                <c:pt idx="247">
                  <c:v>76092</c:v>
                </c:pt>
                <c:pt idx="248">
                  <c:v>76514</c:v>
                </c:pt>
                <c:pt idx="249">
                  <c:v>76936</c:v>
                </c:pt>
                <c:pt idx="250">
                  <c:v>76983</c:v>
                </c:pt>
                <c:pt idx="251">
                  <c:v>77173</c:v>
                </c:pt>
                <c:pt idx="252">
                  <c:v>77310</c:v>
                </c:pt>
                <c:pt idx="253">
                  <c:v>77513</c:v>
                </c:pt>
                <c:pt idx="254">
                  <c:v>78428</c:v>
                </c:pt>
                <c:pt idx="255">
                  <c:v>78740</c:v>
                </c:pt>
                <c:pt idx="256">
                  <c:v>79076</c:v>
                </c:pt>
                <c:pt idx="257">
                  <c:v>80304</c:v>
                </c:pt>
                <c:pt idx="258">
                  <c:v>80637</c:v>
                </c:pt>
                <c:pt idx="259">
                  <c:v>80894</c:v>
                </c:pt>
                <c:pt idx="260">
                  <c:v>82959</c:v>
                </c:pt>
                <c:pt idx="261">
                  <c:v>84369</c:v>
                </c:pt>
                <c:pt idx="262">
                  <c:v>84419</c:v>
                </c:pt>
                <c:pt idx="263">
                  <c:v>84506</c:v>
                </c:pt>
                <c:pt idx="264">
                  <c:v>84752</c:v>
                </c:pt>
                <c:pt idx="265">
                  <c:v>86815</c:v>
                </c:pt>
                <c:pt idx="266">
                  <c:v>86894</c:v>
                </c:pt>
                <c:pt idx="267">
                  <c:v>87330</c:v>
                </c:pt>
                <c:pt idx="268">
                  <c:v>87960</c:v>
                </c:pt>
                <c:pt idx="269">
                  <c:v>89219</c:v>
                </c:pt>
                <c:pt idx="270">
                  <c:v>90109</c:v>
                </c:pt>
                <c:pt idx="271">
                  <c:v>92688</c:v>
                </c:pt>
                <c:pt idx="272">
                  <c:v>93003</c:v>
                </c:pt>
                <c:pt idx="273">
                  <c:v>94393</c:v>
                </c:pt>
                <c:pt idx="274">
                  <c:v>94567</c:v>
                </c:pt>
                <c:pt idx="275">
                  <c:v>94994</c:v>
                </c:pt>
                <c:pt idx="276">
                  <c:v>95104</c:v>
                </c:pt>
                <c:pt idx="277">
                  <c:v>95310</c:v>
                </c:pt>
                <c:pt idx="278">
                  <c:v>95450</c:v>
                </c:pt>
                <c:pt idx="279">
                  <c:v>96550</c:v>
                </c:pt>
                <c:pt idx="280">
                  <c:v>96577</c:v>
                </c:pt>
                <c:pt idx="281">
                  <c:v>97093</c:v>
                </c:pt>
                <c:pt idx="282">
                  <c:v>98030</c:v>
                </c:pt>
                <c:pt idx="283">
                  <c:v>98386</c:v>
                </c:pt>
                <c:pt idx="284">
                  <c:v>98443</c:v>
                </c:pt>
                <c:pt idx="285">
                  <c:v>98753</c:v>
                </c:pt>
                <c:pt idx="286">
                  <c:v>100450</c:v>
                </c:pt>
                <c:pt idx="287">
                  <c:v>100463</c:v>
                </c:pt>
                <c:pt idx="288">
                  <c:v>100635</c:v>
                </c:pt>
                <c:pt idx="289">
                  <c:v>100935</c:v>
                </c:pt>
                <c:pt idx="290">
                  <c:v>102065</c:v>
                </c:pt>
                <c:pt idx="291">
                  <c:v>102597</c:v>
                </c:pt>
                <c:pt idx="292">
                  <c:v>103099</c:v>
                </c:pt>
                <c:pt idx="293">
                  <c:v>103250</c:v>
                </c:pt>
                <c:pt idx="294">
                  <c:v>103884</c:v>
                </c:pt>
                <c:pt idx="295">
                  <c:v>103921</c:v>
                </c:pt>
                <c:pt idx="296">
                  <c:v>104100</c:v>
                </c:pt>
                <c:pt idx="297">
                  <c:v>105615</c:v>
                </c:pt>
                <c:pt idx="298">
                  <c:v>105820</c:v>
                </c:pt>
                <c:pt idx="299">
                  <c:v>105881</c:v>
                </c:pt>
                <c:pt idx="300">
                  <c:v>106341</c:v>
                </c:pt>
                <c:pt idx="301">
                  <c:v>106781</c:v>
                </c:pt>
                <c:pt idx="302">
                  <c:v>106947</c:v>
                </c:pt>
                <c:pt idx="303">
                  <c:v>106969</c:v>
                </c:pt>
                <c:pt idx="304">
                  <c:v>106981</c:v>
                </c:pt>
                <c:pt idx="305">
                  <c:v>107121</c:v>
                </c:pt>
                <c:pt idx="306">
                  <c:v>107559</c:v>
                </c:pt>
                <c:pt idx="307">
                  <c:v>107664</c:v>
                </c:pt>
                <c:pt idx="308">
                  <c:v>107898</c:v>
                </c:pt>
                <c:pt idx="309">
                  <c:v>107910</c:v>
                </c:pt>
                <c:pt idx="310">
                  <c:v>108382</c:v>
                </c:pt>
                <c:pt idx="311">
                  <c:v>108414</c:v>
                </c:pt>
                <c:pt idx="312">
                  <c:v>108740</c:v>
                </c:pt>
                <c:pt idx="313">
                  <c:v>108929</c:v>
                </c:pt>
                <c:pt idx="314">
                  <c:v>109218</c:v>
                </c:pt>
                <c:pt idx="315">
                  <c:v>109284</c:v>
                </c:pt>
                <c:pt idx="316">
                  <c:v>109643</c:v>
                </c:pt>
                <c:pt idx="317">
                  <c:v>109809</c:v>
                </c:pt>
                <c:pt idx="318">
                  <c:v>110113</c:v>
                </c:pt>
                <c:pt idx="319">
                  <c:v>110362</c:v>
                </c:pt>
                <c:pt idx="320">
                  <c:v>110486</c:v>
                </c:pt>
                <c:pt idx="321">
                  <c:v>111316</c:v>
                </c:pt>
                <c:pt idx="322">
                  <c:v>111360</c:v>
                </c:pt>
                <c:pt idx="323">
                  <c:v>112014</c:v>
                </c:pt>
                <c:pt idx="324">
                  <c:v>112366</c:v>
                </c:pt>
                <c:pt idx="325">
                  <c:v>112369</c:v>
                </c:pt>
                <c:pt idx="326">
                  <c:v>112538</c:v>
                </c:pt>
                <c:pt idx="327">
                  <c:v>112942</c:v>
                </c:pt>
                <c:pt idx="328">
                  <c:v>113170</c:v>
                </c:pt>
                <c:pt idx="329">
                  <c:v>113212</c:v>
                </c:pt>
                <c:pt idx="330">
                  <c:v>113590</c:v>
                </c:pt>
                <c:pt idx="331">
                  <c:v>113679</c:v>
                </c:pt>
                <c:pt idx="332">
                  <c:v>114616</c:v>
                </c:pt>
                <c:pt idx="333">
                  <c:v>114736</c:v>
                </c:pt>
                <c:pt idx="334">
                  <c:v>115190</c:v>
                </c:pt>
                <c:pt idx="335">
                  <c:v>115193</c:v>
                </c:pt>
                <c:pt idx="336">
                  <c:v>115584</c:v>
                </c:pt>
                <c:pt idx="337">
                  <c:v>115833</c:v>
                </c:pt>
                <c:pt idx="338">
                  <c:v>116858</c:v>
                </c:pt>
                <c:pt idx="339">
                  <c:v>116930</c:v>
                </c:pt>
                <c:pt idx="340">
                  <c:v>117183</c:v>
                </c:pt>
                <c:pt idx="341">
                  <c:v>117389</c:v>
                </c:pt>
                <c:pt idx="342">
                  <c:v>117455</c:v>
                </c:pt>
                <c:pt idx="343">
                  <c:v>117526</c:v>
                </c:pt>
                <c:pt idx="344">
                  <c:v>117645</c:v>
                </c:pt>
                <c:pt idx="345">
                  <c:v>118260</c:v>
                </c:pt>
                <c:pt idx="346">
                  <c:v>118824</c:v>
                </c:pt>
                <c:pt idx="347">
                  <c:v>119069</c:v>
                </c:pt>
                <c:pt idx="348">
                  <c:v>119075</c:v>
                </c:pt>
                <c:pt idx="349">
                  <c:v>119701</c:v>
                </c:pt>
                <c:pt idx="350">
                  <c:v>119810</c:v>
                </c:pt>
                <c:pt idx="351">
                  <c:v>123232</c:v>
                </c:pt>
                <c:pt idx="352">
                  <c:v>123264</c:v>
                </c:pt>
                <c:pt idx="353">
                  <c:v>123325</c:v>
                </c:pt>
                <c:pt idx="354">
                  <c:v>123557</c:v>
                </c:pt>
                <c:pt idx="355">
                  <c:v>123983</c:v>
                </c:pt>
                <c:pt idx="356">
                  <c:v>125813</c:v>
                </c:pt>
                <c:pt idx="357">
                  <c:v>128355</c:v>
                </c:pt>
                <c:pt idx="358">
                  <c:v>131483</c:v>
                </c:pt>
                <c:pt idx="359">
                  <c:v>132098</c:v>
                </c:pt>
                <c:pt idx="360">
                  <c:v>134211</c:v>
                </c:pt>
                <c:pt idx="361">
                  <c:v>136977</c:v>
                </c:pt>
                <c:pt idx="362">
                  <c:v>137573</c:v>
                </c:pt>
                <c:pt idx="363">
                  <c:v>137726</c:v>
                </c:pt>
                <c:pt idx="364">
                  <c:v>140169</c:v>
                </c:pt>
                <c:pt idx="365">
                  <c:v>141669</c:v>
                </c:pt>
                <c:pt idx="366">
                  <c:v>144509</c:v>
                </c:pt>
                <c:pt idx="367">
                  <c:v>144833</c:v>
                </c:pt>
                <c:pt idx="368">
                  <c:v>147458</c:v>
                </c:pt>
                <c:pt idx="369">
                  <c:v>148496</c:v>
                </c:pt>
                <c:pt idx="370">
                  <c:v>151054</c:v>
                </c:pt>
                <c:pt idx="371">
                  <c:v>151983</c:v>
                </c:pt>
                <c:pt idx="372">
                  <c:v>153647</c:v>
                </c:pt>
                <c:pt idx="373">
                  <c:v>154837</c:v>
                </c:pt>
                <c:pt idx="374">
                  <c:v>155006</c:v>
                </c:pt>
                <c:pt idx="375">
                  <c:v>155756</c:v>
                </c:pt>
                <c:pt idx="376">
                  <c:v>161660</c:v>
                </c:pt>
                <c:pt idx="377">
                  <c:v>162244</c:v>
                </c:pt>
                <c:pt idx="378">
                  <c:v>166423</c:v>
                </c:pt>
                <c:pt idx="379">
                  <c:v>172164</c:v>
                </c:pt>
                <c:pt idx="380">
                  <c:v>173824</c:v>
                </c:pt>
                <c:pt idx="381">
                  <c:v>177904</c:v>
                </c:pt>
                <c:pt idx="382">
                  <c:v>178490</c:v>
                </c:pt>
                <c:pt idx="383">
                  <c:v>182934</c:v>
                </c:pt>
                <c:pt idx="384">
                  <c:v>184444</c:v>
                </c:pt>
                <c:pt idx="385">
                  <c:v>187879</c:v>
                </c:pt>
                <c:pt idx="386">
                  <c:v>188711</c:v>
                </c:pt>
                <c:pt idx="387">
                  <c:v>190520</c:v>
                </c:pt>
                <c:pt idx="388">
                  <c:v>191628</c:v>
                </c:pt>
                <c:pt idx="389">
                  <c:v>193400</c:v>
                </c:pt>
                <c:pt idx="390">
                  <c:v>196103</c:v>
                </c:pt>
                <c:pt idx="391">
                  <c:v>196665</c:v>
                </c:pt>
                <c:pt idx="392">
                  <c:v>196893</c:v>
                </c:pt>
                <c:pt idx="393">
                  <c:v>197129</c:v>
                </c:pt>
                <c:pt idx="394">
                  <c:v>198172</c:v>
                </c:pt>
                <c:pt idx="395">
                  <c:v>212187</c:v>
                </c:pt>
                <c:pt idx="396">
                  <c:v>215896</c:v>
                </c:pt>
                <c:pt idx="397">
                  <c:v>220660</c:v>
                </c:pt>
                <c:pt idx="398">
                  <c:v>221281</c:v>
                </c:pt>
                <c:pt idx="399">
                  <c:v>224425</c:v>
                </c:pt>
                <c:pt idx="400">
                  <c:v>224669</c:v>
                </c:pt>
                <c:pt idx="401">
                  <c:v>228330</c:v>
                </c:pt>
                <c:pt idx="402">
                  <c:v>229033</c:v>
                </c:pt>
                <c:pt idx="403">
                  <c:v>232382</c:v>
                </c:pt>
                <c:pt idx="404">
                  <c:v>233286</c:v>
                </c:pt>
                <c:pt idx="405">
                  <c:v>233380</c:v>
                </c:pt>
                <c:pt idx="406">
                  <c:v>233727</c:v>
                </c:pt>
                <c:pt idx="407">
                  <c:v>235148</c:v>
                </c:pt>
                <c:pt idx="408">
                  <c:v>238053</c:v>
                </c:pt>
                <c:pt idx="409">
                  <c:v>239896</c:v>
                </c:pt>
                <c:pt idx="410">
                  <c:v>240782</c:v>
                </c:pt>
                <c:pt idx="411">
                  <c:v>241850</c:v>
                </c:pt>
                <c:pt idx="412">
                  <c:v>243255</c:v>
                </c:pt>
                <c:pt idx="413">
                  <c:v>284780</c:v>
                </c:pt>
                <c:pt idx="414">
                  <c:v>286373</c:v>
                </c:pt>
                <c:pt idx="415">
                  <c:v>286517</c:v>
                </c:pt>
                <c:pt idx="416">
                  <c:v>292628</c:v>
                </c:pt>
                <c:pt idx="417">
                  <c:v>293282</c:v>
                </c:pt>
                <c:pt idx="418">
                  <c:v>297580</c:v>
                </c:pt>
                <c:pt idx="419">
                  <c:v>303548</c:v>
                </c:pt>
                <c:pt idx="420">
                  <c:v>305910</c:v>
                </c:pt>
                <c:pt idx="421">
                  <c:v>307542</c:v>
                </c:pt>
                <c:pt idx="422">
                  <c:v>309149</c:v>
                </c:pt>
                <c:pt idx="423">
                  <c:v>313612</c:v>
                </c:pt>
                <c:pt idx="424">
                  <c:v>314583</c:v>
                </c:pt>
                <c:pt idx="425">
                  <c:v>321095</c:v>
                </c:pt>
                <c:pt idx="426">
                  <c:v>321298</c:v>
                </c:pt>
                <c:pt idx="427">
                  <c:v>323659</c:v>
                </c:pt>
                <c:pt idx="428">
                  <c:v>323833</c:v>
                </c:pt>
                <c:pt idx="429">
                  <c:v>336300</c:v>
                </c:pt>
                <c:pt idx="430">
                  <c:v>344377</c:v>
                </c:pt>
                <c:pt idx="431">
                  <c:v>365860</c:v>
                </c:pt>
                <c:pt idx="432">
                  <c:v>366737</c:v>
                </c:pt>
                <c:pt idx="433">
                  <c:v>376007</c:v>
                </c:pt>
                <c:pt idx="434">
                  <c:v>385210</c:v>
                </c:pt>
                <c:pt idx="435">
                  <c:v>400137</c:v>
                </c:pt>
                <c:pt idx="436">
                  <c:v>410066</c:v>
                </c:pt>
                <c:pt idx="437">
                  <c:v>412590</c:v>
                </c:pt>
                <c:pt idx="438">
                  <c:v>414173</c:v>
                </c:pt>
                <c:pt idx="439">
                  <c:v>424865</c:v>
                </c:pt>
                <c:pt idx="440">
                  <c:v>427459</c:v>
                </c:pt>
                <c:pt idx="441">
                  <c:v>429397</c:v>
                </c:pt>
                <c:pt idx="442">
                  <c:v>433804</c:v>
                </c:pt>
                <c:pt idx="443">
                  <c:v>443967</c:v>
                </c:pt>
                <c:pt idx="444">
                  <c:v>456260</c:v>
                </c:pt>
                <c:pt idx="445">
                  <c:v>475978</c:v>
                </c:pt>
                <c:pt idx="446">
                  <c:v>493015</c:v>
                </c:pt>
                <c:pt idx="447">
                  <c:v>514243</c:v>
                </c:pt>
                <c:pt idx="448">
                  <c:v>520524</c:v>
                </c:pt>
                <c:pt idx="449">
                  <c:v>543486</c:v>
                </c:pt>
                <c:pt idx="450">
                  <c:v>555581</c:v>
                </c:pt>
                <c:pt idx="451">
                  <c:v>581946</c:v>
                </c:pt>
                <c:pt idx="452">
                  <c:v>613671</c:v>
                </c:pt>
                <c:pt idx="453">
                  <c:v>626696</c:v>
                </c:pt>
                <c:pt idx="454">
                  <c:v>650707</c:v>
                </c:pt>
                <c:pt idx="455">
                  <c:v>659321</c:v>
                </c:pt>
                <c:pt idx="456">
                  <c:v>673571</c:v>
                </c:pt>
                <c:pt idx="457">
                  <c:v>680993</c:v>
                </c:pt>
              </c:numCache>
            </c:numRef>
          </c:val>
          <c:extLst>
            <c:ext xmlns:c16="http://schemas.microsoft.com/office/drawing/2014/chart" uri="{C3380CC4-5D6E-409C-BE32-E72D297353CC}">
              <c16:uniqueId val="{00000000-8B2C-4A0A-AE20-F40949BDBA72}"/>
            </c:ext>
          </c:extLst>
        </c:ser>
        <c:dLbls>
          <c:showLegendKey val="0"/>
          <c:showVal val="0"/>
          <c:showCatName val="0"/>
          <c:showSerName val="0"/>
          <c:showPercent val="0"/>
          <c:showBubbleSize val="0"/>
        </c:dLbls>
        <c:gapWidth val="219"/>
        <c:overlap val="-27"/>
        <c:axId val="594984624"/>
        <c:axId val="594983664"/>
      </c:barChart>
      <c:catAx>
        <c:axId val="59498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3664"/>
        <c:crosses val="autoZero"/>
        <c:auto val="1"/>
        <c:lblAlgn val="ctr"/>
        <c:lblOffset val="100"/>
        <c:noMultiLvlLbl val="0"/>
      </c:catAx>
      <c:valAx>
        <c:axId val="594983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[1.8 Conducting Statistical Analyses.xlsx]Pivot Total Population!PivotTable5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Population and Deaths 85+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6302883060816"/>
          <c:y val="0.17369271148798707"/>
          <c:w val="0.8001093856053787"/>
          <c:h val="0.58866007133723675"/>
        </c:manualLayout>
      </c:layout>
      <c:barChart>
        <c:barDir val="col"/>
        <c:grouping val="clustered"/>
        <c:varyColors val="0"/>
        <c:ser>
          <c:idx val="0"/>
          <c:order val="0"/>
          <c:tx>
            <c:strRef>
              <c:f>'Pivot Total Population'!$C$3</c:f>
              <c:strCache>
                <c:ptCount val="1"/>
                <c:pt idx="0">
                  <c:v>Total</c:v>
                </c:pt>
              </c:strCache>
            </c:strRef>
          </c:tx>
          <c:spPr>
            <a:solidFill>
              <a:schemeClr val="accent1"/>
            </a:solidFill>
            <a:ln>
              <a:noFill/>
            </a:ln>
            <a:effectLst/>
          </c:spPr>
          <c:invertIfNegative val="0"/>
          <c:cat>
            <c:strRef>
              <c:f>'Pivot Total Population'!$B$4:$B$462</c:f>
              <c:strCache>
                <c:ptCount val="459"/>
                <c:pt idx="0">
                  <c:v>490,521</c:v>
                </c:pt>
                <c:pt idx="1">
                  <c:v>500,216</c:v>
                </c:pt>
                <c:pt idx="2">
                  <c:v>501,580</c:v>
                </c:pt>
                <c:pt idx="3">
                  <c:v>501,971</c:v>
                </c:pt>
                <c:pt idx="4">
                  <c:v>511,039</c:v>
                </c:pt>
                <c:pt idx="5">
                  <c:v>519,426</c:v>
                </c:pt>
                <c:pt idx="6">
                  <c:v>532,428</c:v>
                </c:pt>
                <c:pt idx="7">
                  <c:v>532,969</c:v>
                </c:pt>
                <c:pt idx="8">
                  <c:v>539,266</c:v>
                </c:pt>
                <c:pt idx="9">
                  <c:v>541,920</c:v>
                </c:pt>
                <c:pt idx="10">
                  <c:v>542,494</c:v>
                </c:pt>
                <c:pt idx="11">
                  <c:v>556,597</c:v>
                </c:pt>
                <c:pt idx="12">
                  <c:v>557,784</c:v>
                </c:pt>
                <c:pt idx="13">
                  <c:v>560,719</c:v>
                </c:pt>
                <c:pt idx="14">
                  <c:v>566,849</c:v>
                </c:pt>
                <c:pt idx="15">
                  <c:v>568,000</c:v>
                </c:pt>
                <c:pt idx="16">
                  <c:v>572,962</c:v>
                </c:pt>
                <c:pt idx="17">
                  <c:v>584,400</c:v>
                </c:pt>
                <c:pt idx="18">
                  <c:v>588,433</c:v>
                </c:pt>
                <c:pt idx="19">
                  <c:v>588,763</c:v>
                </c:pt>
                <c:pt idx="20">
                  <c:v>593,955</c:v>
                </c:pt>
                <c:pt idx="21">
                  <c:v>597,394</c:v>
                </c:pt>
                <c:pt idx="22">
                  <c:v>605,759</c:v>
                </c:pt>
                <c:pt idx="23">
                  <c:v>614,109</c:v>
                </c:pt>
                <c:pt idx="24">
                  <c:v>619,371</c:v>
                </c:pt>
                <c:pt idx="25">
                  <c:v>620,414</c:v>
                </c:pt>
                <c:pt idx="26">
                  <c:v>620,738</c:v>
                </c:pt>
                <c:pt idx="27">
                  <c:v>624,954</c:v>
                </c:pt>
                <c:pt idx="28">
                  <c:v>627,037</c:v>
                </c:pt>
                <c:pt idx="29">
                  <c:v>627,310</c:v>
                </c:pt>
                <c:pt idx="30">
                  <c:v>633,736</c:v>
                </c:pt>
                <c:pt idx="31">
                  <c:v>636,807</c:v>
                </c:pt>
                <c:pt idx="32">
                  <c:v>644,817</c:v>
                </c:pt>
                <c:pt idx="33">
                  <c:v>647,484</c:v>
                </c:pt>
                <c:pt idx="34">
                  <c:v>650,708</c:v>
                </c:pt>
                <c:pt idx="35">
                  <c:v>651,686</c:v>
                </c:pt>
                <c:pt idx="36">
                  <c:v>659,009</c:v>
                </c:pt>
                <c:pt idx="37">
                  <c:v>664,838</c:v>
                </c:pt>
                <c:pt idx="38">
                  <c:v>665,600</c:v>
                </c:pt>
                <c:pt idx="39">
                  <c:v>672,391</c:v>
                </c:pt>
                <c:pt idx="40">
                  <c:v>673,832</c:v>
                </c:pt>
                <c:pt idx="41">
                  <c:v>677,855</c:v>
                </c:pt>
                <c:pt idx="42">
                  <c:v>679,711</c:v>
                </c:pt>
                <c:pt idx="43">
                  <c:v>683,142</c:v>
                </c:pt>
                <c:pt idx="44">
                  <c:v>689,833</c:v>
                </c:pt>
                <c:pt idx="45">
                  <c:v>696,506</c:v>
                </c:pt>
                <c:pt idx="46">
                  <c:v>696,784</c:v>
                </c:pt>
                <c:pt idx="47">
                  <c:v>699,838</c:v>
                </c:pt>
                <c:pt idx="48">
                  <c:v>701,012</c:v>
                </c:pt>
                <c:pt idx="49">
                  <c:v>716,817</c:v>
                </c:pt>
                <c:pt idx="50">
                  <c:v>720,961</c:v>
                </c:pt>
                <c:pt idx="51">
                  <c:v>730,007</c:v>
                </c:pt>
                <c:pt idx="52">
                  <c:v>765,593</c:v>
                </c:pt>
                <c:pt idx="53">
                  <c:v>786,961</c:v>
                </c:pt>
                <c:pt idx="54">
                  <c:v>805,701</c:v>
                </c:pt>
                <c:pt idx="55">
                  <c:v>863,832</c:v>
                </c:pt>
                <c:pt idx="56">
                  <c:v>881,278</c:v>
                </c:pt>
                <c:pt idx="57">
                  <c:v>886,659</c:v>
                </c:pt>
                <c:pt idx="58">
                  <c:v>890,856</c:v>
                </c:pt>
                <c:pt idx="59">
                  <c:v>892,285</c:v>
                </c:pt>
                <c:pt idx="60">
                  <c:v>900,131</c:v>
                </c:pt>
                <c:pt idx="61">
                  <c:v>908,446</c:v>
                </c:pt>
                <c:pt idx="62">
                  <c:v>916,440</c:v>
                </c:pt>
                <c:pt idx="63">
                  <c:v>917,060</c:v>
                </c:pt>
                <c:pt idx="64">
                  <c:v>921,227</c:v>
                </c:pt>
                <c:pt idx="65">
                  <c:v>926,454</c:v>
                </c:pt>
                <c:pt idx="66">
                  <c:v>934,695</c:v>
                </c:pt>
                <c:pt idx="67">
                  <c:v>937,821</c:v>
                </c:pt>
                <c:pt idx="68">
                  <c:v>937,916</c:v>
                </c:pt>
                <c:pt idx="69">
                  <c:v>943,732</c:v>
                </c:pt>
                <c:pt idx="70">
                  <c:v>946,754</c:v>
                </c:pt>
                <c:pt idx="71">
                  <c:v>949,246</c:v>
                </c:pt>
                <c:pt idx="72">
                  <c:v>1,051,695</c:v>
                </c:pt>
                <c:pt idx="73">
                  <c:v>1,052,471</c:v>
                </c:pt>
                <c:pt idx="74">
                  <c:v>1,053,252</c:v>
                </c:pt>
                <c:pt idx="75">
                  <c:v>1,053,712</c:v>
                </c:pt>
                <c:pt idx="76">
                  <c:v>1,053,959</c:v>
                </c:pt>
                <c:pt idx="77">
                  <c:v>1,054,491</c:v>
                </c:pt>
                <c:pt idx="78">
                  <c:v>1,056,138</c:v>
                </c:pt>
                <c:pt idx="79">
                  <c:v>1,056,389</c:v>
                </c:pt>
                <c:pt idx="80">
                  <c:v>1,057,381</c:v>
                </c:pt>
                <c:pt idx="81">
                  <c:v>1,242,505</c:v>
                </c:pt>
                <c:pt idx="82">
                  <c:v>1,244,818</c:v>
                </c:pt>
                <c:pt idx="83">
                  <c:v>1,255,682</c:v>
                </c:pt>
                <c:pt idx="84">
                  <c:v>1,263,167</c:v>
                </c:pt>
                <c:pt idx="85">
                  <c:v>1,277,778</c:v>
                </c:pt>
                <c:pt idx="86">
                  <c:v>1,280,241</c:v>
                </c:pt>
                <c:pt idx="87">
                  <c:v>1,293,779</c:v>
                </c:pt>
                <c:pt idx="88">
                  <c:v>1,311,652</c:v>
                </c:pt>
                <c:pt idx="89">
                  <c:v>1,313,939</c:v>
                </c:pt>
                <c:pt idx="90">
                  <c:v>1,315,419</c:v>
                </c:pt>
                <c:pt idx="91">
                  <c:v>1,316,380</c:v>
                </c:pt>
                <c:pt idx="92">
                  <c:v>1,317,474</c:v>
                </c:pt>
                <c:pt idx="93">
                  <c:v>1,319,171</c:v>
                </c:pt>
                <c:pt idx="94">
                  <c:v>1,327,503</c:v>
                </c:pt>
                <c:pt idx="95">
                  <c:v>1,327,665</c:v>
                </c:pt>
                <c:pt idx="96">
                  <c:v>1,328,320</c:v>
                </c:pt>
                <c:pt idx="97">
                  <c:v>1,328,659</c:v>
                </c:pt>
                <c:pt idx="98">
                  <c:v>1,328,662</c:v>
                </c:pt>
                <c:pt idx="99">
                  <c:v>1,332,079</c:v>
                </c:pt>
                <c:pt idx="100">
                  <c:v>1,333,591</c:v>
                </c:pt>
                <c:pt idx="101">
                  <c:v>1,346,554</c:v>
                </c:pt>
                <c:pt idx="102">
                  <c:v>1,362,730</c:v>
                </c:pt>
                <c:pt idx="103">
                  <c:v>1,376,298</c:v>
                </c:pt>
                <c:pt idx="104">
                  <c:v>1,391,072</c:v>
                </c:pt>
                <c:pt idx="105">
                  <c:v>1,406,214</c:v>
                </c:pt>
                <c:pt idx="106">
                  <c:v>1,413,673</c:v>
                </c:pt>
                <c:pt idx="107">
                  <c:v>1,421,652</c:v>
                </c:pt>
                <c:pt idx="108">
                  <c:v>1,446,420</c:v>
                </c:pt>
                <c:pt idx="109">
                  <c:v>1,478,073</c:v>
                </c:pt>
                <c:pt idx="110">
                  <c:v>1,478,648</c:v>
                </c:pt>
                <c:pt idx="111">
                  <c:v>1,488,444</c:v>
                </c:pt>
                <c:pt idx="112">
                  <c:v>1,497,693</c:v>
                </c:pt>
                <c:pt idx="113">
                  <c:v>1,500,717</c:v>
                </c:pt>
                <c:pt idx="114">
                  <c:v>1,528,820</c:v>
                </c:pt>
                <c:pt idx="115">
                  <c:v>1,533,895</c:v>
                </c:pt>
                <c:pt idx="116">
                  <c:v>1,536,462</c:v>
                </c:pt>
                <c:pt idx="117">
                  <c:v>1,551,162</c:v>
                </c:pt>
                <c:pt idx="118">
                  <c:v>1,555,888</c:v>
                </c:pt>
                <c:pt idx="119">
                  <c:v>1,647,510</c:v>
                </c:pt>
                <c:pt idx="120">
                  <c:v>1,649,653</c:v>
                </c:pt>
                <c:pt idx="121">
                  <c:v>1,664,880</c:v>
                </c:pt>
                <c:pt idx="122">
                  <c:v>1,667,899</c:v>
                </c:pt>
                <c:pt idx="123">
                  <c:v>1,685,021</c:v>
                </c:pt>
                <c:pt idx="124">
                  <c:v>1,704,944</c:v>
                </c:pt>
                <c:pt idx="125">
                  <c:v>1,705,683</c:v>
                </c:pt>
                <c:pt idx="126">
                  <c:v>1,710,460</c:v>
                </c:pt>
                <c:pt idx="127">
                  <c:v>1,715,461</c:v>
                </c:pt>
                <c:pt idx="128">
                  <c:v>1,724,851</c:v>
                </c:pt>
                <c:pt idx="129">
                  <c:v>1,736,362</c:v>
                </c:pt>
                <c:pt idx="130">
                  <c:v>1,736,643</c:v>
                </c:pt>
                <c:pt idx="131">
                  <c:v>1,738,913</c:v>
                </c:pt>
                <c:pt idx="132">
                  <c:v>1,771,937</c:v>
                </c:pt>
                <c:pt idx="133">
                  <c:v>1,772,884</c:v>
                </c:pt>
                <c:pt idx="134">
                  <c:v>1,795,084</c:v>
                </c:pt>
                <c:pt idx="135">
                  <c:v>1,938,776</c:v>
                </c:pt>
                <c:pt idx="136">
                  <c:v>1,964,860</c:v>
                </c:pt>
                <c:pt idx="137">
                  <c:v>1,982,961</c:v>
                </c:pt>
                <c:pt idx="138">
                  <c:v>1,983,544</c:v>
                </c:pt>
                <c:pt idx="139">
                  <c:v>1,986,823</c:v>
                </c:pt>
                <c:pt idx="140">
                  <c:v>2,000,639</c:v>
                </c:pt>
                <c:pt idx="141">
                  <c:v>2,004,994</c:v>
                </c:pt>
                <c:pt idx="142">
                  <c:v>2,011,766</c:v>
                </c:pt>
                <c:pt idx="143">
                  <c:v>2,022,695</c:v>
                </c:pt>
                <c:pt idx="144">
                  <c:v>2,359,802</c:v>
                </c:pt>
                <c:pt idx="145">
                  <c:v>2,534,911</c:v>
                </c:pt>
                <c:pt idx="146">
                  <c:v>2,604,519</c:v>
                </c:pt>
                <c:pt idx="147">
                  <c:v>2,626,356</c:v>
                </c:pt>
                <c:pt idx="148">
                  <c:v>2,632,280</c:v>
                </c:pt>
                <c:pt idx="149">
                  <c:v>2,633,331</c:v>
                </c:pt>
                <c:pt idx="150">
                  <c:v>2,635,122</c:v>
                </c:pt>
                <c:pt idx="151">
                  <c:v>2,655,575</c:v>
                </c:pt>
                <c:pt idx="152">
                  <c:v>2,661,806</c:v>
                </c:pt>
                <c:pt idx="153">
                  <c:v>2,667,325</c:v>
                </c:pt>
                <c:pt idx="154">
                  <c:v>2,669,454</c:v>
                </c:pt>
                <c:pt idx="155">
                  <c:v>2,670,889</c:v>
                </c:pt>
                <c:pt idx="156">
                  <c:v>2,684,563</c:v>
                </c:pt>
                <c:pt idx="157">
                  <c:v>2,710,163</c:v>
                </c:pt>
                <c:pt idx="158">
                  <c:v>2,713,827</c:v>
                </c:pt>
                <c:pt idx="159">
                  <c:v>2,715,451</c:v>
                </c:pt>
                <c:pt idx="160">
                  <c:v>2,723,656</c:v>
                </c:pt>
                <c:pt idx="161">
                  <c:v>2,724,670</c:v>
                </c:pt>
                <c:pt idx="162">
                  <c:v>2,728,338</c:v>
                </c:pt>
                <c:pt idx="163">
                  <c:v>2,728,504</c:v>
                </c:pt>
                <c:pt idx="164">
                  <c:v>2,734,051</c:v>
                </c:pt>
                <c:pt idx="165">
                  <c:v>2,734,347</c:v>
                </c:pt>
                <c:pt idx="166">
                  <c:v>2,739,882</c:v>
                </c:pt>
                <c:pt idx="167">
                  <c:v>2,741,881</c:v>
                </c:pt>
                <c:pt idx="168">
                  <c:v>2,746,115</c:v>
                </c:pt>
                <c:pt idx="169">
                  <c:v>2,747,187</c:v>
                </c:pt>
                <c:pt idx="170">
                  <c:v>2,753,090</c:v>
                </c:pt>
                <c:pt idx="171">
                  <c:v>2,753,252</c:v>
                </c:pt>
                <c:pt idx="172">
                  <c:v>2,765,788</c:v>
                </c:pt>
                <c:pt idx="173">
                  <c:v>2,767,816</c:v>
                </c:pt>
                <c:pt idx="174">
                  <c:v>2,773,776</c:v>
                </c:pt>
                <c:pt idx="175">
                  <c:v>2,781,980</c:v>
                </c:pt>
                <c:pt idx="176">
                  <c:v>2,786,183</c:v>
                </c:pt>
                <c:pt idx="177">
                  <c:v>2,787,856</c:v>
                </c:pt>
                <c:pt idx="178">
                  <c:v>2,802,853</c:v>
                </c:pt>
                <c:pt idx="179">
                  <c:v>2,804,554</c:v>
                </c:pt>
                <c:pt idx="180">
                  <c:v>2,810,919</c:v>
                </c:pt>
                <c:pt idx="181">
                  <c:v>2,812,703</c:v>
                </c:pt>
                <c:pt idx="182">
                  <c:v>2,818,364</c:v>
                </c:pt>
                <c:pt idx="183">
                  <c:v>2,821,637</c:v>
                </c:pt>
                <c:pt idx="184">
                  <c:v>2,821,915</c:v>
                </c:pt>
                <c:pt idx="185">
                  <c:v>2,827,543</c:v>
                </c:pt>
                <c:pt idx="186">
                  <c:v>2,832,822</c:v>
                </c:pt>
                <c:pt idx="187">
                  <c:v>2,838,143</c:v>
                </c:pt>
                <c:pt idx="188">
                  <c:v>2,839,845</c:v>
                </c:pt>
                <c:pt idx="189">
                  <c:v>2,850,866</c:v>
                </c:pt>
                <c:pt idx="190">
                  <c:v>2,860,431</c:v>
                </c:pt>
                <c:pt idx="191">
                  <c:v>2,869,335</c:v>
                </c:pt>
                <c:pt idx="192">
                  <c:v>2,876,836</c:v>
                </c:pt>
                <c:pt idx="193">
                  <c:v>2,887,710</c:v>
                </c:pt>
                <c:pt idx="194">
                  <c:v>2,898,743</c:v>
                </c:pt>
                <c:pt idx="195">
                  <c:v>2,922,240</c:v>
                </c:pt>
                <c:pt idx="196">
                  <c:v>2,939,403</c:v>
                </c:pt>
                <c:pt idx="197">
                  <c:v>2,960,615</c:v>
                </c:pt>
                <c:pt idx="198">
                  <c:v>3,494,487</c:v>
                </c:pt>
                <c:pt idx="199">
                  <c:v>3,517,847</c:v>
                </c:pt>
                <c:pt idx="200">
                  <c:v>3,545,837</c:v>
                </c:pt>
                <c:pt idx="201">
                  <c:v>3,556,790</c:v>
                </c:pt>
                <c:pt idx="202">
                  <c:v>3,558,172</c:v>
                </c:pt>
                <c:pt idx="203">
                  <c:v>3,565,277</c:v>
                </c:pt>
                <c:pt idx="204">
                  <c:v>3,572,213</c:v>
                </c:pt>
                <c:pt idx="205">
                  <c:v>3,583,561</c:v>
                </c:pt>
                <c:pt idx="206">
                  <c:v>3,585,355</c:v>
                </c:pt>
                <c:pt idx="207">
                  <c:v>3,585,543</c:v>
                </c:pt>
                <c:pt idx="208">
                  <c:v>3,588,570</c:v>
                </c:pt>
                <c:pt idx="209">
                  <c:v>3,592,053</c:v>
                </c:pt>
                <c:pt idx="210">
                  <c:v>3,593,222</c:v>
                </c:pt>
                <c:pt idx="211">
                  <c:v>3,594,478</c:v>
                </c:pt>
                <c:pt idx="212">
                  <c:v>3,615,153</c:v>
                </c:pt>
                <c:pt idx="213">
                  <c:v>3,651,309</c:v>
                </c:pt>
                <c:pt idx="214">
                  <c:v>3,657,767</c:v>
                </c:pt>
                <c:pt idx="215">
                  <c:v>3,683,908</c:v>
                </c:pt>
                <c:pt idx="216">
                  <c:v>3,694,697</c:v>
                </c:pt>
                <c:pt idx="217">
                  <c:v>3,700,201</c:v>
                </c:pt>
                <c:pt idx="218">
                  <c:v>3,745,417</c:v>
                </c:pt>
                <c:pt idx="219">
                  <c:v>3,754,561</c:v>
                </c:pt>
                <c:pt idx="220">
                  <c:v>3,766,332</c:v>
                </c:pt>
                <c:pt idx="221">
                  <c:v>3,777,831</c:v>
                </c:pt>
                <c:pt idx="222">
                  <c:v>3,795,375</c:v>
                </c:pt>
                <c:pt idx="223">
                  <c:v>3,889,371</c:v>
                </c:pt>
                <c:pt idx="224">
                  <c:v>3,917,871</c:v>
                </c:pt>
                <c:pt idx="225">
                  <c:v>3,967,316</c:v>
                </c:pt>
                <c:pt idx="226">
                  <c:v>4,028,763</c:v>
                </c:pt>
                <c:pt idx="227">
                  <c:v>4,032,267</c:v>
                </c:pt>
                <c:pt idx="228">
                  <c:v>4,058,257</c:v>
                </c:pt>
                <c:pt idx="229">
                  <c:v>4,079,475</c:v>
                </c:pt>
                <c:pt idx="230">
                  <c:v>4,095,114</c:v>
                </c:pt>
                <c:pt idx="231">
                  <c:v>4,139,395</c:v>
                </c:pt>
                <c:pt idx="232">
                  <c:v>4,188,969</c:v>
                </c:pt>
                <c:pt idx="233">
                  <c:v>4,238,868</c:v>
                </c:pt>
                <c:pt idx="234">
                  <c:v>4,325,940</c:v>
                </c:pt>
                <c:pt idx="235">
                  <c:v>4,336,750</c:v>
                </c:pt>
                <c:pt idx="236">
                  <c:v>4,365,242</c:v>
                </c:pt>
                <c:pt idx="237">
                  <c:v>4,386,090</c:v>
                </c:pt>
                <c:pt idx="238">
                  <c:v>4,386,451</c:v>
                </c:pt>
                <c:pt idx="239">
                  <c:v>4,389,964</c:v>
                </c:pt>
                <c:pt idx="240">
                  <c:v>4,392,118</c:v>
                </c:pt>
                <c:pt idx="241">
                  <c:v>4,411,546</c:v>
                </c:pt>
                <c:pt idx="242">
                  <c:v>4,421,853</c:v>
                </c:pt>
                <c:pt idx="243">
                  <c:v>4,461,249</c:v>
                </c:pt>
                <c:pt idx="244">
                  <c:v>4,465,332</c:v>
                </c:pt>
                <c:pt idx="245">
                  <c:v>4,470,686</c:v>
                </c:pt>
                <c:pt idx="246">
                  <c:v>4,484,261</c:v>
                </c:pt>
                <c:pt idx="247">
                  <c:v>4,506,075</c:v>
                </c:pt>
                <c:pt idx="248">
                  <c:v>4,529,479</c:v>
                </c:pt>
                <c:pt idx="249">
                  <c:v>4,543,805</c:v>
                </c:pt>
                <c:pt idx="250">
                  <c:v>4,550,723</c:v>
                </c:pt>
                <c:pt idx="251">
                  <c:v>4,561,172</c:v>
                </c:pt>
                <c:pt idx="252">
                  <c:v>4,593,341</c:v>
                </c:pt>
                <c:pt idx="253">
                  <c:v>4,629,937</c:v>
                </c:pt>
                <c:pt idx="254">
                  <c:v>4,633,360</c:v>
                </c:pt>
                <c:pt idx="255">
                  <c:v>4,643,557</c:v>
                </c:pt>
                <c:pt idx="256">
                  <c:v>4,690,668</c:v>
                </c:pt>
                <c:pt idx="257">
                  <c:v>4,724,744</c:v>
                </c:pt>
                <c:pt idx="258">
                  <c:v>4,731,552</c:v>
                </c:pt>
                <c:pt idx="259">
                  <c:v>4,735,974</c:v>
                </c:pt>
                <c:pt idx="260">
                  <c:v>4,750,734</c:v>
                </c:pt>
                <c:pt idx="261">
                  <c:v>4,843,211</c:v>
                </c:pt>
                <c:pt idx="262">
                  <c:v>4,846,649</c:v>
                </c:pt>
                <c:pt idx="263">
                  <c:v>4,917,956</c:v>
                </c:pt>
                <c:pt idx="264">
                  <c:v>4,926,905</c:v>
                </c:pt>
                <c:pt idx="265">
                  <c:v>4,941,466</c:v>
                </c:pt>
                <c:pt idx="266">
                  <c:v>5,031,800</c:v>
                </c:pt>
                <c:pt idx="267">
                  <c:v>5,039,568</c:v>
                </c:pt>
                <c:pt idx="268">
                  <c:v>5,049,758</c:v>
                </c:pt>
                <c:pt idx="269">
                  <c:v>5,066,888</c:v>
                </c:pt>
                <c:pt idx="270">
                  <c:v>5,150,296</c:v>
                </c:pt>
                <c:pt idx="271">
                  <c:v>5,151,270</c:v>
                </c:pt>
                <c:pt idx="272">
                  <c:v>5,167,393</c:v>
                </c:pt>
                <c:pt idx="273">
                  <c:v>5,168,946</c:v>
                </c:pt>
                <c:pt idx="274">
                  <c:v>5,192,492</c:v>
                </c:pt>
                <c:pt idx="275">
                  <c:v>5,195,428</c:v>
                </c:pt>
                <c:pt idx="276">
                  <c:v>5,225,189</c:v>
                </c:pt>
                <c:pt idx="277">
                  <c:v>5,228,533</c:v>
                </c:pt>
                <c:pt idx="278">
                  <c:v>5,296,497</c:v>
                </c:pt>
                <c:pt idx="279">
                  <c:v>5,423,610</c:v>
                </c:pt>
                <c:pt idx="280">
                  <c:v>5,429,786</c:v>
                </c:pt>
                <c:pt idx="281">
                  <c:v>5,438,085</c:v>
                </c:pt>
                <c:pt idx="282">
                  <c:v>5,444,586</c:v>
                </c:pt>
                <c:pt idx="283">
                  <c:v>5,494,993</c:v>
                </c:pt>
                <c:pt idx="284">
                  <c:v>5,527,204</c:v>
                </c:pt>
                <c:pt idx="285">
                  <c:v>5,548,036</c:v>
                </c:pt>
                <c:pt idx="286">
                  <c:v>5,551,257</c:v>
                </c:pt>
                <c:pt idx="287">
                  <c:v>5,559,645</c:v>
                </c:pt>
                <c:pt idx="288">
                  <c:v>5,568,992</c:v>
                </c:pt>
                <c:pt idx="289">
                  <c:v>5,583,015</c:v>
                </c:pt>
                <c:pt idx="290">
                  <c:v>5,599,420</c:v>
                </c:pt>
                <c:pt idx="291">
                  <c:v>5,637,418</c:v>
                </c:pt>
                <c:pt idx="292">
                  <c:v>5,696,384</c:v>
                </c:pt>
                <c:pt idx="293">
                  <c:v>5,703,658</c:v>
                </c:pt>
                <c:pt idx="294">
                  <c:v>5,731,790</c:v>
                </c:pt>
                <c:pt idx="295">
                  <c:v>5,750,906</c:v>
                </c:pt>
                <c:pt idx="296">
                  <c:v>5,769,992</c:v>
                </c:pt>
                <c:pt idx="297">
                  <c:v>5,773,126</c:v>
                </c:pt>
                <c:pt idx="298">
                  <c:v>5,777,577</c:v>
                </c:pt>
                <c:pt idx="299">
                  <c:v>5,784,755</c:v>
                </c:pt>
                <c:pt idx="300">
                  <c:v>5,785,496</c:v>
                </c:pt>
                <c:pt idx="301">
                  <c:v>5,801,682</c:v>
                </c:pt>
                <c:pt idx="302">
                  <c:v>5,878,659</c:v>
                </c:pt>
                <c:pt idx="303">
                  <c:v>5,886,846</c:v>
                </c:pt>
                <c:pt idx="304">
                  <c:v>5,921,207</c:v>
                </c:pt>
                <c:pt idx="305">
                  <c:v>5,930,148</c:v>
                </c:pt>
                <c:pt idx="306">
                  <c:v>6,010,567</c:v>
                </c:pt>
                <c:pt idx="307">
                  <c:v>6,056,214</c:v>
                </c:pt>
                <c:pt idx="308">
                  <c:v>6,076,034</c:v>
                </c:pt>
                <c:pt idx="309">
                  <c:v>6,122,183</c:v>
                </c:pt>
                <c:pt idx="310">
                  <c:v>6,137,920</c:v>
                </c:pt>
                <c:pt idx="311">
                  <c:v>6,144,855</c:v>
                </c:pt>
                <c:pt idx="312">
                  <c:v>6,148,835</c:v>
                </c:pt>
                <c:pt idx="313">
                  <c:v>6,158,334</c:v>
                </c:pt>
                <c:pt idx="314">
                  <c:v>6,195,837</c:v>
                </c:pt>
                <c:pt idx="315">
                  <c:v>6,207,592</c:v>
                </c:pt>
                <c:pt idx="316">
                  <c:v>6,223,260</c:v>
                </c:pt>
                <c:pt idx="317">
                  <c:v>6,228,563</c:v>
                </c:pt>
                <c:pt idx="318">
                  <c:v>6,231,987</c:v>
                </c:pt>
                <c:pt idx="319">
                  <c:v>6,246,652</c:v>
                </c:pt>
                <c:pt idx="320">
                  <c:v>6,257,657</c:v>
                </c:pt>
                <c:pt idx="321">
                  <c:v>6,295,459</c:v>
                </c:pt>
                <c:pt idx="322">
                  <c:v>6,296,816</c:v>
                </c:pt>
                <c:pt idx="323">
                  <c:v>6,324,865</c:v>
                </c:pt>
                <c:pt idx="324">
                  <c:v>6,342,469</c:v>
                </c:pt>
                <c:pt idx="325">
                  <c:v>6,410,186</c:v>
                </c:pt>
                <c:pt idx="326">
                  <c:v>6,416,963</c:v>
                </c:pt>
                <c:pt idx="327">
                  <c:v>6,426,240</c:v>
                </c:pt>
                <c:pt idx="328">
                  <c:v>6,465,755</c:v>
                </c:pt>
                <c:pt idx="329">
                  <c:v>6,470,992</c:v>
                </c:pt>
                <c:pt idx="330">
                  <c:v>6,476,856</c:v>
                </c:pt>
                <c:pt idx="331">
                  <c:v>6,509,100</c:v>
                </c:pt>
                <c:pt idx="332">
                  <c:v>6,511,176</c:v>
                </c:pt>
                <c:pt idx="333">
                  <c:v>6,511,988</c:v>
                </c:pt>
                <c:pt idx="334">
                  <c:v>6,522,731</c:v>
                </c:pt>
                <c:pt idx="335">
                  <c:v>6,523,723</c:v>
                </c:pt>
                <c:pt idx="336">
                  <c:v>6,541,242</c:v>
                </c:pt>
                <c:pt idx="337">
                  <c:v>6,544,424</c:v>
                </c:pt>
                <c:pt idx="338">
                  <c:v>6,605,043</c:v>
                </c:pt>
                <c:pt idx="339">
                  <c:v>6,628,098</c:v>
                </c:pt>
                <c:pt idx="340">
                  <c:v>6,657,196</c:v>
                </c:pt>
                <c:pt idx="341">
                  <c:v>6,666,917</c:v>
                </c:pt>
                <c:pt idx="342">
                  <c:v>6,688,538</c:v>
                </c:pt>
                <c:pt idx="343">
                  <c:v>6,707,582</c:v>
                </c:pt>
                <c:pt idx="344">
                  <c:v>6,741,921</c:v>
                </c:pt>
                <c:pt idx="345">
                  <c:v>6,742,401</c:v>
                </c:pt>
                <c:pt idx="346">
                  <c:v>6,771,732</c:v>
                </c:pt>
                <c:pt idx="347">
                  <c:v>6,778,158</c:v>
                </c:pt>
                <c:pt idx="348">
                  <c:v>6,894,869</c:v>
                </c:pt>
                <c:pt idx="349">
                  <c:v>6,963,268</c:v>
                </c:pt>
                <c:pt idx="350">
                  <c:v>6,976,375</c:v>
                </c:pt>
                <c:pt idx="351">
                  <c:v>7,437,512</c:v>
                </c:pt>
                <c:pt idx="352">
                  <c:v>7,511,879</c:v>
                </c:pt>
                <c:pt idx="353">
                  <c:v>7,607,567</c:v>
                </c:pt>
                <c:pt idx="354">
                  <c:v>7,641,756</c:v>
                </c:pt>
                <c:pt idx="355">
                  <c:v>7,678,761</c:v>
                </c:pt>
                <c:pt idx="356">
                  <c:v>7,752,831</c:v>
                </c:pt>
                <c:pt idx="357">
                  <c:v>7,833,844</c:v>
                </c:pt>
                <c:pt idx="358">
                  <c:v>7,858,495</c:v>
                </c:pt>
                <c:pt idx="359">
                  <c:v>7,945,624</c:v>
                </c:pt>
                <c:pt idx="360">
                  <c:v>8,650,548</c:v>
                </c:pt>
                <c:pt idx="361">
                  <c:v>8,721,577</c:v>
                </c:pt>
                <c:pt idx="362">
                  <c:v>8,753,064</c:v>
                </c:pt>
                <c:pt idx="363">
                  <c:v>8,793,888</c:v>
                </c:pt>
                <c:pt idx="364">
                  <c:v>8,832,406</c:v>
                </c:pt>
                <c:pt idx="365">
                  <c:v>8,850,952</c:v>
                </c:pt>
                <c:pt idx="366">
                  <c:v>8,874,374</c:v>
                </c:pt>
                <c:pt idx="367">
                  <c:v>8,904,413</c:v>
                </c:pt>
                <c:pt idx="368">
                  <c:v>8,960,557</c:v>
                </c:pt>
                <c:pt idx="369">
                  <c:v>8,979,738</c:v>
                </c:pt>
                <c:pt idx="370">
                  <c:v>9,104,855</c:v>
                </c:pt>
                <c:pt idx="371">
                  <c:v>9,228,859</c:v>
                </c:pt>
                <c:pt idx="372">
                  <c:v>9,277,834</c:v>
                </c:pt>
                <c:pt idx="373">
                  <c:v>9,334,402</c:v>
                </c:pt>
                <c:pt idx="374">
                  <c:v>9,411,405</c:v>
                </c:pt>
                <c:pt idx="375">
                  <c:v>9,439,599</c:v>
                </c:pt>
                <c:pt idx="376">
                  <c:v>9,449,909</c:v>
                </c:pt>
                <c:pt idx="377">
                  <c:v>9,452,654</c:v>
                </c:pt>
                <c:pt idx="378">
                  <c:v>9,478,325</c:v>
                </c:pt>
                <c:pt idx="379">
                  <c:v>9,486,397</c:v>
                </c:pt>
                <c:pt idx="380">
                  <c:v>9,497,667</c:v>
                </c:pt>
                <c:pt idx="381">
                  <c:v>9,550,757</c:v>
                </c:pt>
                <c:pt idx="382">
                  <c:v>9,578,273</c:v>
                </c:pt>
                <c:pt idx="383">
                  <c:v>9,583,666</c:v>
                </c:pt>
                <c:pt idx="384">
                  <c:v>9,590,802</c:v>
                </c:pt>
                <c:pt idx="385">
                  <c:v>9,606,083</c:v>
                </c:pt>
                <c:pt idx="386">
                  <c:v>9,626,361</c:v>
                </c:pt>
                <c:pt idx="387">
                  <c:v>9,630,032</c:v>
                </c:pt>
                <c:pt idx="388">
                  <c:v>9,637,114</c:v>
                </c:pt>
                <c:pt idx="389">
                  <c:v>9,712,226</c:v>
                </c:pt>
                <c:pt idx="390">
                  <c:v>9,750,015</c:v>
                </c:pt>
                <c:pt idx="391">
                  <c:v>9,778,692</c:v>
                </c:pt>
                <c:pt idx="392">
                  <c:v>9,857,670</c:v>
                </c:pt>
                <c:pt idx="393">
                  <c:v>9,862,116</c:v>
                </c:pt>
                <c:pt idx="394">
                  <c:v>9,937,373</c:v>
                </c:pt>
                <c:pt idx="395">
                  <c:v>10,008,213</c:v>
                </c:pt>
                <c:pt idx="396">
                  <c:v>10,950,600</c:v>
                </c:pt>
                <c:pt idx="397">
                  <c:v>11,150,145</c:v>
                </c:pt>
                <c:pt idx="398">
                  <c:v>11,150,887</c:v>
                </c:pt>
                <c:pt idx="399">
                  <c:v>11,160,701</c:v>
                </c:pt>
                <c:pt idx="400">
                  <c:v>11,411,147</c:v>
                </c:pt>
                <c:pt idx="401">
                  <c:v>11,418,643</c:v>
                </c:pt>
                <c:pt idx="402">
                  <c:v>11,423,910</c:v>
                </c:pt>
                <c:pt idx="403">
                  <c:v>11,439,057</c:v>
                </c:pt>
                <c:pt idx="404">
                  <c:v>11,448,785</c:v>
                </c:pt>
                <c:pt idx="405">
                  <c:v>12,417,301</c:v>
                </c:pt>
                <c:pt idx="406">
                  <c:v>12,493,561</c:v>
                </c:pt>
                <c:pt idx="407">
                  <c:v>12,505,573</c:v>
                </c:pt>
                <c:pt idx="408">
                  <c:v>12,509,280</c:v>
                </c:pt>
                <c:pt idx="409">
                  <c:v>12,515,391</c:v>
                </c:pt>
                <c:pt idx="410">
                  <c:v>12,516,596</c:v>
                </c:pt>
                <c:pt idx="411">
                  <c:v>12,554,832</c:v>
                </c:pt>
                <c:pt idx="412">
                  <c:v>12,558,572</c:v>
                </c:pt>
                <c:pt idx="413">
                  <c:v>12,580,258</c:v>
                </c:pt>
                <c:pt idx="414">
                  <c:v>12,582,295</c:v>
                </c:pt>
                <c:pt idx="415">
                  <c:v>12,597,899</c:v>
                </c:pt>
                <c:pt idx="416">
                  <c:v>12,612,513</c:v>
                </c:pt>
                <c:pt idx="417">
                  <c:v>12,620,508</c:v>
                </c:pt>
                <c:pt idx="418">
                  <c:v>12,694,655</c:v>
                </c:pt>
                <c:pt idx="419">
                  <c:v>12,695,252</c:v>
                </c:pt>
                <c:pt idx="420">
                  <c:v>12,699,105</c:v>
                </c:pt>
                <c:pt idx="421">
                  <c:v>12,745,947</c:v>
                </c:pt>
                <c:pt idx="422">
                  <c:v>12,785,043</c:v>
                </c:pt>
                <c:pt idx="423">
                  <c:v>18,222,420</c:v>
                </c:pt>
                <c:pt idx="424">
                  <c:v>18,499,452</c:v>
                </c:pt>
                <c:pt idx="425">
                  <c:v>18,587,840</c:v>
                </c:pt>
                <c:pt idx="426">
                  <c:v>18,614,258</c:v>
                </c:pt>
                <c:pt idx="427">
                  <c:v>18,717,422</c:v>
                </c:pt>
                <c:pt idx="428">
                  <c:v>19,138,467</c:v>
                </c:pt>
                <c:pt idx="429">
                  <c:v>19,158,210</c:v>
                </c:pt>
                <c:pt idx="430">
                  <c:v>19,219,350</c:v>
                </c:pt>
                <c:pt idx="431">
                  <c:v>19,229,752</c:v>
                </c:pt>
                <c:pt idx="432">
                  <c:v>19,265,983</c:v>
                </c:pt>
                <c:pt idx="433">
                  <c:v>19,423,896</c:v>
                </c:pt>
                <c:pt idx="434">
                  <c:v>19,427,678</c:v>
                </c:pt>
                <c:pt idx="435">
                  <c:v>19,502,525</c:v>
                </c:pt>
                <c:pt idx="436">
                  <c:v>19,540,557</c:v>
                </c:pt>
                <c:pt idx="437">
                  <c:v>19,650,679</c:v>
                </c:pt>
                <c:pt idx="438">
                  <c:v>19,682,278</c:v>
                </c:pt>
                <c:pt idx="439">
                  <c:v>19,862,072</c:v>
                </c:pt>
                <c:pt idx="440">
                  <c:v>20,175,758</c:v>
                </c:pt>
                <c:pt idx="441">
                  <c:v>23,721,521</c:v>
                </c:pt>
                <c:pt idx="442">
                  <c:v>24,014,946</c:v>
                </c:pt>
                <c:pt idx="443">
                  <c:v>24,558,399</c:v>
                </c:pt>
                <c:pt idx="444">
                  <c:v>24,742,428</c:v>
                </c:pt>
                <c:pt idx="445">
                  <c:v>25,228,527</c:v>
                </c:pt>
                <c:pt idx="446">
                  <c:v>25,416,969</c:v>
                </c:pt>
                <c:pt idx="447">
                  <c:v>25,610,269</c:v>
                </c:pt>
                <c:pt idx="448">
                  <c:v>26,031,451</c:v>
                </c:pt>
                <c:pt idx="449">
                  <c:v>26,462,523</c:v>
                </c:pt>
                <c:pt idx="450">
                  <c:v>36,308,527</c:v>
                </c:pt>
                <c:pt idx="451">
                  <c:v>36,388,689</c:v>
                </c:pt>
                <c:pt idx="452">
                  <c:v>36,968,289</c:v>
                </c:pt>
                <c:pt idx="453">
                  <c:v>37,285,733</c:v>
                </c:pt>
                <c:pt idx="454">
                  <c:v>37,571,998</c:v>
                </c:pt>
                <c:pt idx="455">
                  <c:v>38,025,622</c:v>
                </c:pt>
                <c:pt idx="456">
                  <c:v>38,395,332</c:v>
                </c:pt>
                <c:pt idx="457">
                  <c:v>38,522,413</c:v>
                </c:pt>
                <c:pt idx="458">
                  <c:v>38,563,005</c:v>
                </c:pt>
              </c:strCache>
            </c:strRef>
          </c:cat>
          <c:val>
            <c:numRef>
              <c:f>'Pivot Total Population'!$C$4:$C$462</c:f>
              <c:numCache>
                <c:formatCode>#,##0</c:formatCode>
                <c:ptCount val="459"/>
                <c:pt idx="0">
                  <c:v>60</c:v>
                </c:pt>
                <c:pt idx="1">
                  <c:v>67</c:v>
                </c:pt>
                <c:pt idx="2">
                  <c:v>60</c:v>
                </c:pt>
                <c:pt idx="3">
                  <c:v>60</c:v>
                </c:pt>
                <c:pt idx="4">
                  <c:v>60</c:v>
                </c:pt>
                <c:pt idx="5">
                  <c:v>65</c:v>
                </c:pt>
                <c:pt idx="6">
                  <c:v>72</c:v>
                </c:pt>
                <c:pt idx="7">
                  <c:v>60</c:v>
                </c:pt>
                <c:pt idx="8">
                  <c:v>65</c:v>
                </c:pt>
                <c:pt idx="9">
                  <c:v>60</c:v>
                </c:pt>
                <c:pt idx="10">
                  <c:v>72</c:v>
                </c:pt>
                <c:pt idx="11">
                  <c:v>60</c:v>
                </c:pt>
                <c:pt idx="12">
                  <c:v>65</c:v>
                </c:pt>
                <c:pt idx="13">
                  <c:v>60</c:v>
                </c:pt>
                <c:pt idx="14">
                  <c:v>117</c:v>
                </c:pt>
                <c:pt idx="15">
                  <c:v>60</c:v>
                </c:pt>
                <c:pt idx="16">
                  <c:v>60</c:v>
                </c:pt>
                <c:pt idx="17">
                  <c:v>60</c:v>
                </c:pt>
                <c:pt idx="18">
                  <c:v>60</c:v>
                </c:pt>
                <c:pt idx="19">
                  <c:v>60</c:v>
                </c:pt>
                <c:pt idx="20">
                  <c:v>60</c:v>
                </c:pt>
                <c:pt idx="21">
                  <c:v>99</c:v>
                </c:pt>
                <c:pt idx="22">
                  <c:v>60</c:v>
                </c:pt>
                <c:pt idx="23">
                  <c:v>71</c:v>
                </c:pt>
                <c:pt idx="24">
                  <c:v>60</c:v>
                </c:pt>
                <c:pt idx="25">
                  <c:v>60</c:v>
                </c:pt>
                <c:pt idx="26">
                  <c:v>75</c:v>
                </c:pt>
                <c:pt idx="27">
                  <c:v>60</c:v>
                </c:pt>
                <c:pt idx="28">
                  <c:v>93</c:v>
                </c:pt>
                <c:pt idx="29">
                  <c:v>60</c:v>
                </c:pt>
                <c:pt idx="30">
                  <c:v>60</c:v>
                </c:pt>
                <c:pt idx="31">
                  <c:v>75</c:v>
                </c:pt>
                <c:pt idx="32">
                  <c:v>71</c:v>
                </c:pt>
                <c:pt idx="33">
                  <c:v>60</c:v>
                </c:pt>
                <c:pt idx="34">
                  <c:v>60</c:v>
                </c:pt>
                <c:pt idx="35">
                  <c:v>88</c:v>
                </c:pt>
                <c:pt idx="36">
                  <c:v>60</c:v>
                </c:pt>
                <c:pt idx="37">
                  <c:v>60</c:v>
                </c:pt>
                <c:pt idx="38">
                  <c:v>60</c:v>
                </c:pt>
                <c:pt idx="39">
                  <c:v>60</c:v>
                </c:pt>
                <c:pt idx="40">
                  <c:v>60</c:v>
                </c:pt>
                <c:pt idx="41">
                  <c:v>107</c:v>
                </c:pt>
                <c:pt idx="42">
                  <c:v>60</c:v>
                </c:pt>
                <c:pt idx="43">
                  <c:v>60</c:v>
                </c:pt>
                <c:pt idx="44">
                  <c:v>60</c:v>
                </c:pt>
                <c:pt idx="45">
                  <c:v>60</c:v>
                </c:pt>
                <c:pt idx="46">
                  <c:v>87</c:v>
                </c:pt>
                <c:pt idx="47">
                  <c:v>60</c:v>
                </c:pt>
                <c:pt idx="48">
                  <c:v>60</c:v>
                </c:pt>
                <c:pt idx="49">
                  <c:v>94</c:v>
                </c:pt>
                <c:pt idx="50">
                  <c:v>100</c:v>
                </c:pt>
                <c:pt idx="51">
                  <c:v>105</c:v>
                </c:pt>
                <c:pt idx="52">
                  <c:v>85</c:v>
                </c:pt>
                <c:pt idx="53">
                  <c:v>75</c:v>
                </c:pt>
                <c:pt idx="54">
                  <c:v>94</c:v>
                </c:pt>
                <c:pt idx="55">
                  <c:v>60</c:v>
                </c:pt>
                <c:pt idx="56">
                  <c:v>65</c:v>
                </c:pt>
                <c:pt idx="57">
                  <c:v>86</c:v>
                </c:pt>
                <c:pt idx="58">
                  <c:v>60</c:v>
                </c:pt>
                <c:pt idx="59">
                  <c:v>102</c:v>
                </c:pt>
                <c:pt idx="60">
                  <c:v>71</c:v>
                </c:pt>
                <c:pt idx="61">
                  <c:v>65</c:v>
                </c:pt>
                <c:pt idx="62">
                  <c:v>84</c:v>
                </c:pt>
                <c:pt idx="63">
                  <c:v>70</c:v>
                </c:pt>
                <c:pt idx="64">
                  <c:v>77</c:v>
                </c:pt>
                <c:pt idx="65">
                  <c:v>87</c:v>
                </c:pt>
                <c:pt idx="66">
                  <c:v>60</c:v>
                </c:pt>
                <c:pt idx="67">
                  <c:v>88</c:v>
                </c:pt>
                <c:pt idx="68">
                  <c:v>77</c:v>
                </c:pt>
                <c:pt idx="69">
                  <c:v>60</c:v>
                </c:pt>
                <c:pt idx="70">
                  <c:v>66</c:v>
                </c:pt>
                <c:pt idx="71">
                  <c:v>98</c:v>
                </c:pt>
                <c:pt idx="72">
                  <c:v>101</c:v>
                </c:pt>
                <c:pt idx="73">
                  <c:v>76</c:v>
                </c:pt>
                <c:pt idx="74">
                  <c:v>96</c:v>
                </c:pt>
                <c:pt idx="75">
                  <c:v>150</c:v>
                </c:pt>
                <c:pt idx="76">
                  <c:v>126</c:v>
                </c:pt>
                <c:pt idx="77">
                  <c:v>71</c:v>
                </c:pt>
                <c:pt idx="78">
                  <c:v>109</c:v>
                </c:pt>
                <c:pt idx="79">
                  <c:v>110</c:v>
                </c:pt>
                <c:pt idx="80">
                  <c:v>98</c:v>
                </c:pt>
                <c:pt idx="81">
                  <c:v>143</c:v>
                </c:pt>
                <c:pt idx="82">
                  <c:v>155</c:v>
                </c:pt>
                <c:pt idx="83">
                  <c:v>123</c:v>
                </c:pt>
                <c:pt idx="84">
                  <c:v>105</c:v>
                </c:pt>
                <c:pt idx="85">
                  <c:v>94</c:v>
                </c:pt>
                <c:pt idx="86">
                  <c:v>125</c:v>
                </c:pt>
                <c:pt idx="87">
                  <c:v>163</c:v>
                </c:pt>
                <c:pt idx="88">
                  <c:v>83</c:v>
                </c:pt>
                <c:pt idx="89">
                  <c:v>98</c:v>
                </c:pt>
                <c:pt idx="90">
                  <c:v>89</c:v>
                </c:pt>
                <c:pt idx="91">
                  <c:v>105</c:v>
                </c:pt>
                <c:pt idx="92">
                  <c:v>123</c:v>
                </c:pt>
                <c:pt idx="93">
                  <c:v>114</c:v>
                </c:pt>
                <c:pt idx="94">
                  <c:v>85</c:v>
                </c:pt>
                <c:pt idx="95">
                  <c:v>125</c:v>
                </c:pt>
                <c:pt idx="96">
                  <c:v>122</c:v>
                </c:pt>
                <c:pt idx="97">
                  <c:v>96</c:v>
                </c:pt>
                <c:pt idx="98">
                  <c:v>142</c:v>
                </c:pt>
                <c:pt idx="99">
                  <c:v>114</c:v>
                </c:pt>
                <c:pt idx="100">
                  <c:v>139</c:v>
                </c:pt>
                <c:pt idx="101">
                  <c:v>187</c:v>
                </c:pt>
                <c:pt idx="102">
                  <c:v>239</c:v>
                </c:pt>
                <c:pt idx="103">
                  <c:v>252</c:v>
                </c:pt>
                <c:pt idx="104">
                  <c:v>224</c:v>
                </c:pt>
                <c:pt idx="105">
                  <c:v>326</c:v>
                </c:pt>
                <c:pt idx="106">
                  <c:v>303</c:v>
                </c:pt>
                <c:pt idx="107">
                  <c:v>382</c:v>
                </c:pt>
                <c:pt idx="108">
                  <c:v>91</c:v>
                </c:pt>
                <c:pt idx="109">
                  <c:v>114</c:v>
                </c:pt>
                <c:pt idx="110">
                  <c:v>104</c:v>
                </c:pt>
                <c:pt idx="111">
                  <c:v>65</c:v>
                </c:pt>
                <c:pt idx="112">
                  <c:v>87</c:v>
                </c:pt>
                <c:pt idx="113">
                  <c:v>103</c:v>
                </c:pt>
                <c:pt idx="114">
                  <c:v>101</c:v>
                </c:pt>
                <c:pt idx="115">
                  <c:v>212</c:v>
                </c:pt>
                <c:pt idx="116">
                  <c:v>91</c:v>
                </c:pt>
                <c:pt idx="117">
                  <c:v>119</c:v>
                </c:pt>
                <c:pt idx="118">
                  <c:v>170</c:v>
                </c:pt>
                <c:pt idx="119">
                  <c:v>184</c:v>
                </c:pt>
                <c:pt idx="120">
                  <c:v>198</c:v>
                </c:pt>
                <c:pt idx="121">
                  <c:v>175</c:v>
                </c:pt>
                <c:pt idx="122">
                  <c:v>166</c:v>
                </c:pt>
                <c:pt idx="123">
                  <c:v>158</c:v>
                </c:pt>
                <c:pt idx="124">
                  <c:v>157</c:v>
                </c:pt>
                <c:pt idx="125">
                  <c:v>215</c:v>
                </c:pt>
                <c:pt idx="126">
                  <c:v>199</c:v>
                </c:pt>
                <c:pt idx="127">
                  <c:v>164</c:v>
                </c:pt>
                <c:pt idx="128">
                  <c:v>207</c:v>
                </c:pt>
                <c:pt idx="129">
                  <c:v>149</c:v>
                </c:pt>
                <c:pt idx="130">
                  <c:v>135</c:v>
                </c:pt>
                <c:pt idx="131">
                  <c:v>194</c:v>
                </c:pt>
                <c:pt idx="132">
                  <c:v>174</c:v>
                </c:pt>
                <c:pt idx="133">
                  <c:v>186</c:v>
                </c:pt>
                <c:pt idx="134">
                  <c:v>178</c:v>
                </c:pt>
                <c:pt idx="135">
                  <c:v>109</c:v>
                </c:pt>
                <c:pt idx="136">
                  <c:v>132</c:v>
                </c:pt>
                <c:pt idx="137">
                  <c:v>129</c:v>
                </c:pt>
                <c:pt idx="138">
                  <c:v>122</c:v>
                </c:pt>
                <c:pt idx="139">
                  <c:v>111</c:v>
                </c:pt>
                <c:pt idx="140">
                  <c:v>118</c:v>
                </c:pt>
                <c:pt idx="141">
                  <c:v>153</c:v>
                </c:pt>
                <c:pt idx="142">
                  <c:v>141</c:v>
                </c:pt>
                <c:pt idx="143">
                  <c:v>99</c:v>
                </c:pt>
                <c:pt idx="144">
                  <c:v>219</c:v>
                </c:pt>
                <c:pt idx="145">
                  <c:v>150</c:v>
                </c:pt>
                <c:pt idx="146">
                  <c:v>260</c:v>
                </c:pt>
                <c:pt idx="147">
                  <c:v>239</c:v>
                </c:pt>
                <c:pt idx="148">
                  <c:v>118</c:v>
                </c:pt>
                <c:pt idx="149">
                  <c:v>116</c:v>
                </c:pt>
                <c:pt idx="150">
                  <c:v>155</c:v>
                </c:pt>
                <c:pt idx="151">
                  <c:v>152</c:v>
                </c:pt>
                <c:pt idx="152">
                  <c:v>327</c:v>
                </c:pt>
                <c:pt idx="153">
                  <c:v>107</c:v>
                </c:pt>
                <c:pt idx="154">
                  <c:v>137</c:v>
                </c:pt>
                <c:pt idx="155">
                  <c:v>403</c:v>
                </c:pt>
                <c:pt idx="156">
                  <c:v>241</c:v>
                </c:pt>
                <c:pt idx="157">
                  <c:v>171</c:v>
                </c:pt>
                <c:pt idx="158">
                  <c:v>285</c:v>
                </c:pt>
                <c:pt idx="159">
                  <c:v>333</c:v>
                </c:pt>
                <c:pt idx="160">
                  <c:v>307</c:v>
                </c:pt>
                <c:pt idx="161">
                  <c:v>122</c:v>
                </c:pt>
                <c:pt idx="162">
                  <c:v>294</c:v>
                </c:pt>
                <c:pt idx="163">
                  <c:v>303</c:v>
                </c:pt>
                <c:pt idx="164">
                  <c:v>374</c:v>
                </c:pt>
                <c:pt idx="165">
                  <c:v>263</c:v>
                </c:pt>
                <c:pt idx="166">
                  <c:v>268</c:v>
                </c:pt>
                <c:pt idx="167">
                  <c:v>272</c:v>
                </c:pt>
                <c:pt idx="168">
                  <c:v>143</c:v>
                </c:pt>
                <c:pt idx="169">
                  <c:v>290</c:v>
                </c:pt>
                <c:pt idx="170">
                  <c:v>177</c:v>
                </c:pt>
                <c:pt idx="171">
                  <c:v>217</c:v>
                </c:pt>
                <c:pt idx="172">
                  <c:v>322</c:v>
                </c:pt>
                <c:pt idx="173">
                  <c:v>360</c:v>
                </c:pt>
                <c:pt idx="174">
                  <c:v>147</c:v>
                </c:pt>
                <c:pt idx="175">
                  <c:v>348</c:v>
                </c:pt>
                <c:pt idx="176">
                  <c:v>175</c:v>
                </c:pt>
                <c:pt idx="177">
                  <c:v>237</c:v>
                </c:pt>
                <c:pt idx="178">
                  <c:v>353</c:v>
                </c:pt>
                <c:pt idx="179">
                  <c:v>240</c:v>
                </c:pt>
                <c:pt idx="180">
                  <c:v>282</c:v>
                </c:pt>
                <c:pt idx="181">
                  <c:v>335</c:v>
                </c:pt>
                <c:pt idx="182">
                  <c:v>154</c:v>
                </c:pt>
                <c:pt idx="183">
                  <c:v>222</c:v>
                </c:pt>
                <c:pt idx="184">
                  <c:v>121</c:v>
                </c:pt>
                <c:pt idx="185">
                  <c:v>343</c:v>
                </c:pt>
                <c:pt idx="186">
                  <c:v>161</c:v>
                </c:pt>
                <c:pt idx="187">
                  <c:v>288</c:v>
                </c:pt>
                <c:pt idx="188">
                  <c:v>388</c:v>
                </c:pt>
                <c:pt idx="189">
                  <c:v>263</c:v>
                </c:pt>
                <c:pt idx="190">
                  <c:v>353</c:v>
                </c:pt>
                <c:pt idx="191">
                  <c:v>452</c:v>
                </c:pt>
                <c:pt idx="192">
                  <c:v>160</c:v>
                </c:pt>
                <c:pt idx="193">
                  <c:v>107</c:v>
                </c:pt>
                <c:pt idx="194">
                  <c:v>319</c:v>
                </c:pt>
                <c:pt idx="195">
                  <c:v>219</c:v>
                </c:pt>
                <c:pt idx="196">
                  <c:v>342</c:v>
                </c:pt>
                <c:pt idx="197">
                  <c:v>411</c:v>
                </c:pt>
                <c:pt idx="198">
                  <c:v>364</c:v>
                </c:pt>
                <c:pt idx="199">
                  <c:v>326</c:v>
                </c:pt>
                <c:pt idx="200">
                  <c:v>339</c:v>
                </c:pt>
                <c:pt idx="201">
                  <c:v>196</c:v>
                </c:pt>
                <c:pt idx="202">
                  <c:v>415</c:v>
                </c:pt>
                <c:pt idx="203">
                  <c:v>206</c:v>
                </c:pt>
                <c:pt idx="204">
                  <c:v>317</c:v>
                </c:pt>
                <c:pt idx="205">
                  <c:v>377</c:v>
                </c:pt>
                <c:pt idx="206">
                  <c:v>257</c:v>
                </c:pt>
                <c:pt idx="207">
                  <c:v>326</c:v>
                </c:pt>
                <c:pt idx="208">
                  <c:v>307</c:v>
                </c:pt>
                <c:pt idx="209">
                  <c:v>364</c:v>
                </c:pt>
                <c:pt idx="210">
                  <c:v>397</c:v>
                </c:pt>
                <c:pt idx="211">
                  <c:v>389</c:v>
                </c:pt>
                <c:pt idx="212">
                  <c:v>298</c:v>
                </c:pt>
                <c:pt idx="213">
                  <c:v>305</c:v>
                </c:pt>
                <c:pt idx="214">
                  <c:v>256</c:v>
                </c:pt>
                <c:pt idx="215">
                  <c:v>193</c:v>
                </c:pt>
                <c:pt idx="216">
                  <c:v>211</c:v>
                </c:pt>
                <c:pt idx="217">
                  <c:v>229</c:v>
                </c:pt>
                <c:pt idx="218">
                  <c:v>208</c:v>
                </c:pt>
                <c:pt idx="219">
                  <c:v>227</c:v>
                </c:pt>
                <c:pt idx="220">
                  <c:v>236</c:v>
                </c:pt>
                <c:pt idx="221">
                  <c:v>225</c:v>
                </c:pt>
                <c:pt idx="222">
                  <c:v>186</c:v>
                </c:pt>
                <c:pt idx="223">
                  <c:v>328</c:v>
                </c:pt>
                <c:pt idx="224">
                  <c:v>264</c:v>
                </c:pt>
                <c:pt idx="225">
                  <c:v>175</c:v>
                </c:pt>
                <c:pt idx="226">
                  <c:v>374</c:v>
                </c:pt>
                <c:pt idx="227">
                  <c:v>407</c:v>
                </c:pt>
                <c:pt idx="228">
                  <c:v>318</c:v>
                </c:pt>
                <c:pt idx="229">
                  <c:v>386</c:v>
                </c:pt>
                <c:pt idx="230">
                  <c:v>377</c:v>
                </c:pt>
                <c:pt idx="231">
                  <c:v>390</c:v>
                </c:pt>
                <c:pt idx="232">
                  <c:v>357</c:v>
                </c:pt>
                <c:pt idx="233">
                  <c:v>398</c:v>
                </c:pt>
                <c:pt idx="234">
                  <c:v>344</c:v>
                </c:pt>
                <c:pt idx="235">
                  <c:v>271</c:v>
                </c:pt>
                <c:pt idx="236">
                  <c:v>313</c:v>
                </c:pt>
                <c:pt idx="237">
                  <c:v>296</c:v>
                </c:pt>
                <c:pt idx="238">
                  <c:v>313</c:v>
                </c:pt>
                <c:pt idx="239">
                  <c:v>291</c:v>
                </c:pt>
                <c:pt idx="240">
                  <c:v>381</c:v>
                </c:pt>
                <c:pt idx="241">
                  <c:v>345</c:v>
                </c:pt>
                <c:pt idx="242">
                  <c:v>338</c:v>
                </c:pt>
                <c:pt idx="243">
                  <c:v>292</c:v>
                </c:pt>
                <c:pt idx="244">
                  <c:v>341</c:v>
                </c:pt>
                <c:pt idx="245">
                  <c:v>327</c:v>
                </c:pt>
                <c:pt idx="246">
                  <c:v>253</c:v>
                </c:pt>
                <c:pt idx="247">
                  <c:v>345</c:v>
                </c:pt>
                <c:pt idx="248">
                  <c:v>287</c:v>
                </c:pt>
                <c:pt idx="249">
                  <c:v>289</c:v>
                </c:pt>
                <c:pt idx="250">
                  <c:v>282</c:v>
                </c:pt>
                <c:pt idx="251">
                  <c:v>328</c:v>
                </c:pt>
                <c:pt idx="252">
                  <c:v>375</c:v>
                </c:pt>
                <c:pt idx="253">
                  <c:v>256</c:v>
                </c:pt>
                <c:pt idx="254">
                  <c:v>356</c:v>
                </c:pt>
                <c:pt idx="255">
                  <c:v>381</c:v>
                </c:pt>
                <c:pt idx="256">
                  <c:v>348</c:v>
                </c:pt>
                <c:pt idx="257">
                  <c:v>348</c:v>
                </c:pt>
                <c:pt idx="258">
                  <c:v>244</c:v>
                </c:pt>
                <c:pt idx="259">
                  <c:v>251</c:v>
                </c:pt>
                <c:pt idx="260">
                  <c:v>358</c:v>
                </c:pt>
                <c:pt idx="261">
                  <c:v>266</c:v>
                </c:pt>
                <c:pt idx="262">
                  <c:v>260</c:v>
                </c:pt>
                <c:pt idx="263">
                  <c:v>254</c:v>
                </c:pt>
                <c:pt idx="264">
                  <c:v>377</c:v>
                </c:pt>
                <c:pt idx="265">
                  <c:v>272</c:v>
                </c:pt>
                <c:pt idx="266">
                  <c:v>366</c:v>
                </c:pt>
                <c:pt idx="267">
                  <c:v>286</c:v>
                </c:pt>
                <c:pt idx="268">
                  <c:v>394</c:v>
                </c:pt>
                <c:pt idx="269">
                  <c:v>280</c:v>
                </c:pt>
                <c:pt idx="270">
                  <c:v>307</c:v>
                </c:pt>
                <c:pt idx="271">
                  <c:v>415</c:v>
                </c:pt>
                <c:pt idx="272">
                  <c:v>337</c:v>
                </c:pt>
                <c:pt idx="273">
                  <c:v>348</c:v>
                </c:pt>
                <c:pt idx="274">
                  <c:v>420</c:v>
                </c:pt>
                <c:pt idx="275">
                  <c:v>275</c:v>
                </c:pt>
                <c:pt idx="276">
                  <c:v>230</c:v>
                </c:pt>
                <c:pt idx="277">
                  <c:v>355</c:v>
                </c:pt>
                <c:pt idx="278">
                  <c:v>246</c:v>
                </c:pt>
                <c:pt idx="279">
                  <c:v>595</c:v>
                </c:pt>
                <c:pt idx="280">
                  <c:v>532</c:v>
                </c:pt>
                <c:pt idx="281">
                  <c:v>471</c:v>
                </c:pt>
                <c:pt idx="282">
                  <c:v>521</c:v>
                </c:pt>
                <c:pt idx="283">
                  <c:v>642</c:v>
                </c:pt>
                <c:pt idx="284">
                  <c:v>501</c:v>
                </c:pt>
                <c:pt idx="285">
                  <c:v>560</c:v>
                </c:pt>
                <c:pt idx="286">
                  <c:v>546</c:v>
                </c:pt>
                <c:pt idx="287">
                  <c:v>647</c:v>
                </c:pt>
                <c:pt idx="288">
                  <c:v>566</c:v>
                </c:pt>
                <c:pt idx="289">
                  <c:v>663</c:v>
                </c:pt>
                <c:pt idx="290">
                  <c:v>514</c:v>
                </c:pt>
                <c:pt idx="291">
                  <c:v>398</c:v>
                </c:pt>
                <c:pt idx="292">
                  <c:v>412</c:v>
                </c:pt>
                <c:pt idx="293">
                  <c:v>457</c:v>
                </c:pt>
                <c:pt idx="294">
                  <c:v>568</c:v>
                </c:pt>
                <c:pt idx="295">
                  <c:v>562</c:v>
                </c:pt>
                <c:pt idx="296">
                  <c:v>586</c:v>
                </c:pt>
                <c:pt idx="297">
                  <c:v>573</c:v>
                </c:pt>
                <c:pt idx="298">
                  <c:v>492</c:v>
                </c:pt>
                <c:pt idx="299">
                  <c:v>620</c:v>
                </c:pt>
                <c:pt idx="300">
                  <c:v>450</c:v>
                </c:pt>
                <c:pt idx="301">
                  <c:v>513</c:v>
                </c:pt>
                <c:pt idx="302">
                  <c:v>440</c:v>
                </c:pt>
                <c:pt idx="303">
                  <c:v>418</c:v>
                </c:pt>
                <c:pt idx="304">
                  <c:v>442</c:v>
                </c:pt>
                <c:pt idx="305">
                  <c:v>518</c:v>
                </c:pt>
                <c:pt idx="306">
                  <c:v>597</c:v>
                </c:pt>
                <c:pt idx="307">
                  <c:v>554</c:v>
                </c:pt>
                <c:pt idx="308">
                  <c:v>480</c:v>
                </c:pt>
                <c:pt idx="309">
                  <c:v>458</c:v>
                </c:pt>
                <c:pt idx="310">
                  <c:v>535</c:v>
                </c:pt>
                <c:pt idx="311">
                  <c:v>630</c:v>
                </c:pt>
                <c:pt idx="312">
                  <c:v>519</c:v>
                </c:pt>
                <c:pt idx="313">
                  <c:v>582</c:v>
                </c:pt>
                <c:pt idx="314">
                  <c:v>472</c:v>
                </c:pt>
                <c:pt idx="315">
                  <c:v>387</c:v>
                </c:pt>
                <c:pt idx="316">
                  <c:v>550</c:v>
                </c:pt>
                <c:pt idx="317">
                  <c:v>455</c:v>
                </c:pt>
                <c:pt idx="318">
                  <c:v>645</c:v>
                </c:pt>
                <c:pt idx="319">
                  <c:v>295</c:v>
                </c:pt>
                <c:pt idx="320">
                  <c:v>269</c:v>
                </c:pt>
                <c:pt idx="321">
                  <c:v>532</c:v>
                </c:pt>
                <c:pt idx="322">
                  <c:v>545</c:v>
                </c:pt>
                <c:pt idx="323">
                  <c:v>350</c:v>
                </c:pt>
                <c:pt idx="324">
                  <c:v>537</c:v>
                </c:pt>
                <c:pt idx="325">
                  <c:v>273</c:v>
                </c:pt>
                <c:pt idx="326">
                  <c:v>549</c:v>
                </c:pt>
                <c:pt idx="327">
                  <c:v>456</c:v>
                </c:pt>
                <c:pt idx="328">
                  <c:v>320</c:v>
                </c:pt>
                <c:pt idx="329">
                  <c:v>348</c:v>
                </c:pt>
                <c:pt idx="330">
                  <c:v>703</c:v>
                </c:pt>
                <c:pt idx="331">
                  <c:v>299</c:v>
                </c:pt>
                <c:pt idx="332">
                  <c:v>706</c:v>
                </c:pt>
                <c:pt idx="333">
                  <c:v>838</c:v>
                </c:pt>
                <c:pt idx="334">
                  <c:v>321</c:v>
                </c:pt>
                <c:pt idx="335">
                  <c:v>270</c:v>
                </c:pt>
                <c:pt idx="336">
                  <c:v>298</c:v>
                </c:pt>
                <c:pt idx="337">
                  <c:v>762</c:v>
                </c:pt>
                <c:pt idx="338">
                  <c:v>883</c:v>
                </c:pt>
                <c:pt idx="339">
                  <c:v>365</c:v>
                </c:pt>
                <c:pt idx="340">
                  <c:v>720</c:v>
                </c:pt>
                <c:pt idx="341">
                  <c:v>436</c:v>
                </c:pt>
                <c:pt idx="342">
                  <c:v>868</c:v>
                </c:pt>
                <c:pt idx="343">
                  <c:v>356</c:v>
                </c:pt>
                <c:pt idx="344">
                  <c:v>654</c:v>
                </c:pt>
                <c:pt idx="345">
                  <c:v>339</c:v>
                </c:pt>
                <c:pt idx="346">
                  <c:v>791</c:v>
                </c:pt>
                <c:pt idx="347">
                  <c:v>416</c:v>
                </c:pt>
                <c:pt idx="348">
                  <c:v>329</c:v>
                </c:pt>
                <c:pt idx="349">
                  <c:v>365</c:v>
                </c:pt>
                <c:pt idx="350">
                  <c:v>488</c:v>
                </c:pt>
                <c:pt idx="351">
                  <c:v>643</c:v>
                </c:pt>
                <c:pt idx="352">
                  <c:v>581</c:v>
                </c:pt>
                <c:pt idx="353">
                  <c:v>620</c:v>
                </c:pt>
                <c:pt idx="354">
                  <c:v>649</c:v>
                </c:pt>
                <c:pt idx="355">
                  <c:v>550</c:v>
                </c:pt>
                <c:pt idx="356">
                  <c:v>661</c:v>
                </c:pt>
                <c:pt idx="357">
                  <c:v>632</c:v>
                </c:pt>
                <c:pt idx="358">
                  <c:v>494</c:v>
                </c:pt>
                <c:pt idx="359">
                  <c:v>511</c:v>
                </c:pt>
                <c:pt idx="360">
                  <c:v>605</c:v>
                </c:pt>
                <c:pt idx="361">
                  <c:v>546</c:v>
                </c:pt>
                <c:pt idx="362">
                  <c:v>603</c:v>
                </c:pt>
                <c:pt idx="363">
                  <c:v>571</c:v>
                </c:pt>
                <c:pt idx="364">
                  <c:v>690</c:v>
                </c:pt>
                <c:pt idx="365">
                  <c:v>581</c:v>
                </c:pt>
                <c:pt idx="366">
                  <c:v>633</c:v>
                </c:pt>
                <c:pt idx="367">
                  <c:v>754</c:v>
                </c:pt>
                <c:pt idx="368">
                  <c:v>650</c:v>
                </c:pt>
                <c:pt idx="369">
                  <c:v>697</c:v>
                </c:pt>
                <c:pt idx="370">
                  <c:v>903</c:v>
                </c:pt>
                <c:pt idx="371">
                  <c:v>783</c:v>
                </c:pt>
                <c:pt idx="372">
                  <c:v>709</c:v>
                </c:pt>
                <c:pt idx="373">
                  <c:v>794</c:v>
                </c:pt>
                <c:pt idx="374">
                  <c:v>557</c:v>
                </c:pt>
                <c:pt idx="375">
                  <c:v>740</c:v>
                </c:pt>
                <c:pt idx="376">
                  <c:v>533</c:v>
                </c:pt>
                <c:pt idx="377">
                  <c:v>544</c:v>
                </c:pt>
                <c:pt idx="378">
                  <c:v>528</c:v>
                </c:pt>
                <c:pt idx="379">
                  <c:v>797</c:v>
                </c:pt>
                <c:pt idx="380">
                  <c:v>562</c:v>
                </c:pt>
                <c:pt idx="381">
                  <c:v>784</c:v>
                </c:pt>
                <c:pt idx="382">
                  <c:v>451</c:v>
                </c:pt>
                <c:pt idx="383">
                  <c:v>452</c:v>
                </c:pt>
                <c:pt idx="384">
                  <c:v>531</c:v>
                </c:pt>
                <c:pt idx="385">
                  <c:v>745</c:v>
                </c:pt>
                <c:pt idx="386">
                  <c:v>640</c:v>
                </c:pt>
                <c:pt idx="387">
                  <c:v>499</c:v>
                </c:pt>
                <c:pt idx="388">
                  <c:v>900</c:v>
                </c:pt>
                <c:pt idx="389">
                  <c:v>847</c:v>
                </c:pt>
                <c:pt idx="390">
                  <c:v>829</c:v>
                </c:pt>
                <c:pt idx="391">
                  <c:v>717</c:v>
                </c:pt>
                <c:pt idx="392">
                  <c:v>805</c:v>
                </c:pt>
                <c:pt idx="393">
                  <c:v>813</c:v>
                </c:pt>
                <c:pt idx="394">
                  <c:v>643</c:v>
                </c:pt>
                <c:pt idx="395">
                  <c:v>685</c:v>
                </c:pt>
                <c:pt idx="396">
                  <c:v>1136</c:v>
                </c:pt>
                <c:pt idx="397">
                  <c:v>963</c:v>
                </c:pt>
                <c:pt idx="398">
                  <c:v>1054</c:v>
                </c:pt>
                <c:pt idx="399">
                  <c:v>879</c:v>
                </c:pt>
                <c:pt idx="400">
                  <c:v>1053</c:v>
                </c:pt>
                <c:pt idx="401">
                  <c:v>1075</c:v>
                </c:pt>
                <c:pt idx="402">
                  <c:v>1025</c:v>
                </c:pt>
                <c:pt idx="403">
                  <c:v>893</c:v>
                </c:pt>
                <c:pt idx="404">
                  <c:v>825</c:v>
                </c:pt>
                <c:pt idx="405">
                  <c:v>1508</c:v>
                </c:pt>
                <c:pt idx="406">
                  <c:v>1069</c:v>
                </c:pt>
                <c:pt idx="407">
                  <c:v>1423</c:v>
                </c:pt>
                <c:pt idx="408">
                  <c:v>1232</c:v>
                </c:pt>
                <c:pt idx="409">
                  <c:v>1141</c:v>
                </c:pt>
                <c:pt idx="410">
                  <c:v>1232</c:v>
                </c:pt>
                <c:pt idx="411">
                  <c:v>1176</c:v>
                </c:pt>
                <c:pt idx="412">
                  <c:v>1215</c:v>
                </c:pt>
                <c:pt idx="413">
                  <c:v>1207</c:v>
                </c:pt>
                <c:pt idx="414">
                  <c:v>1526</c:v>
                </c:pt>
                <c:pt idx="415">
                  <c:v>1168</c:v>
                </c:pt>
                <c:pt idx="416">
                  <c:v>947</c:v>
                </c:pt>
                <c:pt idx="417">
                  <c:v>1208</c:v>
                </c:pt>
                <c:pt idx="418">
                  <c:v>1132</c:v>
                </c:pt>
                <c:pt idx="419">
                  <c:v>1191</c:v>
                </c:pt>
                <c:pt idx="420">
                  <c:v>1068</c:v>
                </c:pt>
                <c:pt idx="421">
                  <c:v>1422</c:v>
                </c:pt>
                <c:pt idx="422">
                  <c:v>1154</c:v>
                </c:pt>
                <c:pt idx="423">
                  <c:v>973</c:v>
                </c:pt>
                <c:pt idx="424">
                  <c:v>962</c:v>
                </c:pt>
                <c:pt idx="425">
                  <c:v>1078</c:v>
                </c:pt>
                <c:pt idx="426">
                  <c:v>1055</c:v>
                </c:pt>
                <c:pt idx="427">
                  <c:v>1153</c:v>
                </c:pt>
                <c:pt idx="428">
                  <c:v>1084</c:v>
                </c:pt>
                <c:pt idx="429">
                  <c:v>2208</c:v>
                </c:pt>
                <c:pt idx="430">
                  <c:v>2498</c:v>
                </c:pt>
                <c:pt idx="431">
                  <c:v>2273</c:v>
                </c:pt>
                <c:pt idx="432">
                  <c:v>1097</c:v>
                </c:pt>
                <c:pt idx="433">
                  <c:v>2090</c:v>
                </c:pt>
                <c:pt idx="434">
                  <c:v>2430</c:v>
                </c:pt>
                <c:pt idx="435">
                  <c:v>2244</c:v>
                </c:pt>
                <c:pt idx="436">
                  <c:v>2464</c:v>
                </c:pt>
                <c:pt idx="437">
                  <c:v>2081</c:v>
                </c:pt>
                <c:pt idx="438">
                  <c:v>2166</c:v>
                </c:pt>
                <c:pt idx="439">
                  <c:v>1088</c:v>
                </c:pt>
                <c:pt idx="440">
                  <c:v>1294</c:v>
                </c:pt>
                <c:pt idx="441">
                  <c:v>1245</c:v>
                </c:pt>
                <c:pt idx="442">
                  <c:v>1219</c:v>
                </c:pt>
                <c:pt idx="443">
                  <c:v>1265</c:v>
                </c:pt>
                <c:pt idx="444">
                  <c:v>1211</c:v>
                </c:pt>
                <c:pt idx="445">
                  <c:v>1277</c:v>
                </c:pt>
                <c:pt idx="446">
                  <c:v>1253</c:v>
                </c:pt>
                <c:pt idx="447">
                  <c:v>1190</c:v>
                </c:pt>
                <c:pt idx="448">
                  <c:v>1026</c:v>
                </c:pt>
                <c:pt idx="449">
                  <c:v>1031</c:v>
                </c:pt>
                <c:pt idx="450">
                  <c:v>2856</c:v>
                </c:pt>
                <c:pt idx="451">
                  <c:v>2955</c:v>
                </c:pt>
                <c:pt idx="452">
                  <c:v>3050</c:v>
                </c:pt>
                <c:pt idx="453">
                  <c:v>2938</c:v>
                </c:pt>
                <c:pt idx="454">
                  <c:v>3264</c:v>
                </c:pt>
                <c:pt idx="455">
                  <c:v>2638</c:v>
                </c:pt>
                <c:pt idx="456">
                  <c:v>3017</c:v>
                </c:pt>
                <c:pt idx="457">
                  <c:v>2985</c:v>
                </c:pt>
                <c:pt idx="458">
                  <c:v>2725</c:v>
                </c:pt>
              </c:numCache>
            </c:numRef>
          </c:val>
          <c:extLst>
            <c:ext xmlns:c16="http://schemas.microsoft.com/office/drawing/2014/chart" uri="{C3380CC4-5D6E-409C-BE32-E72D297353CC}">
              <c16:uniqueId val="{00000004-ACB9-47DC-B1E4-95EF7061FF19}"/>
            </c:ext>
          </c:extLst>
        </c:ser>
        <c:dLbls>
          <c:showLegendKey val="0"/>
          <c:showVal val="0"/>
          <c:showCatName val="0"/>
          <c:showSerName val="0"/>
          <c:showPercent val="0"/>
          <c:showBubbleSize val="0"/>
        </c:dLbls>
        <c:gapWidth val="219"/>
        <c:overlap val="-27"/>
        <c:axId val="719212272"/>
        <c:axId val="719214672"/>
      </c:barChart>
      <c:catAx>
        <c:axId val="71921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214672"/>
        <c:crosses val="autoZero"/>
        <c:auto val="1"/>
        <c:lblAlgn val="ctr"/>
        <c:lblOffset val="100"/>
        <c:noMultiLvlLbl val="0"/>
      </c:catAx>
      <c:valAx>
        <c:axId val="719214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21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601980</xdr:colOff>
      <xdr:row>3</xdr:row>
      <xdr:rowOff>163830</xdr:rowOff>
    </xdr:from>
    <xdr:to>
      <xdr:col>13</xdr:col>
      <xdr:colOff>510540</xdr:colOff>
      <xdr:row>22</xdr:row>
      <xdr:rowOff>7620</xdr:rowOff>
    </xdr:to>
    <xdr:graphicFrame macro="">
      <xdr:nvGraphicFramePr>
        <xdr:cNvPr id="3" name="Chart 2">
          <a:extLst>
            <a:ext uri="{FF2B5EF4-FFF2-40B4-BE49-F238E27FC236}">
              <a16:creationId xmlns:a16="http://schemas.microsoft.com/office/drawing/2014/main" id="{224B4AB4-8DCE-7295-304D-EA4E81DA4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91440</xdr:colOff>
      <xdr:row>4</xdr:row>
      <xdr:rowOff>64770</xdr:rowOff>
    </xdr:from>
    <xdr:to>
      <xdr:col>13</xdr:col>
      <xdr:colOff>548640</xdr:colOff>
      <xdr:row>22</xdr:row>
      <xdr:rowOff>30480</xdr:rowOff>
    </xdr:to>
    <xdr:graphicFrame macro="">
      <xdr:nvGraphicFramePr>
        <xdr:cNvPr id="3" name="Chart 2">
          <a:extLst>
            <a:ext uri="{FF2B5EF4-FFF2-40B4-BE49-F238E27FC236}">
              <a16:creationId xmlns:a16="http://schemas.microsoft.com/office/drawing/2014/main" id="{72F88C3F-24FF-B475-5B3E-E3D4DB036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xdr:colOff>
      <xdr:row>3</xdr:row>
      <xdr:rowOff>137160</xdr:rowOff>
    </xdr:from>
    <xdr:to>
      <xdr:col>14</xdr:col>
      <xdr:colOff>434340</xdr:colOff>
      <xdr:row>24</xdr:row>
      <xdr:rowOff>99060</xdr:rowOff>
    </xdr:to>
    <xdr:graphicFrame macro="">
      <xdr:nvGraphicFramePr>
        <xdr:cNvPr id="3" name="Chart 2">
          <a:extLst>
            <a:ext uri="{FF2B5EF4-FFF2-40B4-BE49-F238E27FC236}">
              <a16:creationId xmlns:a16="http://schemas.microsoft.com/office/drawing/2014/main" id="{0B74FD9C-1473-B209-8D6E-1182F2727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ryk\Desktop\DATA%20ANALYST\FINAL\1.7%20Tranformation%20and%20Integration.xlsx" TargetMode="External"/><Relationship Id="rId1" Type="http://schemas.openxmlformats.org/officeDocument/2006/relationships/externalLinkPath" Target="FINAL/1.7%20Tranformation%20and%20Integr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egrated Data"/>
      <sheetName val="Data Mapping"/>
      <sheetName val="CDC Influenza Mortality Data"/>
      <sheetName val="Pivot Flu Deaths"/>
      <sheetName val="Pivot Census"/>
      <sheetName val="PCensus Data"/>
      <sheetName val="Census Age Range "/>
      <sheetName val="Flu Deaths Updated"/>
      <sheetName val="Aligning Age groups"/>
      <sheetName val="Primary Source Census"/>
    </sheetNames>
    <sheetDataSet>
      <sheetData sheetId="0"/>
      <sheetData sheetId="1"/>
      <sheetData sheetId="2"/>
      <sheetData sheetId="3"/>
      <sheetData sheetId="4"/>
      <sheetData sheetId="5"/>
      <sheetData sheetId="6"/>
      <sheetData sheetId="7">
        <row r="2">
          <cell r="A2" t="str">
            <v>Alabama, 2009</v>
          </cell>
          <cell r="B2" t="str">
            <v>Alabama</v>
          </cell>
          <cell r="C2">
            <v>2009</v>
          </cell>
          <cell r="D2">
            <v>120</v>
          </cell>
          <cell r="E2">
            <v>60</v>
          </cell>
          <cell r="F2">
            <v>60</v>
          </cell>
          <cell r="G2">
            <v>60</v>
          </cell>
          <cell r="H2">
            <v>73</v>
          </cell>
          <cell r="I2">
            <v>60</v>
          </cell>
          <cell r="J2">
            <v>77</v>
          </cell>
          <cell r="K2">
            <v>113</v>
          </cell>
          <cell r="L2">
            <v>261</v>
          </cell>
          <cell r="M2">
            <v>356</v>
          </cell>
          <cell r="N2">
            <v>60</v>
          </cell>
        </row>
        <row r="3">
          <cell r="A3" t="str">
            <v>Alabama, 2010</v>
          </cell>
          <cell r="B3" t="str">
            <v>Alabama</v>
          </cell>
          <cell r="C3">
            <v>2010</v>
          </cell>
          <cell r="D3">
            <v>120</v>
          </cell>
          <cell r="E3">
            <v>60</v>
          </cell>
          <cell r="F3">
            <v>60</v>
          </cell>
          <cell r="G3">
            <v>60</v>
          </cell>
          <cell r="H3">
            <v>65</v>
          </cell>
          <cell r="I3">
            <v>60</v>
          </cell>
          <cell r="J3">
            <v>85</v>
          </cell>
          <cell r="K3">
            <v>153</v>
          </cell>
          <cell r="L3">
            <v>263</v>
          </cell>
          <cell r="M3">
            <v>348</v>
          </cell>
          <cell r="N3">
            <v>60</v>
          </cell>
        </row>
        <row r="4">
          <cell r="A4" t="str">
            <v>Alabama, 2011</v>
          </cell>
          <cell r="B4" t="str">
            <v>Alabama</v>
          </cell>
          <cell r="C4">
            <v>2011</v>
          </cell>
          <cell r="D4">
            <v>120</v>
          </cell>
          <cell r="E4">
            <v>60</v>
          </cell>
          <cell r="F4">
            <v>60</v>
          </cell>
          <cell r="G4">
            <v>60</v>
          </cell>
          <cell r="H4">
            <v>60</v>
          </cell>
          <cell r="I4">
            <v>60</v>
          </cell>
          <cell r="J4">
            <v>70</v>
          </cell>
          <cell r="K4">
            <v>131</v>
          </cell>
          <cell r="L4">
            <v>292</v>
          </cell>
          <cell r="M4">
            <v>348</v>
          </cell>
          <cell r="N4">
            <v>60</v>
          </cell>
        </row>
        <row r="5">
          <cell r="A5" t="str">
            <v>Alabama, 2012</v>
          </cell>
          <cell r="B5" t="str">
            <v>Alabama</v>
          </cell>
          <cell r="C5">
            <v>2012</v>
          </cell>
          <cell r="D5">
            <v>120</v>
          </cell>
          <cell r="E5">
            <v>60</v>
          </cell>
          <cell r="F5">
            <v>60</v>
          </cell>
          <cell r="G5">
            <v>60</v>
          </cell>
          <cell r="H5">
            <v>60</v>
          </cell>
          <cell r="I5">
            <v>60</v>
          </cell>
          <cell r="J5">
            <v>75</v>
          </cell>
          <cell r="K5">
            <v>128</v>
          </cell>
          <cell r="L5">
            <v>270</v>
          </cell>
          <cell r="M5">
            <v>358</v>
          </cell>
          <cell r="N5">
            <v>60</v>
          </cell>
        </row>
        <row r="6">
          <cell r="A6" t="str">
            <v>Alabama, 2013</v>
          </cell>
          <cell r="B6" t="str">
            <v>Alabama</v>
          </cell>
          <cell r="C6">
            <v>2013</v>
          </cell>
          <cell r="D6">
            <v>120</v>
          </cell>
          <cell r="E6">
            <v>60</v>
          </cell>
          <cell r="F6">
            <v>60</v>
          </cell>
          <cell r="G6">
            <v>60</v>
          </cell>
          <cell r="H6">
            <v>65</v>
          </cell>
          <cell r="I6">
            <v>60</v>
          </cell>
          <cell r="J6">
            <v>119</v>
          </cell>
          <cell r="K6">
            <v>128</v>
          </cell>
          <cell r="L6">
            <v>283</v>
          </cell>
          <cell r="M6">
            <v>381</v>
          </cell>
          <cell r="N6">
            <v>60</v>
          </cell>
        </row>
        <row r="7">
          <cell r="A7" t="str">
            <v>Alabama, 2014</v>
          </cell>
          <cell r="B7" t="str">
            <v>Alabama</v>
          </cell>
          <cell r="C7">
            <v>2014</v>
          </cell>
          <cell r="D7">
            <v>120</v>
          </cell>
          <cell r="E7">
            <v>60</v>
          </cell>
          <cell r="F7">
            <v>60</v>
          </cell>
          <cell r="G7">
            <v>70</v>
          </cell>
          <cell r="H7">
            <v>86</v>
          </cell>
          <cell r="I7">
            <v>60</v>
          </cell>
          <cell r="J7">
            <v>98</v>
          </cell>
          <cell r="K7">
            <v>177</v>
          </cell>
          <cell r="L7">
            <v>261</v>
          </cell>
          <cell r="M7">
            <v>345</v>
          </cell>
          <cell r="N7">
            <v>60</v>
          </cell>
        </row>
        <row r="8">
          <cell r="A8" t="str">
            <v>Alabama, 2015</v>
          </cell>
          <cell r="B8" t="str">
            <v>Alabama</v>
          </cell>
          <cell r="C8">
            <v>2015</v>
          </cell>
          <cell r="D8">
            <v>120</v>
          </cell>
          <cell r="E8">
            <v>60</v>
          </cell>
          <cell r="F8">
            <v>60</v>
          </cell>
          <cell r="G8">
            <v>60</v>
          </cell>
          <cell r="H8">
            <v>60</v>
          </cell>
          <cell r="I8">
            <v>60</v>
          </cell>
          <cell r="J8">
            <v>122</v>
          </cell>
          <cell r="K8">
            <v>196</v>
          </cell>
          <cell r="L8">
            <v>308</v>
          </cell>
          <cell r="M8">
            <v>381</v>
          </cell>
          <cell r="N8">
            <v>60</v>
          </cell>
        </row>
        <row r="9">
          <cell r="A9" t="str">
            <v>Alabama, 2016</v>
          </cell>
          <cell r="B9" t="str">
            <v>Alabama</v>
          </cell>
          <cell r="C9">
            <v>2016</v>
          </cell>
          <cell r="D9">
            <v>120</v>
          </cell>
          <cell r="E9">
            <v>60</v>
          </cell>
          <cell r="F9">
            <v>60</v>
          </cell>
          <cell r="G9">
            <v>60</v>
          </cell>
          <cell r="H9">
            <v>67</v>
          </cell>
          <cell r="I9">
            <v>60</v>
          </cell>
          <cell r="J9">
            <v>126</v>
          </cell>
          <cell r="K9">
            <v>191</v>
          </cell>
          <cell r="L9">
            <v>277</v>
          </cell>
          <cell r="M9">
            <v>289</v>
          </cell>
          <cell r="N9">
            <v>60</v>
          </cell>
        </row>
        <row r="10">
          <cell r="A10" t="str">
            <v>Alabama, 2017</v>
          </cell>
          <cell r="B10" t="str">
            <v>Alabama</v>
          </cell>
          <cell r="C10">
            <v>2017</v>
          </cell>
          <cell r="D10">
            <v>120</v>
          </cell>
          <cell r="E10">
            <v>60</v>
          </cell>
          <cell r="F10">
            <v>60</v>
          </cell>
          <cell r="G10">
            <v>60</v>
          </cell>
          <cell r="H10">
            <v>65</v>
          </cell>
          <cell r="I10">
            <v>60</v>
          </cell>
          <cell r="J10">
            <v>119</v>
          </cell>
          <cell r="K10">
            <v>227</v>
          </cell>
          <cell r="L10">
            <v>338</v>
          </cell>
          <cell r="M10">
            <v>375</v>
          </cell>
          <cell r="N10">
            <v>60</v>
          </cell>
        </row>
        <row r="11">
          <cell r="A11" t="str">
            <v>Alaska, 2009</v>
          </cell>
          <cell r="B11" t="str">
            <v>Alaska</v>
          </cell>
          <cell r="C11">
            <v>2009</v>
          </cell>
          <cell r="D11">
            <v>120</v>
          </cell>
          <cell r="E11">
            <v>60</v>
          </cell>
          <cell r="F11">
            <v>60</v>
          </cell>
          <cell r="G11">
            <v>60</v>
          </cell>
          <cell r="H11">
            <v>60</v>
          </cell>
          <cell r="I11">
            <v>60</v>
          </cell>
          <cell r="J11">
            <v>60</v>
          </cell>
          <cell r="K11">
            <v>60</v>
          </cell>
          <cell r="L11">
            <v>60</v>
          </cell>
          <cell r="M11">
            <v>60</v>
          </cell>
          <cell r="N11">
            <v>60</v>
          </cell>
        </row>
        <row r="12">
          <cell r="A12" t="str">
            <v>Alaska, 2010</v>
          </cell>
          <cell r="B12" t="str">
            <v>Alaska</v>
          </cell>
          <cell r="C12">
            <v>2010</v>
          </cell>
          <cell r="D12">
            <v>120</v>
          </cell>
          <cell r="E12">
            <v>60</v>
          </cell>
          <cell r="F12">
            <v>60</v>
          </cell>
          <cell r="G12">
            <v>60</v>
          </cell>
          <cell r="H12">
            <v>60</v>
          </cell>
          <cell r="I12">
            <v>60</v>
          </cell>
          <cell r="J12">
            <v>60</v>
          </cell>
          <cell r="K12">
            <v>60</v>
          </cell>
          <cell r="L12">
            <v>60</v>
          </cell>
          <cell r="M12">
            <v>60</v>
          </cell>
          <cell r="N12">
            <v>60</v>
          </cell>
        </row>
        <row r="13">
          <cell r="A13" t="str">
            <v>Alaska, 2011</v>
          </cell>
          <cell r="B13" t="str">
            <v>Alaska</v>
          </cell>
          <cell r="C13">
            <v>2011</v>
          </cell>
          <cell r="D13">
            <v>120</v>
          </cell>
          <cell r="E13">
            <v>60</v>
          </cell>
          <cell r="F13">
            <v>60</v>
          </cell>
          <cell r="G13">
            <v>60</v>
          </cell>
          <cell r="H13">
            <v>60</v>
          </cell>
          <cell r="I13">
            <v>60</v>
          </cell>
          <cell r="J13">
            <v>60</v>
          </cell>
          <cell r="K13">
            <v>60</v>
          </cell>
          <cell r="L13">
            <v>60</v>
          </cell>
          <cell r="M13">
            <v>60</v>
          </cell>
          <cell r="N13">
            <v>60</v>
          </cell>
        </row>
        <row r="14">
          <cell r="A14" t="str">
            <v>Alaska, 2012</v>
          </cell>
          <cell r="B14" t="str">
            <v>Alaska</v>
          </cell>
          <cell r="C14">
            <v>2012</v>
          </cell>
          <cell r="D14">
            <v>120</v>
          </cell>
          <cell r="E14">
            <v>60</v>
          </cell>
          <cell r="F14">
            <v>60</v>
          </cell>
          <cell r="G14">
            <v>60</v>
          </cell>
          <cell r="H14">
            <v>60</v>
          </cell>
          <cell r="I14">
            <v>60</v>
          </cell>
          <cell r="J14">
            <v>60</v>
          </cell>
          <cell r="K14">
            <v>60</v>
          </cell>
          <cell r="L14">
            <v>60</v>
          </cell>
          <cell r="M14">
            <v>60</v>
          </cell>
          <cell r="N14">
            <v>60</v>
          </cell>
        </row>
        <row r="15">
          <cell r="A15" t="str">
            <v>Alaska, 2013</v>
          </cell>
          <cell r="B15" t="str">
            <v>Alaska</v>
          </cell>
          <cell r="C15">
            <v>2013</v>
          </cell>
          <cell r="D15">
            <v>120</v>
          </cell>
          <cell r="E15">
            <v>60</v>
          </cell>
          <cell r="F15">
            <v>60</v>
          </cell>
          <cell r="G15">
            <v>60</v>
          </cell>
          <cell r="H15">
            <v>60</v>
          </cell>
          <cell r="I15">
            <v>60</v>
          </cell>
          <cell r="J15">
            <v>60</v>
          </cell>
          <cell r="K15">
            <v>60</v>
          </cell>
          <cell r="L15">
            <v>60</v>
          </cell>
          <cell r="M15">
            <v>60</v>
          </cell>
          <cell r="N15">
            <v>60</v>
          </cell>
        </row>
        <row r="16">
          <cell r="A16" t="str">
            <v>Alaska, 2014</v>
          </cell>
          <cell r="B16" t="str">
            <v>Alaska</v>
          </cell>
          <cell r="C16">
            <v>2014</v>
          </cell>
          <cell r="D16">
            <v>120</v>
          </cell>
          <cell r="E16">
            <v>60</v>
          </cell>
          <cell r="F16">
            <v>60</v>
          </cell>
          <cell r="G16">
            <v>60</v>
          </cell>
          <cell r="H16">
            <v>60</v>
          </cell>
          <cell r="I16">
            <v>60</v>
          </cell>
          <cell r="J16">
            <v>60</v>
          </cell>
          <cell r="K16">
            <v>60</v>
          </cell>
          <cell r="L16">
            <v>60</v>
          </cell>
          <cell r="M16">
            <v>60</v>
          </cell>
          <cell r="N16">
            <v>60</v>
          </cell>
        </row>
        <row r="17">
          <cell r="A17" t="str">
            <v>Alaska, 2015</v>
          </cell>
          <cell r="B17" t="str">
            <v>Alaska</v>
          </cell>
          <cell r="C17">
            <v>2015</v>
          </cell>
          <cell r="D17">
            <v>120</v>
          </cell>
          <cell r="E17">
            <v>60</v>
          </cell>
          <cell r="F17">
            <v>60</v>
          </cell>
          <cell r="G17">
            <v>60</v>
          </cell>
          <cell r="H17">
            <v>60</v>
          </cell>
          <cell r="I17">
            <v>60</v>
          </cell>
          <cell r="J17">
            <v>60</v>
          </cell>
          <cell r="K17">
            <v>60</v>
          </cell>
          <cell r="L17">
            <v>60</v>
          </cell>
          <cell r="M17">
            <v>60</v>
          </cell>
          <cell r="N17">
            <v>60</v>
          </cell>
        </row>
        <row r="18">
          <cell r="A18" t="str">
            <v>Alaska, 2016</v>
          </cell>
          <cell r="B18" t="str">
            <v>Alaska</v>
          </cell>
          <cell r="C18">
            <v>2016</v>
          </cell>
          <cell r="D18">
            <v>120</v>
          </cell>
          <cell r="E18">
            <v>60</v>
          </cell>
          <cell r="F18">
            <v>60</v>
          </cell>
          <cell r="G18">
            <v>60</v>
          </cell>
          <cell r="H18">
            <v>60</v>
          </cell>
          <cell r="I18">
            <v>60</v>
          </cell>
          <cell r="J18">
            <v>60</v>
          </cell>
          <cell r="K18">
            <v>60</v>
          </cell>
          <cell r="L18">
            <v>60</v>
          </cell>
          <cell r="M18">
            <v>60</v>
          </cell>
          <cell r="N18">
            <v>60</v>
          </cell>
        </row>
        <row r="19">
          <cell r="A19" t="str">
            <v>Alaska, 2017</v>
          </cell>
          <cell r="B19" t="str">
            <v>Alaska</v>
          </cell>
          <cell r="C19">
            <v>2017</v>
          </cell>
          <cell r="D19">
            <v>120</v>
          </cell>
          <cell r="E19">
            <v>60</v>
          </cell>
          <cell r="F19">
            <v>60</v>
          </cell>
          <cell r="G19">
            <v>60</v>
          </cell>
          <cell r="H19">
            <v>60</v>
          </cell>
          <cell r="I19">
            <v>60</v>
          </cell>
          <cell r="J19">
            <v>60</v>
          </cell>
          <cell r="K19">
            <v>60</v>
          </cell>
          <cell r="L19">
            <v>60</v>
          </cell>
          <cell r="M19">
            <v>60</v>
          </cell>
          <cell r="N19">
            <v>60</v>
          </cell>
        </row>
        <row r="20">
          <cell r="A20" t="str">
            <v>Arizona, 2009</v>
          </cell>
          <cell r="B20" t="str">
            <v>Arizona</v>
          </cell>
          <cell r="C20">
            <v>2009</v>
          </cell>
          <cell r="D20">
            <v>120</v>
          </cell>
          <cell r="E20">
            <v>60</v>
          </cell>
          <cell r="F20">
            <v>60</v>
          </cell>
          <cell r="G20">
            <v>65</v>
          </cell>
          <cell r="H20">
            <v>82</v>
          </cell>
          <cell r="I20">
            <v>60</v>
          </cell>
          <cell r="J20">
            <v>77</v>
          </cell>
          <cell r="K20">
            <v>161</v>
          </cell>
          <cell r="L20">
            <v>278</v>
          </cell>
          <cell r="M20">
            <v>350</v>
          </cell>
          <cell r="N20">
            <v>60</v>
          </cell>
        </row>
        <row r="21">
          <cell r="A21" t="str">
            <v>Arizona, 2010</v>
          </cell>
          <cell r="B21" t="str">
            <v>Arizona</v>
          </cell>
          <cell r="C21">
            <v>2010</v>
          </cell>
          <cell r="D21">
            <v>120</v>
          </cell>
          <cell r="E21">
            <v>60</v>
          </cell>
          <cell r="F21">
            <v>60</v>
          </cell>
          <cell r="G21">
            <v>60</v>
          </cell>
          <cell r="H21">
            <v>60</v>
          </cell>
          <cell r="I21">
            <v>60</v>
          </cell>
          <cell r="J21">
            <v>76</v>
          </cell>
          <cell r="K21">
            <v>92</v>
          </cell>
          <cell r="L21">
            <v>213</v>
          </cell>
          <cell r="M21">
            <v>295</v>
          </cell>
          <cell r="N21">
            <v>60</v>
          </cell>
        </row>
        <row r="22">
          <cell r="A22" t="str">
            <v>Arizona, 2011</v>
          </cell>
          <cell r="B22" t="str">
            <v>Arizona</v>
          </cell>
          <cell r="C22">
            <v>2011</v>
          </cell>
          <cell r="D22">
            <v>120</v>
          </cell>
          <cell r="E22">
            <v>60</v>
          </cell>
          <cell r="F22">
            <v>60</v>
          </cell>
          <cell r="G22">
            <v>60</v>
          </cell>
          <cell r="H22">
            <v>65</v>
          </cell>
          <cell r="I22">
            <v>60</v>
          </cell>
          <cell r="J22">
            <v>60</v>
          </cell>
          <cell r="K22">
            <v>95</v>
          </cell>
          <cell r="L22">
            <v>198</v>
          </cell>
          <cell r="M22">
            <v>269</v>
          </cell>
          <cell r="N22">
            <v>60</v>
          </cell>
        </row>
        <row r="23">
          <cell r="A23" t="str">
            <v>Arizona, 2012</v>
          </cell>
          <cell r="B23" t="str">
            <v>Arizona</v>
          </cell>
          <cell r="C23">
            <v>2012</v>
          </cell>
          <cell r="D23">
            <v>120</v>
          </cell>
          <cell r="E23">
            <v>60</v>
          </cell>
          <cell r="F23">
            <v>60</v>
          </cell>
          <cell r="G23">
            <v>60</v>
          </cell>
          <cell r="H23">
            <v>60</v>
          </cell>
          <cell r="I23">
            <v>60</v>
          </cell>
          <cell r="J23">
            <v>66</v>
          </cell>
          <cell r="K23">
            <v>80</v>
          </cell>
          <cell r="L23">
            <v>204</v>
          </cell>
          <cell r="M23">
            <v>273</v>
          </cell>
          <cell r="N23">
            <v>60</v>
          </cell>
        </row>
        <row r="24">
          <cell r="A24" t="str">
            <v>Arizona, 2013</v>
          </cell>
          <cell r="B24" t="str">
            <v>Arizona</v>
          </cell>
          <cell r="C24">
            <v>2013</v>
          </cell>
          <cell r="D24">
            <v>120</v>
          </cell>
          <cell r="E24">
            <v>60</v>
          </cell>
          <cell r="F24">
            <v>60</v>
          </cell>
          <cell r="G24">
            <v>60</v>
          </cell>
          <cell r="H24">
            <v>60</v>
          </cell>
          <cell r="I24">
            <v>60</v>
          </cell>
          <cell r="J24">
            <v>65</v>
          </cell>
          <cell r="K24">
            <v>88</v>
          </cell>
          <cell r="L24">
            <v>197</v>
          </cell>
          <cell r="M24">
            <v>348</v>
          </cell>
          <cell r="N24">
            <v>60</v>
          </cell>
        </row>
        <row r="25">
          <cell r="A25" t="str">
            <v>Arizona, 2014</v>
          </cell>
          <cell r="B25" t="str">
            <v>Arizona</v>
          </cell>
          <cell r="C25">
            <v>2014</v>
          </cell>
          <cell r="D25">
            <v>120</v>
          </cell>
          <cell r="E25">
            <v>60</v>
          </cell>
          <cell r="F25">
            <v>60</v>
          </cell>
          <cell r="G25">
            <v>65</v>
          </cell>
          <cell r="H25">
            <v>70</v>
          </cell>
          <cell r="I25">
            <v>60</v>
          </cell>
          <cell r="J25">
            <v>83</v>
          </cell>
          <cell r="K25">
            <v>134</v>
          </cell>
          <cell r="L25">
            <v>184</v>
          </cell>
          <cell r="M25">
            <v>270</v>
          </cell>
          <cell r="N25">
            <v>60</v>
          </cell>
        </row>
        <row r="26">
          <cell r="A26" t="str">
            <v>Arizona, 2015</v>
          </cell>
          <cell r="B26" t="str">
            <v>Arizona</v>
          </cell>
          <cell r="C26">
            <v>2015</v>
          </cell>
          <cell r="D26">
            <v>120</v>
          </cell>
          <cell r="E26">
            <v>60</v>
          </cell>
          <cell r="F26">
            <v>60</v>
          </cell>
          <cell r="G26">
            <v>60</v>
          </cell>
          <cell r="H26">
            <v>60</v>
          </cell>
          <cell r="I26">
            <v>60</v>
          </cell>
          <cell r="J26">
            <v>67</v>
          </cell>
          <cell r="K26">
            <v>107</v>
          </cell>
          <cell r="L26">
            <v>208</v>
          </cell>
          <cell r="M26">
            <v>321</v>
          </cell>
          <cell r="N26">
            <v>60</v>
          </cell>
        </row>
        <row r="27">
          <cell r="A27" t="str">
            <v>Arizona, 2016</v>
          </cell>
          <cell r="B27" t="str">
            <v>Arizona</v>
          </cell>
          <cell r="C27">
            <v>2016</v>
          </cell>
          <cell r="D27">
            <v>120</v>
          </cell>
          <cell r="E27">
            <v>60</v>
          </cell>
          <cell r="F27">
            <v>60</v>
          </cell>
          <cell r="G27">
            <v>60</v>
          </cell>
          <cell r="H27">
            <v>73</v>
          </cell>
          <cell r="I27">
            <v>60</v>
          </cell>
          <cell r="J27">
            <v>115</v>
          </cell>
          <cell r="K27">
            <v>157</v>
          </cell>
          <cell r="L27">
            <v>213</v>
          </cell>
          <cell r="M27">
            <v>299</v>
          </cell>
          <cell r="N27">
            <v>60</v>
          </cell>
        </row>
        <row r="28">
          <cell r="A28" t="str">
            <v>Arizona, 2017</v>
          </cell>
          <cell r="B28" t="str">
            <v>Arizona</v>
          </cell>
          <cell r="C28">
            <v>2017</v>
          </cell>
          <cell r="D28">
            <v>120</v>
          </cell>
          <cell r="E28">
            <v>60</v>
          </cell>
          <cell r="F28">
            <v>60</v>
          </cell>
          <cell r="G28">
            <v>60</v>
          </cell>
          <cell r="H28">
            <v>60</v>
          </cell>
          <cell r="I28">
            <v>60</v>
          </cell>
          <cell r="J28">
            <v>80</v>
          </cell>
          <cell r="K28">
            <v>144</v>
          </cell>
          <cell r="L28">
            <v>213</v>
          </cell>
          <cell r="M28">
            <v>339</v>
          </cell>
          <cell r="N28">
            <v>60</v>
          </cell>
        </row>
        <row r="29">
          <cell r="A29" t="str">
            <v>Arkansas, 2009</v>
          </cell>
          <cell r="B29" t="str">
            <v>Arkansas</v>
          </cell>
          <cell r="C29">
            <v>2009</v>
          </cell>
          <cell r="D29">
            <v>120</v>
          </cell>
          <cell r="E29">
            <v>60</v>
          </cell>
          <cell r="F29">
            <v>60</v>
          </cell>
          <cell r="G29">
            <v>60</v>
          </cell>
          <cell r="H29">
            <v>60</v>
          </cell>
          <cell r="I29">
            <v>60</v>
          </cell>
          <cell r="J29">
            <v>65</v>
          </cell>
          <cell r="K29">
            <v>67</v>
          </cell>
          <cell r="L29">
            <v>198</v>
          </cell>
          <cell r="M29">
            <v>288</v>
          </cell>
          <cell r="N29">
            <v>60</v>
          </cell>
        </row>
        <row r="30">
          <cell r="A30" t="str">
            <v>Arkansas, 2010</v>
          </cell>
          <cell r="B30" t="str">
            <v>Arkansas</v>
          </cell>
          <cell r="C30">
            <v>2010</v>
          </cell>
          <cell r="D30">
            <v>120</v>
          </cell>
          <cell r="E30">
            <v>60</v>
          </cell>
          <cell r="F30">
            <v>60</v>
          </cell>
          <cell r="G30">
            <v>60</v>
          </cell>
          <cell r="H30">
            <v>60</v>
          </cell>
          <cell r="I30">
            <v>60</v>
          </cell>
          <cell r="J30">
            <v>60</v>
          </cell>
          <cell r="K30">
            <v>76</v>
          </cell>
          <cell r="L30">
            <v>183</v>
          </cell>
          <cell r="M30">
            <v>263</v>
          </cell>
          <cell r="N30">
            <v>60</v>
          </cell>
        </row>
        <row r="31">
          <cell r="A31" t="str">
            <v>Arkansas, 2011</v>
          </cell>
          <cell r="B31" t="str">
            <v>Arkansas</v>
          </cell>
          <cell r="C31">
            <v>2011</v>
          </cell>
          <cell r="D31">
            <v>120</v>
          </cell>
          <cell r="E31">
            <v>60</v>
          </cell>
          <cell r="F31">
            <v>60</v>
          </cell>
          <cell r="G31">
            <v>60</v>
          </cell>
          <cell r="H31">
            <v>60</v>
          </cell>
          <cell r="I31">
            <v>60</v>
          </cell>
          <cell r="J31">
            <v>66</v>
          </cell>
          <cell r="K31">
            <v>78</v>
          </cell>
          <cell r="L31">
            <v>192</v>
          </cell>
          <cell r="M31">
            <v>343</v>
          </cell>
          <cell r="N31">
            <v>60</v>
          </cell>
        </row>
        <row r="32">
          <cell r="A32" t="str">
            <v>Arkansas, 2012</v>
          </cell>
          <cell r="B32" t="str">
            <v>Arkansas</v>
          </cell>
          <cell r="C32">
            <v>2012</v>
          </cell>
          <cell r="D32">
            <v>120</v>
          </cell>
          <cell r="E32">
            <v>60</v>
          </cell>
          <cell r="F32">
            <v>60</v>
          </cell>
          <cell r="G32">
            <v>60</v>
          </cell>
          <cell r="H32">
            <v>60</v>
          </cell>
          <cell r="I32">
            <v>60</v>
          </cell>
          <cell r="J32">
            <v>65</v>
          </cell>
          <cell r="K32">
            <v>80</v>
          </cell>
          <cell r="L32">
            <v>163</v>
          </cell>
          <cell r="M32">
            <v>353</v>
          </cell>
          <cell r="N32">
            <v>60</v>
          </cell>
        </row>
        <row r="33">
          <cell r="A33" t="str">
            <v>Arkansas, 2013</v>
          </cell>
          <cell r="B33" t="str">
            <v>Arkansas</v>
          </cell>
          <cell r="C33">
            <v>2013</v>
          </cell>
          <cell r="D33">
            <v>120</v>
          </cell>
          <cell r="E33">
            <v>60</v>
          </cell>
          <cell r="F33">
            <v>60</v>
          </cell>
          <cell r="G33">
            <v>60</v>
          </cell>
          <cell r="H33">
            <v>60</v>
          </cell>
          <cell r="I33">
            <v>60</v>
          </cell>
          <cell r="J33">
            <v>60</v>
          </cell>
          <cell r="K33">
            <v>130</v>
          </cell>
          <cell r="L33">
            <v>189</v>
          </cell>
          <cell r="M33">
            <v>335</v>
          </cell>
          <cell r="N33">
            <v>60</v>
          </cell>
        </row>
        <row r="34">
          <cell r="A34" t="str">
            <v>Arkansas, 2014</v>
          </cell>
          <cell r="B34" t="str">
            <v>Arkansas</v>
          </cell>
          <cell r="C34">
            <v>2014</v>
          </cell>
          <cell r="D34">
            <v>120</v>
          </cell>
          <cell r="E34">
            <v>60</v>
          </cell>
          <cell r="F34">
            <v>60</v>
          </cell>
          <cell r="G34">
            <v>60</v>
          </cell>
          <cell r="H34">
            <v>65</v>
          </cell>
          <cell r="I34">
            <v>60</v>
          </cell>
          <cell r="J34">
            <v>83</v>
          </cell>
          <cell r="K34">
            <v>95</v>
          </cell>
          <cell r="L34">
            <v>180</v>
          </cell>
          <cell r="M34">
            <v>260</v>
          </cell>
          <cell r="N34">
            <v>60</v>
          </cell>
        </row>
        <row r="35">
          <cell r="A35" t="str">
            <v>Arkansas, 2015</v>
          </cell>
          <cell r="B35" t="str">
            <v>Arkansas</v>
          </cell>
          <cell r="C35">
            <v>2015</v>
          </cell>
          <cell r="D35">
            <v>120</v>
          </cell>
          <cell r="E35">
            <v>60</v>
          </cell>
          <cell r="F35">
            <v>60</v>
          </cell>
          <cell r="G35">
            <v>60</v>
          </cell>
          <cell r="H35">
            <v>60</v>
          </cell>
          <cell r="I35">
            <v>60</v>
          </cell>
          <cell r="J35">
            <v>60</v>
          </cell>
          <cell r="K35">
            <v>105</v>
          </cell>
          <cell r="L35">
            <v>183</v>
          </cell>
          <cell r="M35">
            <v>268</v>
          </cell>
          <cell r="N35">
            <v>60</v>
          </cell>
        </row>
        <row r="36">
          <cell r="A36" t="str">
            <v>Arkansas, 2016</v>
          </cell>
          <cell r="B36" t="str">
            <v>Arkansas</v>
          </cell>
          <cell r="C36">
            <v>2016</v>
          </cell>
          <cell r="D36">
            <v>120</v>
          </cell>
          <cell r="E36">
            <v>60</v>
          </cell>
          <cell r="F36">
            <v>60</v>
          </cell>
          <cell r="G36">
            <v>60</v>
          </cell>
          <cell r="H36">
            <v>60</v>
          </cell>
          <cell r="I36">
            <v>60</v>
          </cell>
          <cell r="J36">
            <v>60</v>
          </cell>
          <cell r="K36">
            <v>113</v>
          </cell>
          <cell r="L36">
            <v>169</v>
          </cell>
          <cell r="M36">
            <v>239</v>
          </cell>
          <cell r="N36">
            <v>60</v>
          </cell>
        </row>
        <row r="37">
          <cell r="A37" t="str">
            <v>Arkansas, 2017</v>
          </cell>
          <cell r="B37" t="str">
            <v>Arkansas</v>
          </cell>
          <cell r="C37">
            <v>2017</v>
          </cell>
          <cell r="D37">
            <v>120</v>
          </cell>
          <cell r="E37">
            <v>60</v>
          </cell>
          <cell r="F37">
            <v>60</v>
          </cell>
          <cell r="G37">
            <v>60</v>
          </cell>
          <cell r="H37">
            <v>60</v>
          </cell>
          <cell r="I37">
            <v>60</v>
          </cell>
          <cell r="J37">
            <v>66</v>
          </cell>
          <cell r="K37">
            <v>119</v>
          </cell>
          <cell r="L37">
            <v>220</v>
          </cell>
          <cell r="M37">
            <v>240</v>
          </cell>
          <cell r="N37">
            <v>60</v>
          </cell>
        </row>
        <row r="38">
          <cell r="A38" t="str">
            <v>California, 2009</v>
          </cell>
          <cell r="B38" t="str">
            <v>California</v>
          </cell>
          <cell r="C38">
            <v>2009</v>
          </cell>
          <cell r="D38">
            <v>120</v>
          </cell>
          <cell r="E38">
            <v>66</v>
          </cell>
          <cell r="F38">
            <v>123</v>
          </cell>
          <cell r="G38">
            <v>183</v>
          </cell>
          <cell r="H38">
            <v>346</v>
          </cell>
          <cell r="I38">
            <v>65</v>
          </cell>
          <cell r="J38">
            <v>436</v>
          </cell>
          <cell r="K38">
            <v>708</v>
          </cell>
          <cell r="L38">
            <v>1633</v>
          </cell>
          <cell r="M38">
            <v>2856</v>
          </cell>
          <cell r="N38">
            <v>60</v>
          </cell>
        </row>
        <row r="39">
          <cell r="A39" t="str">
            <v>California, 2010</v>
          </cell>
          <cell r="B39" t="str">
            <v>California</v>
          </cell>
          <cell r="C39">
            <v>2010</v>
          </cell>
          <cell r="D39">
            <v>120</v>
          </cell>
          <cell r="E39">
            <v>60</v>
          </cell>
          <cell r="F39">
            <v>60</v>
          </cell>
          <cell r="G39">
            <v>77</v>
          </cell>
          <cell r="H39">
            <v>145</v>
          </cell>
          <cell r="I39">
            <v>60</v>
          </cell>
          <cell r="J39">
            <v>351</v>
          </cell>
          <cell r="K39">
            <v>695</v>
          </cell>
          <cell r="L39">
            <v>1579</v>
          </cell>
          <cell r="M39">
            <v>2955</v>
          </cell>
          <cell r="N39">
            <v>60</v>
          </cell>
        </row>
        <row r="40">
          <cell r="A40" t="str">
            <v>California, 2011</v>
          </cell>
          <cell r="B40" t="str">
            <v>California</v>
          </cell>
          <cell r="C40">
            <v>2011</v>
          </cell>
          <cell r="D40">
            <v>120</v>
          </cell>
          <cell r="E40">
            <v>60</v>
          </cell>
          <cell r="F40">
            <v>68</v>
          </cell>
          <cell r="G40">
            <v>85</v>
          </cell>
          <cell r="H40">
            <v>216</v>
          </cell>
          <cell r="I40">
            <v>60</v>
          </cell>
          <cell r="J40">
            <v>444</v>
          </cell>
          <cell r="K40">
            <v>671</v>
          </cell>
          <cell r="L40">
            <v>1617</v>
          </cell>
          <cell r="M40">
            <v>3050</v>
          </cell>
          <cell r="N40">
            <v>60</v>
          </cell>
        </row>
        <row r="41">
          <cell r="A41" t="str">
            <v>California, 2012</v>
          </cell>
          <cell r="B41" t="str">
            <v>California</v>
          </cell>
          <cell r="C41">
            <v>2012</v>
          </cell>
          <cell r="D41">
            <v>120</v>
          </cell>
          <cell r="E41">
            <v>60</v>
          </cell>
          <cell r="F41">
            <v>60</v>
          </cell>
          <cell r="G41">
            <v>60</v>
          </cell>
          <cell r="H41">
            <v>166</v>
          </cell>
          <cell r="I41">
            <v>60</v>
          </cell>
          <cell r="J41">
            <v>412</v>
          </cell>
          <cell r="K41">
            <v>738</v>
          </cell>
          <cell r="L41">
            <v>1443</v>
          </cell>
          <cell r="M41">
            <v>2938</v>
          </cell>
          <cell r="N41">
            <v>60</v>
          </cell>
        </row>
        <row r="42">
          <cell r="A42" t="str">
            <v>California, 2013</v>
          </cell>
          <cell r="B42" t="str">
            <v>California</v>
          </cell>
          <cell r="C42">
            <v>2013</v>
          </cell>
          <cell r="D42">
            <v>120</v>
          </cell>
          <cell r="E42">
            <v>60</v>
          </cell>
          <cell r="F42">
            <v>66</v>
          </cell>
          <cell r="G42">
            <v>72</v>
          </cell>
          <cell r="H42">
            <v>179</v>
          </cell>
          <cell r="I42">
            <v>60</v>
          </cell>
          <cell r="J42">
            <v>501</v>
          </cell>
          <cell r="K42">
            <v>828</v>
          </cell>
          <cell r="L42">
            <v>1602</v>
          </cell>
          <cell r="M42">
            <v>3264</v>
          </cell>
          <cell r="N42">
            <v>60</v>
          </cell>
        </row>
        <row r="43">
          <cell r="A43" t="str">
            <v>California, 2014</v>
          </cell>
          <cell r="B43" t="str">
            <v>California</v>
          </cell>
          <cell r="C43">
            <v>2014</v>
          </cell>
          <cell r="D43">
            <v>120</v>
          </cell>
          <cell r="E43">
            <v>60</v>
          </cell>
          <cell r="F43">
            <v>82</v>
          </cell>
          <cell r="G43">
            <v>134</v>
          </cell>
          <cell r="H43">
            <v>258</v>
          </cell>
          <cell r="I43">
            <v>60</v>
          </cell>
          <cell r="J43">
            <v>589</v>
          </cell>
          <cell r="K43">
            <v>800</v>
          </cell>
          <cell r="L43">
            <v>1450</v>
          </cell>
          <cell r="M43">
            <v>2638</v>
          </cell>
          <cell r="N43">
            <v>60</v>
          </cell>
        </row>
        <row r="44">
          <cell r="A44" t="str">
            <v>California, 2015</v>
          </cell>
          <cell r="B44" t="str">
            <v>California</v>
          </cell>
          <cell r="C44">
            <v>2015</v>
          </cell>
          <cell r="D44">
            <v>120</v>
          </cell>
          <cell r="E44">
            <v>60</v>
          </cell>
          <cell r="F44">
            <v>60</v>
          </cell>
          <cell r="G44">
            <v>69</v>
          </cell>
          <cell r="H44">
            <v>170</v>
          </cell>
          <cell r="I44">
            <v>60</v>
          </cell>
          <cell r="J44">
            <v>441</v>
          </cell>
          <cell r="K44">
            <v>869</v>
          </cell>
          <cell r="L44">
            <v>1537</v>
          </cell>
          <cell r="M44">
            <v>3017</v>
          </cell>
          <cell r="N44">
            <v>60</v>
          </cell>
        </row>
        <row r="45">
          <cell r="A45" t="str">
            <v>California, 2016</v>
          </cell>
          <cell r="B45" t="str">
            <v>California</v>
          </cell>
          <cell r="C45">
            <v>2016</v>
          </cell>
          <cell r="D45">
            <v>120</v>
          </cell>
          <cell r="E45">
            <v>60</v>
          </cell>
          <cell r="F45">
            <v>60</v>
          </cell>
          <cell r="G45">
            <v>89</v>
          </cell>
          <cell r="H45">
            <v>188</v>
          </cell>
          <cell r="I45">
            <v>60</v>
          </cell>
          <cell r="J45">
            <v>511</v>
          </cell>
          <cell r="K45">
            <v>921</v>
          </cell>
          <cell r="L45">
            <v>1439</v>
          </cell>
          <cell r="M45">
            <v>2725</v>
          </cell>
          <cell r="N45">
            <v>60</v>
          </cell>
        </row>
        <row r="46">
          <cell r="A46" t="str">
            <v>California, 2017</v>
          </cell>
          <cell r="B46" t="str">
            <v>California</v>
          </cell>
          <cell r="C46">
            <v>2017</v>
          </cell>
          <cell r="D46">
            <v>120</v>
          </cell>
          <cell r="E46">
            <v>60</v>
          </cell>
          <cell r="F46">
            <v>60</v>
          </cell>
          <cell r="G46">
            <v>76</v>
          </cell>
          <cell r="H46">
            <v>168</v>
          </cell>
          <cell r="I46">
            <v>60</v>
          </cell>
          <cell r="J46">
            <v>503</v>
          </cell>
          <cell r="K46">
            <v>930</v>
          </cell>
          <cell r="L46">
            <v>1595</v>
          </cell>
          <cell r="M46">
            <v>2985</v>
          </cell>
          <cell r="N46">
            <v>60</v>
          </cell>
        </row>
        <row r="47">
          <cell r="A47" t="str">
            <v>Colorado, 2009</v>
          </cell>
          <cell r="B47" t="str">
            <v>Colorado</v>
          </cell>
          <cell r="C47">
            <v>2009</v>
          </cell>
          <cell r="D47">
            <v>120</v>
          </cell>
          <cell r="E47">
            <v>60</v>
          </cell>
          <cell r="F47">
            <v>60</v>
          </cell>
          <cell r="G47">
            <v>60</v>
          </cell>
          <cell r="H47">
            <v>66</v>
          </cell>
          <cell r="I47">
            <v>60</v>
          </cell>
          <cell r="J47">
            <v>78</v>
          </cell>
          <cell r="K47">
            <v>65</v>
          </cell>
          <cell r="L47">
            <v>150</v>
          </cell>
          <cell r="M47">
            <v>266</v>
          </cell>
          <cell r="N47">
            <v>60</v>
          </cell>
        </row>
        <row r="48">
          <cell r="A48" t="str">
            <v>Colorado, 2010</v>
          </cell>
          <cell r="B48" t="str">
            <v>Colorado</v>
          </cell>
          <cell r="C48">
            <v>2010</v>
          </cell>
          <cell r="D48">
            <v>120</v>
          </cell>
          <cell r="E48">
            <v>60</v>
          </cell>
          <cell r="F48">
            <v>60</v>
          </cell>
          <cell r="G48">
            <v>60</v>
          </cell>
          <cell r="H48">
            <v>60</v>
          </cell>
          <cell r="I48">
            <v>60</v>
          </cell>
          <cell r="J48">
            <v>60</v>
          </cell>
          <cell r="K48">
            <v>60</v>
          </cell>
          <cell r="L48">
            <v>135</v>
          </cell>
          <cell r="M48">
            <v>260</v>
          </cell>
          <cell r="N48">
            <v>60</v>
          </cell>
        </row>
        <row r="49">
          <cell r="A49" t="str">
            <v>Colorado, 2011</v>
          </cell>
          <cell r="B49" t="str">
            <v>Colorado</v>
          </cell>
          <cell r="C49">
            <v>2011</v>
          </cell>
          <cell r="D49">
            <v>120</v>
          </cell>
          <cell r="E49">
            <v>60</v>
          </cell>
          <cell r="F49">
            <v>60</v>
          </cell>
          <cell r="G49">
            <v>60</v>
          </cell>
          <cell r="H49">
            <v>60</v>
          </cell>
          <cell r="I49">
            <v>60</v>
          </cell>
          <cell r="J49">
            <v>60</v>
          </cell>
          <cell r="K49">
            <v>70</v>
          </cell>
          <cell r="L49">
            <v>136</v>
          </cell>
          <cell r="M49">
            <v>272</v>
          </cell>
          <cell r="N49">
            <v>60</v>
          </cell>
        </row>
        <row r="50">
          <cell r="A50" t="str">
            <v>Colorado, 2012</v>
          </cell>
          <cell r="B50" t="str">
            <v>Colorado</v>
          </cell>
          <cell r="C50">
            <v>2012</v>
          </cell>
          <cell r="D50">
            <v>120</v>
          </cell>
          <cell r="E50">
            <v>60</v>
          </cell>
          <cell r="F50">
            <v>60</v>
          </cell>
          <cell r="G50">
            <v>60</v>
          </cell>
          <cell r="H50">
            <v>60</v>
          </cell>
          <cell r="I50">
            <v>60</v>
          </cell>
          <cell r="J50">
            <v>60</v>
          </cell>
          <cell r="K50">
            <v>65</v>
          </cell>
          <cell r="L50">
            <v>131</v>
          </cell>
          <cell r="M50">
            <v>254</v>
          </cell>
          <cell r="N50">
            <v>60</v>
          </cell>
        </row>
        <row r="51">
          <cell r="A51" t="str">
            <v>Colorado, 2013</v>
          </cell>
          <cell r="B51" t="str">
            <v>Colorado</v>
          </cell>
          <cell r="C51">
            <v>2013</v>
          </cell>
          <cell r="D51">
            <v>120</v>
          </cell>
          <cell r="E51">
            <v>60</v>
          </cell>
          <cell r="F51">
            <v>60</v>
          </cell>
          <cell r="G51">
            <v>60</v>
          </cell>
          <cell r="H51">
            <v>60</v>
          </cell>
          <cell r="I51">
            <v>60</v>
          </cell>
          <cell r="J51">
            <v>72</v>
          </cell>
          <cell r="K51">
            <v>66</v>
          </cell>
          <cell r="L51">
            <v>114</v>
          </cell>
          <cell r="M51">
            <v>280</v>
          </cell>
          <cell r="N51">
            <v>60</v>
          </cell>
        </row>
        <row r="52">
          <cell r="A52" t="str">
            <v>Colorado, 2014</v>
          </cell>
          <cell r="B52" t="str">
            <v>Colorado</v>
          </cell>
          <cell r="C52">
            <v>2014</v>
          </cell>
          <cell r="D52">
            <v>120</v>
          </cell>
          <cell r="E52">
            <v>60</v>
          </cell>
          <cell r="F52">
            <v>60</v>
          </cell>
          <cell r="G52">
            <v>60</v>
          </cell>
          <cell r="H52">
            <v>60</v>
          </cell>
          <cell r="I52">
            <v>60</v>
          </cell>
          <cell r="J52">
            <v>83</v>
          </cell>
          <cell r="K52">
            <v>83</v>
          </cell>
          <cell r="L52">
            <v>133</v>
          </cell>
          <cell r="M52">
            <v>286</v>
          </cell>
          <cell r="N52">
            <v>60</v>
          </cell>
        </row>
        <row r="53">
          <cell r="A53" t="str">
            <v>Colorado, 2015</v>
          </cell>
          <cell r="B53" t="str">
            <v>Colorado</v>
          </cell>
          <cell r="C53">
            <v>2015</v>
          </cell>
          <cell r="D53">
            <v>120</v>
          </cell>
          <cell r="E53">
            <v>60</v>
          </cell>
          <cell r="F53">
            <v>60</v>
          </cell>
          <cell r="G53">
            <v>60</v>
          </cell>
          <cell r="H53">
            <v>60</v>
          </cell>
          <cell r="I53">
            <v>60</v>
          </cell>
          <cell r="J53">
            <v>60</v>
          </cell>
          <cell r="K53">
            <v>71</v>
          </cell>
          <cell r="L53">
            <v>147</v>
          </cell>
          <cell r="M53">
            <v>307</v>
          </cell>
          <cell r="N53">
            <v>60</v>
          </cell>
        </row>
        <row r="54">
          <cell r="A54" t="str">
            <v>Colorado, 2016</v>
          </cell>
          <cell r="B54" t="str">
            <v>Colorado</v>
          </cell>
          <cell r="C54">
            <v>2016</v>
          </cell>
          <cell r="D54">
            <v>120</v>
          </cell>
          <cell r="E54">
            <v>60</v>
          </cell>
          <cell r="F54">
            <v>60</v>
          </cell>
          <cell r="G54">
            <v>60</v>
          </cell>
          <cell r="H54">
            <v>60</v>
          </cell>
          <cell r="I54">
            <v>60</v>
          </cell>
          <cell r="J54">
            <v>67</v>
          </cell>
          <cell r="K54">
            <v>75</v>
          </cell>
          <cell r="L54">
            <v>104</v>
          </cell>
          <cell r="M54">
            <v>230</v>
          </cell>
          <cell r="N54">
            <v>60</v>
          </cell>
        </row>
        <row r="55">
          <cell r="A55" t="str">
            <v>Colorado, 2017</v>
          </cell>
          <cell r="B55" t="str">
            <v>Colorado</v>
          </cell>
          <cell r="C55">
            <v>2017</v>
          </cell>
          <cell r="D55">
            <v>120</v>
          </cell>
          <cell r="E55">
            <v>60</v>
          </cell>
          <cell r="F55">
            <v>60</v>
          </cell>
          <cell r="G55">
            <v>60</v>
          </cell>
          <cell r="H55">
            <v>60</v>
          </cell>
          <cell r="I55">
            <v>60</v>
          </cell>
          <cell r="J55">
            <v>82</v>
          </cell>
          <cell r="K55">
            <v>83</v>
          </cell>
          <cell r="L55">
            <v>105</v>
          </cell>
          <cell r="M55">
            <v>246</v>
          </cell>
          <cell r="N55">
            <v>60</v>
          </cell>
        </row>
        <row r="56">
          <cell r="A56" t="str">
            <v>Connecticut, 2009</v>
          </cell>
          <cell r="B56" t="str">
            <v>Connecticut</v>
          </cell>
          <cell r="C56">
            <v>2009</v>
          </cell>
          <cell r="D56">
            <v>120</v>
          </cell>
          <cell r="E56">
            <v>60</v>
          </cell>
          <cell r="F56">
            <v>60</v>
          </cell>
          <cell r="G56">
            <v>60</v>
          </cell>
          <cell r="H56">
            <v>60</v>
          </cell>
          <cell r="I56">
            <v>60</v>
          </cell>
          <cell r="J56">
            <v>60</v>
          </cell>
          <cell r="K56">
            <v>67</v>
          </cell>
          <cell r="L56">
            <v>175</v>
          </cell>
          <cell r="M56">
            <v>364</v>
          </cell>
          <cell r="N56">
            <v>60</v>
          </cell>
        </row>
        <row r="57">
          <cell r="A57" t="str">
            <v>Connecticut, 2010</v>
          </cell>
          <cell r="B57" t="str">
            <v>Connecticut</v>
          </cell>
          <cell r="C57">
            <v>2010</v>
          </cell>
          <cell r="D57">
            <v>120</v>
          </cell>
          <cell r="E57">
            <v>60</v>
          </cell>
          <cell r="F57">
            <v>60</v>
          </cell>
          <cell r="G57">
            <v>60</v>
          </cell>
          <cell r="H57">
            <v>60</v>
          </cell>
          <cell r="I57">
            <v>60</v>
          </cell>
          <cell r="J57">
            <v>60</v>
          </cell>
          <cell r="K57">
            <v>70</v>
          </cell>
          <cell r="L57">
            <v>120</v>
          </cell>
          <cell r="M57">
            <v>339</v>
          </cell>
          <cell r="N57">
            <v>60</v>
          </cell>
        </row>
        <row r="58">
          <cell r="A58" t="str">
            <v>Connecticut, 2011</v>
          </cell>
          <cell r="B58" t="str">
            <v>Connecticut</v>
          </cell>
          <cell r="C58">
            <v>2011</v>
          </cell>
          <cell r="D58">
            <v>120</v>
          </cell>
          <cell r="E58">
            <v>60</v>
          </cell>
          <cell r="F58">
            <v>60</v>
          </cell>
          <cell r="G58">
            <v>60</v>
          </cell>
          <cell r="H58">
            <v>60</v>
          </cell>
          <cell r="I58">
            <v>60</v>
          </cell>
          <cell r="J58">
            <v>60</v>
          </cell>
          <cell r="K58">
            <v>60</v>
          </cell>
          <cell r="L58">
            <v>139</v>
          </cell>
          <cell r="M58">
            <v>415</v>
          </cell>
          <cell r="N58">
            <v>60</v>
          </cell>
        </row>
        <row r="59">
          <cell r="A59" t="str">
            <v>Connecticut, 2012</v>
          </cell>
          <cell r="B59" t="str">
            <v>Connecticut</v>
          </cell>
          <cell r="C59">
            <v>2012</v>
          </cell>
          <cell r="D59">
            <v>120</v>
          </cell>
          <cell r="E59">
            <v>60</v>
          </cell>
          <cell r="F59">
            <v>60</v>
          </cell>
          <cell r="G59">
            <v>60</v>
          </cell>
          <cell r="H59">
            <v>60</v>
          </cell>
          <cell r="I59">
            <v>60</v>
          </cell>
          <cell r="J59">
            <v>60</v>
          </cell>
          <cell r="K59">
            <v>60</v>
          </cell>
          <cell r="L59">
            <v>133</v>
          </cell>
          <cell r="M59">
            <v>317</v>
          </cell>
          <cell r="N59">
            <v>60</v>
          </cell>
        </row>
        <row r="60">
          <cell r="A60" t="str">
            <v>Connecticut, 2013</v>
          </cell>
          <cell r="B60" t="str">
            <v>Connecticut</v>
          </cell>
          <cell r="C60">
            <v>2013</v>
          </cell>
          <cell r="D60">
            <v>120</v>
          </cell>
          <cell r="E60">
            <v>60</v>
          </cell>
          <cell r="F60">
            <v>60</v>
          </cell>
          <cell r="G60">
            <v>60</v>
          </cell>
          <cell r="H60">
            <v>60</v>
          </cell>
          <cell r="I60">
            <v>60</v>
          </cell>
          <cell r="J60">
            <v>60</v>
          </cell>
          <cell r="K60">
            <v>66</v>
          </cell>
          <cell r="L60">
            <v>109</v>
          </cell>
          <cell r="M60">
            <v>377</v>
          </cell>
          <cell r="N60">
            <v>60</v>
          </cell>
        </row>
        <row r="61">
          <cell r="A61" t="str">
            <v>Connecticut, 2014</v>
          </cell>
          <cell r="B61" t="str">
            <v>Connecticut</v>
          </cell>
          <cell r="C61">
            <v>2014</v>
          </cell>
          <cell r="D61">
            <v>120</v>
          </cell>
          <cell r="E61">
            <v>60</v>
          </cell>
          <cell r="F61">
            <v>60</v>
          </cell>
          <cell r="G61">
            <v>60</v>
          </cell>
          <cell r="H61">
            <v>60</v>
          </cell>
          <cell r="I61">
            <v>60</v>
          </cell>
          <cell r="J61">
            <v>60</v>
          </cell>
          <cell r="K61">
            <v>75</v>
          </cell>
          <cell r="L61">
            <v>128</v>
          </cell>
          <cell r="M61">
            <v>364</v>
          </cell>
          <cell r="N61">
            <v>60</v>
          </cell>
        </row>
        <row r="62">
          <cell r="A62" t="str">
            <v>Connecticut, 2015</v>
          </cell>
          <cell r="B62" t="str">
            <v>Connecticut</v>
          </cell>
          <cell r="C62">
            <v>2015</v>
          </cell>
          <cell r="D62">
            <v>120</v>
          </cell>
          <cell r="E62">
            <v>60</v>
          </cell>
          <cell r="F62">
            <v>60</v>
          </cell>
          <cell r="G62">
            <v>60</v>
          </cell>
          <cell r="H62">
            <v>60</v>
          </cell>
          <cell r="I62">
            <v>60</v>
          </cell>
          <cell r="J62">
            <v>60</v>
          </cell>
          <cell r="K62">
            <v>69</v>
          </cell>
          <cell r="L62">
            <v>152</v>
          </cell>
          <cell r="M62">
            <v>397</v>
          </cell>
          <cell r="N62">
            <v>60</v>
          </cell>
        </row>
        <row r="63">
          <cell r="A63" t="str">
            <v>Connecticut, 2016</v>
          </cell>
          <cell r="B63" t="str">
            <v>Connecticut</v>
          </cell>
          <cell r="C63">
            <v>2016</v>
          </cell>
          <cell r="D63">
            <v>120</v>
          </cell>
          <cell r="E63">
            <v>60</v>
          </cell>
          <cell r="F63">
            <v>60</v>
          </cell>
          <cell r="G63">
            <v>60</v>
          </cell>
          <cell r="H63">
            <v>60</v>
          </cell>
          <cell r="I63">
            <v>60</v>
          </cell>
          <cell r="J63">
            <v>60</v>
          </cell>
          <cell r="K63">
            <v>60</v>
          </cell>
          <cell r="L63">
            <v>117</v>
          </cell>
          <cell r="M63">
            <v>307</v>
          </cell>
          <cell r="N63">
            <v>60</v>
          </cell>
        </row>
        <row r="64">
          <cell r="A64" t="str">
            <v>Connecticut, 2017</v>
          </cell>
          <cell r="B64" t="str">
            <v>Connecticut</v>
          </cell>
          <cell r="C64">
            <v>2017</v>
          </cell>
          <cell r="D64">
            <v>120</v>
          </cell>
          <cell r="E64">
            <v>60</v>
          </cell>
          <cell r="F64">
            <v>60</v>
          </cell>
          <cell r="G64">
            <v>60</v>
          </cell>
          <cell r="H64">
            <v>60</v>
          </cell>
          <cell r="I64">
            <v>60</v>
          </cell>
          <cell r="J64">
            <v>65</v>
          </cell>
          <cell r="K64">
            <v>78</v>
          </cell>
          <cell r="L64">
            <v>125</v>
          </cell>
          <cell r="M64">
            <v>389</v>
          </cell>
          <cell r="N64">
            <v>60</v>
          </cell>
        </row>
        <row r="65">
          <cell r="A65" t="str">
            <v>Delaware, 2009</v>
          </cell>
          <cell r="B65" t="str">
            <v>Delaware</v>
          </cell>
          <cell r="C65">
            <v>2009</v>
          </cell>
          <cell r="D65">
            <v>120</v>
          </cell>
          <cell r="E65">
            <v>60</v>
          </cell>
          <cell r="F65">
            <v>60</v>
          </cell>
          <cell r="G65">
            <v>60</v>
          </cell>
          <cell r="H65">
            <v>60</v>
          </cell>
          <cell r="I65">
            <v>60</v>
          </cell>
          <cell r="J65">
            <v>60</v>
          </cell>
          <cell r="K65">
            <v>60</v>
          </cell>
          <cell r="L65">
            <v>60</v>
          </cell>
          <cell r="M65">
            <v>60</v>
          </cell>
          <cell r="N65">
            <v>60</v>
          </cell>
        </row>
        <row r="66">
          <cell r="A66" t="str">
            <v>Delaware, 2010</v>
          </cell>
          <cell r="B66" t="str">
            <v>Delaware</v>
          </cell>
          <cell r="C66">
            <v>2010</v>
          </cell>
          <cell r="D66">
            <v>120</v>
          </cell>
          <cell r="E66">
            <v>60</v>
          </cell>
          <cell r="F66">
            <v>60</v>
          </cell>
          <cell r="G66">
            <v>60</v>
          </cell>
          <cell r="H66">
            <v>60</v>
          </cell>
          <cell r="I66">
            <v>60</v>
          </cell>
          <cell r="J66">
            <v>60</v>
          </cell>
          <cell r="K66">
            <v>60</v>
          </cell>
          <cell r="L66">
            <v>60</v>
          </cell>
          <cell r="M66">
            <v>65</v>
          </cell>
          <cell r="N66">
            <v>60</v>
          </cell>
        </row>
        <row r="67">
          <cell r="A67" t="str">
            <v>Delaware, 2011</v>
          </cell>
          <cell r="B67" t="str">
            <v>Delaware</v>
          </cell>
          <cell r="C67">
            <v>2011</v>
          </cell>
          <cell r="D67">
            <v>120</v>
          </cell>
          <cell r="E67">
            <v>60</v>
          </cell>
          <cell r="F67">
            <v>60</v>
          </cell>
          <cell r="G67">
            <v>60</v>
          </cell>
          <cell r="H67">
            <v>60</v>
          </cell>
          <cell r="I67">
            <v>60</v>
          </cell>
          <cell r="J67">
            <v>60</v>
          </cell>
          <cell r="K67">
            <v>60</v>
          </cell>
          <cell r="L67">
            <v>60</v>
          </cell>
          <cell r="M67">
            <v>60</v>
          </cell>
          <cell r="N67">
            <v>60</v>
          </cell>
        </row>
        <row r="68">
          <cell r="A68" t="str">
            <v>Delaware, 2012</v>
          </cell>
          <cell r="B68" t="str">
            <v>Delaware</v>
          </cell>
          <cell r="C68">
            <v>2012</v>
          </cell>
          <cell r="D68">
            <v>120</v>
          </cell>
          <cell r="E68">
            <v>60</v>
          </cell>
          <cell r="F68">
            <v>60</v>
          </cell>
          <cell r="G68">
            <v>60</v>
          </cell>
          <cell r="H68">
            <v>60</v>
          </cell>
          <cell r="I68">
            <v>60</v>
          </cell>
          <cell r="J68">
            <v>60</v>
          </cell>
          <cell r="K68">
            <v>60</v>
          </cell>
          <cell r="L68">
            <v>60</v>
          </cell>
          <cell r="M68">
            <v>71</v>
          </cell>
          <cell r="N68">
            <v>60</v>
          </cell>
        </row>
        <row r="69">
          <cell r="A69" t="str">
            <v>Delaware, 2013</v>
          </cell>
          <cell r="B69" t="str">
            <v>Delaware</v>
          </cell>
          <cell r="C69">
            <v>2013</v>
          </cell>
          <cell r="D69">
            <v>120</v>
          </cell>
          <cell r="E69">
            <v>60</v>
          </cell>
          <cell r="F69">
            <v>60</v>
          </cell>
          <cell r="G69">
            <v>60</v>
          </cell>
          <cell r="H69">
            <v>60</v>
          </cell>
          <cell r="I69">
            <v>60</v>
          </cell>
          <cell r="J69">
            <v>60</v>
          </cell>
          <cell r="K69">
            <v>60</v>
          </cell>
          <cell r="L69">
            <v>60</v>
          </cell>
          <cell r="M69">
            <v>65</v>
          </cell>
          <cell r="N69">
            <v>60</v>
          </cell>
        </row>
        <row r="70">
          <cell r="A70" t="str">
            <v>Delaware, 2014</v>
          </cell>
          <cell r="B70" t="str">
            <v>Delaware</v>
          </cell>
          <cell r="C70">
            <v>2014</v>
          </cell>
          <cell r="D70">
            <v>120</v>
          </cell>
          <cell r="E70">
            <v>60</v>
          </cell>
          <cell r="F70">
            <v>60</v>
          </cell>
          <cell r="G70">
            <v>60</v>
          </cell>
          <cell r="H70">
            <v>60</v>
          </cell>
          <cell r="I70">
            <v>60</v>
          </cell>
          <cell r="J70">
            <v>60</v>
          </cell>
          <cell r="K70">
            <v>60</v>
          </cell>
          <cell r="L70">
            <v>66</v>
          </cell>
          <cell r="M70">
            <v>70</v>
          </cell>
          <cell r="N70">
            <v>60</v>
          </cell>
        </row>
        <row r="71">
          <cell r="A71" t="str">
            <v>Delaware, 2015</v>
          </cell>
          <cell r="B71" t="str">
            <v>Delaware</v>
          </cell>
          <cell r="C71">
            <v>2015</v>
          </cell>
          <cell r="D71">
            <v>120</v>
          </cell>
          <cell r="E71">
            <v>60</v>
          </cell>
          <cell r="F71">
            <v>60</v>
          </cell>
          <cell r="G71">
            <v>60</v>
          </cell>
          <cell r="H71">
            <v>60</v>
          </cell>
          <cell r="I71">
            <v>60</v>
          </cell>
          <cell r="J71">
            <v>60</v>
          </cell>
          <cell r="K71">
            <v>65</v>
          </cell>
          <cell r="L71">
            <v>60</v>
          </cell>
          <cell r="M71">
            <v>87</v>
          </cell>
          <cell r="N71">
            <v>60</v>
          </cell>
        </row>
        <row r="72">
          <cell r="A72" t="str">
            <v>Delaware, 2016</v>
          </cell>
          <cell r="B72" t="str">
            <v>Delaware</v>
          </cell>
          <cell r="C72">
            <v>2016</v>
          </cell>
          <cell r="D72">
            <v>120</v>
          </cell>
          <cell r="E72">
            <v>60</v>
          </cell>
          <cell r="F72">
            <v>60</v>
          </cell>
          <cell r="G72">
            <v>60</v>
          </cell>
          <cell r="H72">
            <v>60</v>
          </cell>
          <cell r="I72">
            <v>60</v>
          </cell>
          <cell r="J72">
            <v>60</v>
          </cell>
          <cell r="K72">
            <v>60</v>
          </cell>
          <cell r="L72">
            <v>60</v>
          </cell>
          <cell r="M72">
            <v>60</v>
          </cell>
          <cell r="N72">
            <v>60</v>
          </cell>
        </row>
        <row r="73">
          <cell r="A73" t="str">
            <v>Delaware, 2017</v>
          </cell>
          <cell r="B73" t="str">
            <v>Delaware</v>
          </cell>
          <cell r="C73">
            <v>2017</v>
          </cell>
          <cell r="D73">
            <v>120</v>
          </cell>
          <cell r="E73">
            <v>60</v>
          </cell>
          <cell r="F73">
            <v>60</v>
          </cell>
          <cell r="G73">
            <v>60</v>
          </cell>
          <cell r="H73">
            <v>60</v>
          </cell>
          <cell r="I73">
            <v>60</v>
          </cell>
          <cell r="J73">
            <v>60</v>
          </cell>
          <cell r="K73">
            <v>60</v>
          </cell>
          <cell r="L73">
            <v>65</v>
          </cell>
          <cell r="M73">
            <v>60</v>
          </cell>
          <cell r="N73">
            <v>60</v>
          </cell>
        </row>
        <row r="74">
          <cell r="A74" t="str">
            <v>District of Columbia, 2009</v>
          </cell>
          <cell r="B74" t="str">
            <v>District of Columbia</v>
          </cell>
          <cell r="C74">
            <v>2009</v>
          </cell>
          <cell r="D74">
            <v>120</v>
          </cell>
          <cell r="E74">
            <v>60</v>
          </cell>
          <cell r="F74">
            <v>60</v>
          </cell>
          <cell r="G74">
            <v>60</v>
          </cell>
          <cell r="H74">
            <v>60</v>
          </cell>
          <cell r="I74">
            <v>60</v>
          </cell>
          <cell r="J74">
            <v>60</v>
          </cell>
          <cell r="K74">
            <v>60</v>
          </cell>
          <cell r="L74">
            <v>60</v>
          </cell>
          <cell r="M74">
            <v>60</v>
          </cell>
          <cell r="N74">
            <v>60</v>
          </cell>
        </row>
        <row r="75">
          <cell r="A75" t="str">
            <v>District of Columbia, 2010</v>
          </cell>
          <cell r="B75" t="str">
            <v>District of Columbia</v>
          </cell>
          <cell r="C75">
            <v>2010</v>
          </cell>
          <cell r="D75">
            <v>120</v>
          </cell>
          <cell r="E75">
            <v>60</v>
          </cell>
          <cell r="F75">
            <v>60</v>
          </cell>
          <cell r="G75">
            <v>60</v>
          </cell>
          <cell r="H75">
            <v>60</v>
          </cell>
          <cell r="I75">
            <v>60</v>
          </cell>
          <cell r="J75">
            <v>60</v>
          </cell>
          <cell r="K75">
            <v>60</v>
          </cell>
          <cell r="L75">
            <v>60</v>
          </cell>
          <cell r="M75">
            <v>60</v>
          </cell>
          <cell r="N75">
            <v>60</v>
          </cell>
        </row>
        <row r="76">
          <cell r="A76" t="str">
            <v>District of Columbia, 2011</v>
          </cell>
          <cell r="B76" t="str">
            <v>District of Columbia</v>
          </cell>
          <cell r="C76">
            <v>2011</v>
          </cell>
          <cell r="D76">
            <v>120</v>
          </cell>
          <cell r="E76">
            <v>60</v>
          </cell>
          <cell r="F76">
            <v>60</v>
          </cell>
          <cell r="G76">
            <v>60</v>
          </cell>
          <cell r="H76">
            <v>60</v>
          </cell>
          <cell r="I76">
            <v>60</v>
          </cell>
          <cell r="J76">
            <v>60</v>
          </cell>
          <cell r="K76">
            <v>60</v>
          </cell>
          <cell r="L76">
            <v>60</v>
          </cell>
          <cell r="M76">
            <v>60</v>
          </cell>
          <cell r="N76">
            <v>60</v>
          </cell>
        </row>
        <row r="77">
          <cell r="A77" t="str">
            <v>District of Columbia, 2012</v>
          </cell>
          <cell r="B77" t="str">
            <v>District of Columbia</v>
          </cell>
          <cell r="C77">
            <v>2012</v>
          </cell>
          <cell r="D77">
            <v>120</v>
          </cell>
          <cell r="E77">
            <v>60</v>
          </cell>
          <cell r="F77">
            <v>60</v>
          </cell>
          <cell r="G77">
            <v>60</v>
          </cell>
          <cell r="H77">
            <v>60</v>
          </cell>
          <cell r="I77">
            <v>60</v>
          </cell>
          <cell r="J77">
            <v>60</v>
          </cell>
          <cell r="K77">
            <v>60</v>
          </cell>
          <cell r="L77">
            <v>60</v>
          </cell>
          <cell r="M77">
            <v>60</v>
          </cell>
          <cell r="N77">
            <v>60</v>
          </cell>
        </row>
        <row r="78">
          <cell r="A78" t="str">
            <v>District of Columbia, 2013</v>
          </cell>
          <cell r="B78" t="str">
            <v>District of Columbia</v>
          </cell>
          <cell r="C78">
            <v>2013</v>
          </cell>
          <cell r="D78">
            <v>120</v>
          </cell>
          <cell r="E78">
            <v>60</v>
          </cell>
          <cell r="F78">
            <v>60</v>
          </cell>
          <cell r="G78">
            <v>60</v>
          </cell>
          <cell r="H78">
            <v>60</v>
          </cell>
          <cell r="I78">
            <v>60</v>
          </cell>
          <cell r="J78">
            <v>60</v>
          </cell>
          <cell r="K78">
            <v>60</v>
          </cell>
          <cell r="L78">
            <v>60</v>
          </cell>
          <cell r="M78">
            <v>60</v>
          </cell>
          <cell r="N78">
            <v>60</v>
          </cell>
        </row>
        <row r="79">
          <cell r="A79" t="str">
            <v>District of Columbia, 2014</v>
          </cell>
          <cell r="B79" t="str">
            <v>District of Columbia</v>
          </cell>
          <cell r="C79">
            <v>2014</v>
          </cell>
          <cell r="D79">
            <v>120</v>
          </cell>
          <cell r="E79">
            <v>60</v>
          </cell>
          <cell r="F79">
            <v>60</v>
          </cell>
          <cell r="G79">
            <v>60</v>
          </cell>
          <cell r="H79">
            <v>60</v>
          </cell>
          <cell r="I79">
            <v>60</v>
          </cell>
          <cell r="J79">
            <v>60</v>
          </cell>
          <cell r="K79">
            <v>60</v>
          </cell>
          <cell r="L79">
            <v>60</v>
          </cell>
          <cell r="M79">
            <v>60</v>
          </cell>
          <cell r="N79">
            <v>60</v>
          </cell>
        </row>
        <row r="80">
          <cell r="A80" t="str">
            <v>District of Columbia, 2015</v>
          </cell>
          <cell r="B80" t="str">
            <v>District of Columbia</v>
          </cell>
          <cell r="C80">
            <v>2015</v>
          </cell>
          <cell r="D80">
            <v>120</v>
          </cell>
          <cell r="E80">
            <v>60</v>
          </cell>
          <cell r="F80">
            <v>60</v>
          </cell>
          <cell r="G80">
            <v>60</v>
          </cell>
          <cell r="H80">
            <v>60</v>
          </cell>
          <cell r="I80">
            <v>60</v>
          </cell>
          <cell r="J80">
            <v>60</v>
          </cell>
          <cell r="K80">
            <v>60</v>
          </cell>
          <cell r="L80">
            <v>60</v>
          </cell>
          <cell r="M80">
            <v>60</v>
          </cell>
          <cell r="N80">
            <v>60</v>
          </cell>
        </row>
        <row r="81">
          <cell r="A81" t="str">
            <v>District of Columbia, 2016</v>
          </cell>
          <cell r="B81" t="str">
            <v>District of Columbia</v>
          </cell>
          <cell r="C81">
            <v>2016</v>
          </cell>
          <cell r="D81">
            <v>120</v>
          </cell>
          <cell r="E81">
            <v>60</v>
          </cell>
          <cell r="F81">
            <v>60</v>
          </cell>
          <cell r="G81">
            <v>60</v>
          </cell>
          <cell r="H81">
            <v>60</v>
          </cell>
          <cell r="I81">
            <v>60</v>
          </cell>
          <cell r="J81">
            <v>60</v>
          </cell>
          <cell r="K81">
            <v>60</v>
          </cell>
          <cell r="L81">
            <v>60</v>
          </cell>
          <cell r="M81">
            <v>60</v>
          </cell>
          <cell r="N81">
            <v>60</v>
          </cell>
        </row>
        <row r="82">
          <cell r="A82" t="str">
            <v>District of Columbia, 2017</v>
          </cell>
          <cell r="B82" t="str">
            <v>District of Columbia</v>
          </cell>
          <cell r="C82">
            <v>2017</v>
          </cell>
          <cell r="D82">
            <v>120</v>
          </cell>
          <cell r="E82">
            <v>60</v>
          </cell>
          <cell r="F82">
            <v>60</v>
          </cell>
          <cell r="G82">
            <v>60</v>
          </cell>
          <cell r="H82">
            <v>60</v>
          </cell>
          <cell r="I82">
            <v>60</v>
          </cell>
          <cell r="J82">
            <v>60</v>
          </cell>
          <cell r="K82">
            <v>60</v>
          </cell>
          <cell r="L82">
            <v>60</v>
          </cell>
          <cell r="M82">
            <v>60</v>
          </cell>
          <cell r="N82">
            <v>60</v>
          </cell>
        </row>
        <row r="83">
          <cell r="A83" t="str">
            <v>Florida, 2009</v>
          </cell>
          <cell r="B83" t="str">
            <v>Florida</v>
          </cell>
          <cell r="C83">
            <v>2009</v>
          </cell>
          <cell r="D83">
            <v>120</v>
          </cell>
          <cell r="E83">
            <v>60</v>
          </cell>
          <cell r="F83">
            <v>70</v>
          </cell>
          <cell r="G83">
            <v>72</v>
          </cell>
          <cell r="H83">
            <v>170</v>
          </cell>
          <cell r="I83">
            <v>60</v>
          </cell>
          <cell r="J83">
            <v>201</v>
          </cell>
          <cell r="K83">
            <v>284</v>
          </cell>
          <cell r="L83">
            <v>604</v>
          </cell>
          <cell r="M83">
            <v>973</v>
          </cell>
          <cell r="N83">
            <v>60</v>
          </cell>
        </row>
        <row r="84">
          <cell r="A84" t="str">
            <v>Florida, 2010</v>
          </cell>
          <cell r="B84" t="str">
            <v>Florida</v>
          </cell>
          <cell r="C84">
            <v>2010</v>
          </cell>
          <cell r="D84">
            <v>120</v>
          </cell>
          <cell r="E84">
            <v>60</v>
          </cell>
          <cell r="F84">
            <v>60</v>
          </cell>
          <cell r="G84">
            <v>60</v>
          </cell>
          <cell r="H84">
            <v>100</v>
          </cell>
          <cell r="I84">
            <v>60</v>
          </cell>
          <cell r="J84">
            <v>155</v>
          </cell>
          <cell r="K84">
            <v>294</v>
          </cell>
          <cell r="L84">
            <v>648</v>
          </cell>
          <cell r="M84">
            <v>962</v>
          </cell>
          <cell r="N84">
            <v>60</v>
          </cell>
        </row>
        <row r="85">
          <cell r="A85" t="str">
            <v>Florida, 2011</v>
          </cell>
          <cell r="B85" t="str">
            <v>Florida</v>
          </cell>
          <cell r="C85">
            <v>2011</v>
          </cell>
          <cell r="D85">
            <v>120</v>
          </cell>
          <cell r="E85">
            <v>60</v>
          </cell>
          <cell r="F85">
            <v>60</v>
          </cell>
          <cell r="G85">
            <v>65</v>
          </cell>
          <cell r="H85">
            <v>109</v>
          </cell>
          <cell r="I85">
            <v>60</v>
          </cell>
          <cell r="J85">
            <v>193</v>
          </cell>
          <cell r="K85">
            <v>327</v>
          </cell>
          <cell r="L85">
            <v>629</v>
          </cell>
          <cell r="M85">
            <v>1078</v>
          </cell>
          <cell r="N85">
            <v>60</v>
          </cell>
        </row>
        <row r="86">
          <cell r="A86" t="str">
            <v>Florida, 2012</v>
          </cell>
          <cell r="B86" t="str">
            <v>Florida</v>
          </cell>
          <cell r="C86">
            <v>2012</v>
          </cell>
          <cell r="D86">
            <v>120</v>
          </cell>
          <cell r="E86">
            <v>60</v>
          </cell>
          <cell r="F86">
            <v>60</v>
          </cell>
          <cell r="G86">
            <v>60</v>
          </cell>
          <cell r="H86">
            <v>75</v>
          </cell>
          <cell r="I86">
            <v>60</v>
          </cell>
          <cell r="J86">
            <v>191</v>
          </cell>
          <cell r="K86">
            <v>324</v>
          </cell>
          <cell r="L86">
            <v>606</v>
          </cell>
          <cell r="M86">
            <v>1055</v>
          </cell>
          <cell r="N86">
            <v>60</v>
          </cell>
        </row>
        <row r="87">
          <cell r="A87" t="str">
            <v>Florida, 2013</v>
          </cell>
          <cell r="B87" t="str">
            <v>Florida</v>
          </cell>
          <cell r="C87">
            <v>2013</v>
          </cell>
          <cell r="D87">
            <v>120</v>
          </cell>
          <cell r="E87">
            <v>60</v>
          </cell>
          <cell r="F87">
            <v>60</v>
          </cell>
          <cell r="G87">
            <v>68</v>
          </cell>
          <cell r="H87">
            <v>135</v>
          </cell>
          <cell r="I87">
            <v>60</v>
          </cell>
          <cell r="J87">
            <v>278</v>
          </cell>
          <cell r="K87">
            <v>374</v>
          </cell>
          <cell r="L87">
            <v>609</v>
          </cell>
          <cell r="M87">
            <v>1153</v>
          </cell>
          <cell r="N87">
            <v>60</v>
          </cell>
        </row>
        <row r="88">
          <cell r="A88" t="str">
            <v>Florida, 2014</v>
          </cell>
          <cell r="B88" t="str">
            <v>Florida</v>
          </cell>
          <cell r="C88">
            <v>2014</v>
          </cell>
          <cell r="D88">
            <v>120</v>
          </cell>
          <cell r="E88">
            <v>60</v>
          </cell>
          <cell r="F88">
            <v>68</v>
          </cell>
          <cell r="G88">
            <v>77</v>
          </cell>
          <cell r="H88">
            <v>159</v>
          </cell>
          <cell r="I88">
            <v>60</v>
          </cell>
          <cell r="J88">
            <v>277</v>
          </cell>
          <cell r="K88">
            <v>388</v>
          </cell>
          <cell r="L88">
            <v>671</v>
          </cell>
          <cell r="M88">
            <v>1084</v>
          </cell>
          <cell r="N88">
            <v>60</v>
          </cell>
        </row>
        <row r="89">
          <cell r="A89" t="str">
            <v>Florida, 2015</v>
          </cell>
          <cell r="B89" t="str">
            <v>Florida</v>
          </cell>
          <cell r="C89">
            <v>2015</v>
          </cell>
          <cell r="D89">
            <v>120</v>
          </cell>
          <cell r="E89">
            <v>60</v>
          </cell>
          <cell r="F89">
            <v>60</v>
          </cell>
          <cell r="G89">
            <v>60</v>
          </cell>
          <cell r="H89">
            <v>91</v>
          </cell>
          <cell r="I89">
            <v>60</v>
          </cell>
          <cell r="J89">
            <v>224</v>
          </cell>
          <cell r="K89">
            <v>441</v>
          </cell>
          <cell r="L89">
            <v>733</v>
          </cell>
          <cell r="M89">
            <v>1097</v>
          </cell>
          <cell r="N89">
            <v>60</v>
          </cell>
        </row>
        <row r="90">
          <cell r="A90" t="str">
            <v>Florida, 2016</v>
          </cell>
          <cell r="B90" t="str">
            <v>Florida</v>
          </cell>
          <cell r="C90">
            <v>2016</v>
          </cell>
          <cell r="D90">
            <v>120</v>
          </cell>
          <cell r="E90">
            <v>60</v>
          </cell>
          <cell r="F90">
            <v>60</v>
          </cell>
          <cell r="G90">
            <v>80</v>
          </cell>
          <cell r="H90">
            <v>133</v>
          </cell>
          <cell r="I90">
            <v>60</v>
          </cell>
          <cell r="J90">
            <v>274</v>
          </cell>
          <cell r="K90">
            <v>471</v>
          </cell>
          <cell r="L90">
            <v>701</v>
          </cell>
          <cell r="M90">
            <v>1088</v>
          </cell>
          <cell r="N90">
            <v>60</v>
          </cell>
        </row>
        <row r="91">
          <cell r="A91" t="str">
            <v>Florida, 2017</v>
          </cell>
          <cell r="B91" t="str">
            <v>Florida</v>
          </cell>
          <cell r="C91">
            <v>2017</v>
          </cell>
          <cell r="D91">
            <v>120</v>
          </cell>
          <cell r="E91">
            <v>60</v>
          </cell>
          <cell r="F91">
            <v>60</v>
          </cell>
          <cell r="G91">
            <v>60</v>
          </cell>
          <cell r="H91">
            <v>91</v>
          </cell>
          <cell r="I91">
            <v>60</v>
          </cell>
          <cell r="J91">
            <v>300</v>
          </cell>
          <cell r="K91">
            <v>516</v>
          </cell>
          <cell r="L91">
            <v>744</v>
          </cell>
          <cell r="M91">
            <v>1294</v>
          </cell>
          <cell r="N91">
            <v>60</v>
          </cell>
        </row>
        <row r="92">
          <cell r="A92" t="str">
            <v>Georgia, 2009</v>
          </cell>
          <cell r="B92" t="str">
            <v>Georgia</v>
          </cell>
          <cell r="C92">
            <v>2009</v>
          </cell>
          <cell r="D92">
            <v>120</v>
          </cell>
          <cell r="E92">
            <v>60</v>
          </cell>
          <cell r="F92">
            <v>60</v>
          </cell>
          <cell r="G92">
            <v>65</v>
          </cell>
          <cell r="H92">
            <v>76</v>
          </cell>
          <cell r="I92">
            <v>60</v>
          </cell>
          <cell r="J92">
            <v>131</v>
          </cell>
          <cell r="K92">
            <v>194</v>
          </cell>
          <cell r="L92">
            <v>410</v>
          </cell>
          <cell r="M92">
            <v>562</v>
          </cell>
          <cell r="N92">
            <v>60</v>
          </cell>
        </row>
        <row r="93">
          <cell r="A93" t="str">
            <v>Georgia, 2010</v>
          </cell>
          <cell r="B93" t="str">
            <v>Georgia</v>
          </cell>
          <cell r="C93">
            <v>2010</v>
          </cell>
          <cell r="D93">
            <v>120</v>
          </cell>
          <cell r="E93">
            <v>60</v>
          </cell>
          <cell r="F93">
            <v>60</v>
          </cell>
          <cell r="G93">
            <v>60</v>
          </cell>
          <cell r="H93">
            <v>72</v>
          </cell>
          <cell r="I93">
            <v>60</v>
          </cell>
          <cell r="J93">
            <v>116</v>
          </cell>
          <cell r="K93">
            <v>223</v>
          </cell>
          <cell r="L93">
            <v>392</v>
          </cell>
          <cell r="M93">
            <v>557</v>
          </cell>
          <cell r="N93">
            <v>60</v>
          </cell>
        </row>
        <row r="94">
          <cell r="A94" t="str">
            <v>Georgia, 2011</v>
          </cell>
          <cell r="B94" t="str">
            <v>Georgia</v>
          </cell>
          <cell r="C94">
            <v>2011</v>
          </cell>
          <cell r="D94">
            <v>120</v>
          </cell>
          <cell r="E94">
            <v>60</v>
          </cell>
          <cell r="F94">
            <v>60</v>
          </cell>
          <cell r="G94">
            <v>60</v>
          </cell>
          <cell r="H94">
            <v>67</v>
          </cell>
          <cell r="I94">
            <v>60</v>
          </cell>
          <cell r="J94">
            <v>145</v>
          </cell>
          <cell r="K94">
            <v>253</v>
          </cell>
          <cell r="L94">
            <v>376</v>
          </cell>
          <cell r="M94">
            <v>544</v>
          </cell>
          <cell r="N94">
            <v>60</v>
          </cell>
        </row>
        <row r="95">
          <cell r="A95" t="str">
            <v>Georgia, 2012</v>
          </cell>
          <cell r="B95" t="str">
            <v>Georgia</v>
          </cell>
          <cell r="C95">
            <v>2012</v>
          </cell>
          <cell r="D95">
            <v>120</v>
          </cell>
          <cell r="E95">
            <v>60</v>
          </cell>
          <cell r="F95">
            <v>60</v>
          </cell>
          <cell r="G95">
            <v>60</v>
          </cell>
          <cell r="H95">
            <v>68</v>
          </cell>
          <cell r="I95">
            <v>60</v>
          </cell>
          <cell r="J95">
            <v>134</v>
          </cell>
          <cell r="K95">
            <v>166</v>
          </cell>
          <cell r="L95">
            <v>419</v>
          </cell>
          <cell r="M95">
            <v>533</v>
          </cell>
          <cell r="N95">
            <v>60</v>
          </cell>
        </row>
        <row r="96">
          <cell r="A96" t="str">
            <v>Georgia, 2013</v>
          </cell>
          <cell r="B96" t="str">
            <v>Georgia</v>
          </cell>
          <cell r="C96">
            <v>2013</v>
          </cell>
          <cell r="D96">
            <v>120</v>
          </cell>
          <cell r="E96">
            <v>60</v>
          </cell>
          <cell r="F96">
            <v>60</v>
          </cell>
          <cell r="G96">
            <v>72</v>
          </cell>
          <cell r="H96">
            <v>87</v>
          </cell>
          <cell r="I96">
            <v>60</v>
          </cell>
          <cell r="J96">
            <v>143</v>
          </cell>
          <cell r="K96">
            <v>227</v>
          </cell>
          <cell r="L96">
            <v>398</v>
          </cell>
          <cell r="M96">
            <v>531</v>
          </cell>
          <cell r="N96">
            <v>60</v>
          </cell>
        </row>
        <row r="97">
          <cell r="A97" t="str">
            <v>Georgia, 2014</v>
          </cell>
          <cell r="B97" t="str">
            <v>Georgia</v>
          </cell>
          <cell r="C97">
            <v>2014</v>
          </cell>
          <cell r="D97">
            <v>120</v>
          </cell>
          <cell r="E97">
            <v>60</v>
          </cell>
          <cell r="F97">
            <v>60</v>
          </cell>
          <cell r="G97">
            <v>69</v>
          </cell>
          <cell r="H97">
            <v>92</v>
          </cell>
          <cell r="I97">
            <v>60</v>
          </cell>
          <cell r="J97">
            <v>197</v>
          </cell>
          <cell r="K97">
            <v>257</v>
          </cell>
          <cell r="L97">
            <v>348</v>
          </cell>
          <cell r="M97">
            <v>528</v>
          </cell>
          <cell r="N97">
            <v>60</v>
          </cell>
        </row>
        <row r="98">
          <cell r="A98" t="str">
            <v>Georgia, 2015</v>
          </cell>
          <cell r="B98" t="str">
            <v>Georgia</v>
          </cell>
          <cell r="C98">
            <v>2015</v>
          </cell>
          <cell r="D98">
            <v>120</v>
          </cell>
          <cell r="E98">
            <v>60</v>
          </cell>
          <cell r="F98">
            <v>60</v>
          </cell>
          <cell r="G98">
            <v>60</v>
          </cell>
          <cell r="H98">
            <v>66</v>
          </cell>
          <cell r="I98">
            <v>60</v>
          </cell>
          <cell r="J98">
            <v>167</v>
          </cell>
          <cell r="K98">
            <v>241</v>
          </cell>
          <cell r="L98">
            <v>419</v>
          </cell>
          <cell r="M98">
            <v>499</v>
          </cell>
          <cell r="N98">
            <v>60</v>
          </cell>
        </row>
        <row r="99">
          <cell r="A99" t="str">
            <v>Georgia, 2016</v>
          </cell>
          <cell r="B99" t="str">
            <v>Georgia</v>
          </cell>
          <cell r="C99">
            <v>2016</v>
          </cell>
          <cell r="D99">
            <v>120</v>
          </cell>
          <cell r="E99">
            <v>60</v>
          </cell>
          <cell r="F99">
            <v>60</v>
          </cell>
          <cell r="G99">
            <v>60</v>
          </cell>
          <cell r="H99">
            <v>65</v>
          </cell>
          <cell r="I99">
            <v>60</v>
          </cell>
          <cell r="J99">
            <v>202</v>
          </cell>
          <cell r="K99">
            <v>266</v>
          </cell>
          <cell r="L99">
            <v>351</v>
          </cell>
          <cell r="M99">
            <v>451</v>
          </cell>
          <cell r="N99">
            <v>60</v>
          </cell>
        </row>
        <row r="100">
          <cell r="A100" t="str">
            <v>Georgia, 2017</v>
          </cell>
          <cell r="B100" t="str">
            <v>Georgia</v>
          </cell>
          <cell r="C100">
            <v>2017</v>
          </cell>
          <cell r="D100">
            <v>120</v>
          </cell>
          <cell r="E100">
            <v>60</v>
          </cell>
          <cell r="F100">
            <v>60</v>
          </cell>
          <cell r="G100">
            <v>60</v>
          </cell>
          <cell r="H100">
            <v>70</v>
          </cell>
          <cell r="I100">
            <v>60</v>
          </cell>
          <cell r="J100">
            <v>159</v>
          </cell>
          <cell r="K100">
            <v>274</v>
          </cell>
          <cell r="L100">
            <v>391</v>
          </cell>
          <cell r="M100">
            <v>452</v>
          </cell>
          <cell r="N100">
            <v>60</v>
          </cell>
        </row>
        <row r="101">
          <cell r="A101" t="str">
            <v>Hawaii, 2009</v>
          </cell>
          <cell r="B101" t="str">
            <v>Hawaii</v>
          </cell>
          <cell r="C101">
            <v>2009</v>
          </cell>
          <cell r="D101">
            <v>120</v>
          </cell>
          <cell r="E101">
            <v>60</v>
          </cell>
          <cell r="F101">
            <v>60</v>
          </cell>
          <cell r="G101">
            <v>60</v>
          </cell>
          <cell r="H101">
            <v>60</v>
          </cell>
          <cell r="I101">
            <v>60</v>
          </cell>
          <cell r="J101">
            <v>60</v>
          </cell>
          <cell r="K101">
            <v>60</v>
          </cell>
          <cell r="L101">
            <v>60</v>
          </cell>
          <cell r="M101">
            <v>125</v>
          </cell>
          <cell r="N101">
            <v>60</v>
          </cell>
        </row>
        <row r="102">
          <cell r="A102" t="str">
            <v>Hawaii, 2010</v>
          </cell>
          <cell r="B102" t="str">
            <v>Hawaii</v>
          </cell>
          <cell r="C102">
            <v>2010</v>
          </cell>
          <cell r="D102">
            <v>120</v>
          </cell>
          <cell r="E102">
            <v>60</v>
          </cell>
          <cell r="F102">
            <v>60</v>
          </cell>
          <cell r="G102">
            <v>60</v>
          </cell>
          <cell r="H102">
            <v>60</v>
          </cell>
          <cell r="I102">
            <v>60</v>
          </cell>
          <cell r="J102">
            <v>60</v>
          </cell>
          <cell r="K102">
            <v>60</v>
          </cell>
          <cell r="L102">
            <v>72</v>
          </cell>
          <cell r="M102">
            <v>139</v>
          </cell>
          <cell r="N102">
            <v>60</v>
          </cell>
        </row>
        <row r="103">
          <cell r="A103" t="str">
            <v>Hawaii, 2011</v>
          </cell>
          <cell r="B103" t="str">
            <v>Hawaii</v>
          </cell>
          <cell r="C103">
            <v>2011</v>
          </cell>
          <cell r="D103">
            <v>120</v>
          </cell>
          <cell r="E103">
            <v>60</v>
          </cell>
          <cell r="F103">
            <v>60</v>
          </cell>
          <cell r="G103">
            <v>60</v>
          </cell>
          <cell r="H103">
            <v>60</v>
          </cell>
          <cell r="I103">
            <v>60</v>
          </cell>
          <cell r="J103">
            <v>60</v>
          </cell>
          <cell r="K103">
            <v>60</v>
          </cell>
          <cell r="L103">
            <v>66</v>
          </cell>
          <cell r="M103">
            <v>187</v>
          </cell>
          <cell r="N103">
            <v>60</v>
          </cell>
        </row>
        <row r="104">
          <cell r="A104" t="str">
            <v>Hawaii, 2012</v>
          </cell>
          <cell r="B104" t="str">
            <v>Hawaii</v>
          </cell>
          <cell r="C104">
            <v>2012</v>
          </cell>
          <cell r="D104">
            <v>120</v>
          </cell>
          <cell r="E104">
            <v>60</v>
          </cell>
          <cell r="F104">
            <v>60</v>
          </cell>
          <cell r="G104">
            <v>60</v>
          </cell>
          <cell r="H104">
            <v>60</v>
          </cell>
          <cell r="I104">
            <v>60</v>
          </cell>
          <cell r="J104">
            <v>60</v>
          </cell>
          <cell r="K104">
            <v>60</v>
          </cell>
          <cell r="L104">
            <v>76</v>
          </cell>
          <cell r="M104">
            <v>239</v>
          </cell>
          <cell r="N104">
            <v>60</v>
          </cell>
        </row>
        <row r="105">
          <cell r="A105" t="str">
            <v>Hawaii, 2013</v>
          </cell>
          <cell r="B105" t="str">
            <v>Hawaii</v>
          </cell>
          <cell r="C105">
            <v>2013</v>
          </cell>
          <cell r="D105">
            <v>120</v>
          </cell>
          <cell r="E105">
            <v>60</v>
          </cell>
          <cell r="F105">
            <v>60</v>
          </cell>
          <cell r="G105">
            <v>60</v>
          </cell>
          <cell r="H105">
            <v>60</v>
          </cell>
          <cell r="I105">
            <v>60</v>
          </cell>
          <cell r="J105">
            <v>60</v>
          </cell>
          <cell r="K105">
            <v>60</v>
          </cell>
          <cell r="L105">
            <v>97</v>
          </cell>
          <cell r="M105">
            <v>252</v>
          </cell>
          <cell r="N105">
            <v>60</v>
          </cell>
        </row>
        <row r="106">
          <cell r="A106" t="str">
            <v>Hawaii, 2014</v>
          </cell>
          <cell r="B106" t="str">
            <v>Hawaii</v>
          </cell>
          <cell r="C106">
            <v>2014</v>
          </cell>
          <cell r="D106">
            <v>120</v>
          </cell>
          <cell r="E106">
            <v>60</v>
          </cell>
          <cell r="F106">
            <v>60</v>
          </cell>
          <cell r="G106">
            <v>60</v>
          </cell>
          <cell r="H106">
            <v>60</v>
          </cell>
          <cell r="I106">
            <v>60</v>
          </cell>
          <cell r="J106">
            <v>60</v>
          </cell>
          <cell r="K106">
            <v>60</v>
          </cell>
          <cell r="L106">
            <v>97</v>
          </cell>
          <cell r="M106">
            <v>224</v>
          </cell>
          <cell r="N106">
            <v>60</v>
          </cell>
        </row>
        <row r="107">
          <cell r="A107" t="str">
            <v>Hawaii, 2015</v>
          </cell>
          <cell r="B107" t="str">
            <v>Hawaii</v>
          </cell>
          <cell r="C107">
            <v>2015</v>
          </cell>
          <cell r="D107">
            <v>120</v>
          </cell>
          <cell r="E107">
            <v>60</v>
          </cell>
          <cell r="F107">
            <v>60</v>
          </cell>
          <cell r="G107">
            <v>60</v>
          </cell>
          <cell r="H107">
            <v>60</v>
          </cell>
          <cell r="I107">
            <v>60</v>
          </cell>
          <cell r="J107">
            <v>60</v>
          </cell>
          <cell r="K107">
            <v>60</v>
          </cell>
          <cell r="L107">
            <v>104</v>
          </cell>
          <cell r="M107">
            <v>326</v>
          </cell>
          <cell r="N107">
            <v>60</v>
          </cell>
        </row>
        <row r="108">
          <cell r="A108" t="str">
            <v>Hawaii, 2016</v>
          </cell>
          <cell r="B108" t="str">
            <v>Hawaii</v>
          </cell>
          <cell r="C108">
            <v>2016</v>
          </cell>
          <cell r="D108">
            <v>120</v>
          </cell>
          <cell r="E108">
            <v>60</v>
          </cell>
          <cell r="F108">
            <v>60</v>
          </cell>
          <cell r="G108">
            <v>60</v>
          </cell>
          <cell r="H108">
            <v>60</v>
          </cell>
          <cell r="I108">
            <v>60</v>
          </cell>
          <cell r="J108">
            <v>60</v>
          </cell>
          <cell r="K108">
            <v>60</v>
          </cell>
          <cell r="L108">
            <v>85</v>
          </cell>
          <cell r="M108">
            <v>303</v>
          </cell>
          <cell r="N108">
            <v>60</v>
          </cell>
        </row>
        <row r="109">
          <cell r="A109" t="str">
            <v>Hawaii, 2017</v>
          </cell>
          <cell r="B109" t="str">
            <v>Hawaii</v>
          </cell>
          <cell r="C109">
            <v>2017</v>
          </cell>
          <cell r="D109">
            <v>120</v>
          </cell>
          <cell r="E109">
            <v>60</v>
          </cell>
          <cell r="F109">
            <v>60</v>
          </cell>
          <cell r="G109">
            <v>60</v>
          </cell>
          <cell r="H109">
            <v>60</v>
          </cell>
          <cell r="I109">
            <v>60</v>
          </cell>
          <cell r="J109">
            <v>60</v>
          </cell>
          <cell r="K109">
            <v>60</v>
          </cell>
          <cell r="L109">
            <v>106</v>
          </cell>
          <cell r="M109">
            <v>382</v>
          </cell>
          <cell r="N109">
            <v>60</v>
          </cell>
        </row>
        <row r="110">
          <cell r="A110" t="str">
            <v>Idaho, 2009</v>
          </cell>
          <cell r="B110" t="str">
            <v>Idaho</v>
          </cell>
          <cell r="C110">
            <v>2009</v>
          </cell>
          <cell r="D110">
            <v>120</v>
          </cell>
          <cell r="E110">
            <v>60</v>
          </cell>
          <cell r="F110">
            <v>60</v>
          </cell>
          <cell r="G110">
            <v>60</v>
          </cell>
          <cell r="H110">
            <v>60</v>
          </cell>
          <cell r="I110">
            <v>60</v>
          </cell>
          <cell r="J110">
            <v>60</v>
          </cell>
          <cell r="K110">
            <v>60</v>
          </cell>
          <cell r="L110">
            <v>60</v>
          </cell>
          <cell r="M110">
            <v>65</v>
          </cell>
          <cell r="N110">
            <v>60</v>
          </cell>
        </row>
        <row r="111">
          <cell r="A111" t="str">
            <v>Idaho, 2010</v>
          </cell>
          <cell r="B111" t="str">
            <v>Idaho</v>
          </cell>
          <cell r="C111">
            <v>2010</v>
          </cell>
          <cell r="D111">
            <v>120</v>
          </cell>
          <cell r="E111">
            <v>60</v>
          </cell>
          <cell r="F111">
            <v>60</v>
          </cell>
          <cell r="G111">
            <v>60</v>
          </cell>
          <cell r="H111">
            <v>60</v>
          </cell>
          <cell r="I111">
            <v>60</v>
          </cell>
          <cell r="J111">
            <v>60</v>
          </cell>
          <cell r="K111">
            <v>60</v>
          </cell>
          <cell r="L111">
            <v>65</v>
          </cell>
          <cell r="M111">
            <v>103</v>
          </cell>
          <cell r="N111">
            <v>60</v>
          </cell>
        </row>
        <row r="112">
          <cell r="A112" t="str">
            <v>Idaho, 2011</v>
          </cell>
          <cell r="B112" t="str">
            <v>Idaho</v>
          </cell>
          <cell r="C112">
            <v>2011</v>
          </cell>
          <cell r="D112">
            <v>120</v>
          </cell>
          <cell r="E112">
            <v>60</v>
          </cell>
          <cell r="F112">
            <v>60</v>
          </cell>
          <cell r="G112">
            <v>60</v>
          </cell>
          <cell r="H112">
            <v>60</v>
          </cell>
          <cell r="I112">
            <v>60</v>
          </cell>
          <cell r="J112">
            <v>60</v>
          </cell>
          <cell r="K112">
            <v>60</v>
          </cell>
          <cell r="L112">
            <v>60</v>
          </cell>
          <cell r="M112">
            <v>101</v>
          </cell>
          <cell r="N112">
            <v>60</v>
          </cell>
        </row>
        <row r="113">
          <cell r="A113" t="str">
            <v>Idaho, 2012</v>
          </cell>
          <cell r="B113" t="str">
            <v>Idaho</v>
          </cell>
          <cell r="C113">
            <v>2012</v>
          </cell>
          <cell r="D113">
            <v>120</v>
          </cell>
          <cell r="E113">
            <v>60</v>
          </cell>
          <cell r="F113">
            <v>60</v>
          </cell>
          <cell r="G113">
            <v>60</v>
          </cell>
          <cell r="H113">
            <v>60</v>
          </cell>
          <cell r="I113">
            <v>60</v>
          </cell>
          <cell r="J113">
            <v>60</v>
          </cell>
          <cell r="K113">
            <v>60</v>
          </cell>
          <cell r="L113">
            <v>60</v>
          </cell>
          <cell r="M113">
            <v>91</v>
          </cell>
          <cell r="N113">
            <v>60</v>
          </cell>
        </row>
        <row r="114">
          <cell r="A114" t="str">
            <v>Idaho, 2013</v>
          </cell>
          <cell r="B114" t="str">
            <v>Idaho</v>
          </cell>
          <cell r="C114">
            <v>2013</v>
          </cell>
          <cell r="D114">
            <v>120</v>
          </cell>
          <cell r="E114">
            <v>60</v>
          </cell>
          <cell r="F114">
            <v>60</v>
          </cell>
          <cell r="G114">
            <v>60</v>
          </cell>
          <cell r="H114">
            <v>60</v>
          </cell>
          <cell r="I114">
            <v>60</v>
          </cell>
          <cell r="J114">
            <v>60</v>
          </cell>
          <cell r="K114">
            <v>60</v>
          </cell>
          <cell r="L114">
            <v>67</v>
          </cell>
          <cell r="M114">
            <v>119</v>
          </cell>
          <cell r="N114">
            <v>60</v>
          </cell>
        </row>
        <row r="115">
          <cell r="A115" t="str">
            <v>Idaho, 2014</v>
          </cell>
          <cell r="B115" t="str">
            <v>Idaho</v>
          </cell>
          <cell r="C115">
            <v>2014</v>
          </cell>
          <cell r="D115">
            <v>120</v>
          </cell>
          <cell r="E115">
            <v>60</v>
          </cell>
          <cell r="F115">
            <v>60</v>
          </cell>
          <cell r="G115">
            <v>60</v>
          </cell>
          <cell r="H115">
            <v>60</v>
          </cell>
          <cell r="I115">
            <v>60</v>
          </cell>
          <cell r="J115">
            <v>60</v>
          </cell>
          <cell r="K115">
            <v>60</v>
          </cell>
          <cell r="L115">
            <v>60</v>
          </cell>
          <cell r="M115">
            <v>91</v>
          </cell>
          <cell r="N115">
            <v>60</v>
          </cell>
        </row>
        <row r="116">
          <cell r="A116" t="str">
            <v>Idaho, 2015</v>
          </cell>
          <cell r="B116" t="str">
            <v>Idaho</v>
          </cell>
          <cell r="C116">
            <v>2015</v>
          </cell>
          <cell r="D116">
            <v>120</v>
          </cell>
          <cell r="E116">
            <v>60</v>
          </cell>
          <cell r="F116">
            <v>60</v>
          </cell>
          <cell r="G116">
            <v>60</v>
          </cell>
          <cell r="H116">
            <v>60</v>
          </cell>
          <cell r="I116">
            <v>60</v>
          </cell>
          <cell r="J116">
            <v>60</v>
          </cell>
          <cell r="K116">
            <v>60</v>
          </cell>
          <cell r="L116">
            <v>68</v>
          </cell>
          <cell r="M116">
            <v>104</v>
          </cell>
          <cell r="N116">
            <v>60</v>
          </cell>
        </row>
        <row r="117">
          <cell r="A117" t="str">
            <v>Idaho, 2016</v>
          </cell>
          <cell r="B117" t="str">
            <v>Idaho</v>
          </cell>
          <cell r="C117">
            <v>2016</v>
          </cell>
          <cell r="D117">
            <v>120</v>
          </cell>
          <cell r="E117">
            <v>60</v>
          </cell>
          <cell r="F117">
            <v>60</v>
          </cell>
          <cell r="G117">
            <v>60</v>
          </cell>
          <cell r="H117">
            <v>60</v>
          </cell>
          <cell r="I117">
            <v>60</v>
          </cell>
          <cell r="J117">
            <v>60</v>
          </cell>
          <cell r="K117">
            <v>60</v>
          </cell>
          <cell r="L117">
            <v>60</v>
          </cell>
          <cell r="M117">
            <v>87</v>
          </cell>
          <cell r="N117">
            <v>60</v>
          </cell>
        </row>
        <row r="118">
          <cell r="A118" t="str">
            <v>Idaho, 2017</v>
          </cell>
          <cell r="B118" t="str">
            <v>Idaho</v>
          </cell>
          <cell r="C118">
            <v>2017</v>
          </cell>
          <cell r="D118">
            <v>120</v>
          </cell>
          <cell r="E118">
            <v>60</v>
          </cell>
          <cell r="F118">
            <v>60</v>
          </cell>
          <cell r="G118">
            <v>60</v>
          </cell>
          <cell r="H118">
            <v>60</v>
          </cell>
          <cell r="I118">
            <v>60</v>
          </cell>
          <cell r="J118">
            <v>60</v>
          </cell>
          <cell r="K118">
            <v>60</v>
          </cell>
          <cell r="L118">
            <v>76</v>
          </cell>
          <cell r="M118">
            <v>114</v>
          </cell>
          <cell r="N118">
            <v>60</v>
          </cell>
        </row>
        <row r="119">
          <cell r="A119" t="str">
            <v>Illinois, 2009</v>
          </cell>
          <cell r="B119" t="str">
            <v>Illinois</v>
          </cell>
          <cell r="C119">
            <v>2009</v>
          </cell>
          <cell r="D119">
            <v>120</v>
          </cell>
          <cell r="E119">
            <v>60</v>
          </cell>
          <cell r="F119">
            <v>60</v>
          </cell>
          <cell r="G119">
            <v>72</v>
          </cell>
          <cell r="H119">
            <v>102</v>
          </cell>
          <cell r="I119">
            <v>60</v>
          </cell>
          <cell r="J119">
            <v>173</v>
          </cell>
          <cell r="K119">
            <v>263</v>
          </cell>
          <cell r="L119">
            <v>589</v>
          </cell>
          <cell r="M119">
            <v>1154</v>
          </cell>
          <cell r="N119">
            <v>60</v>
          </cell>
        </row>
        <row r="120">
          <cell r="A120" t="str">
            <v>Illinois, 2010</v>
          </cell>
          <cell r="B120" t="str">
            <v>Illinois</v>
          </cell>
          <cell r="C120">
            <v>2010</v>
          </cell>
          <cell r="D120">
            <v>120</v>
          </cell>
          <cell r="E120">
            <v>60</v>
          </cell>
          <cell r="F120">
            <v>60</v>
          </cell>
          <cell r="G120">
            <v>60</v>
          </cell>
          <cell r="H120">
            <v>70</v>
          </cell>
          <cell r="I120">
            <v>60</v>
          </cell>
          <cell r="J120">
            <v>153</v>
          </cell>
          <cell r="K120">
            <v>247</v>
          </cell>
          <cell r="L120">
            <v>597</v>
          </cell>
          <cell r="M120">
            <v>1068</v>
          </cell>
          <cell r="N120">
            <v>60</v>
          </cell>
        </row>
        <row r="121">
          <cell r="A121" t="str">
            <v>Illinois, 2011</v>
          </cell>
          <cell r="B121" t="str">
            <v>Illinois</v>
          </cell>
          <cell r="C121">
            <v>2011</v>
          </cell>
          <cell r="D121">
            <v>120</v>
          </cell>
          <cell r="E121">
            <v>60</v>
          </cell>
          <cell r="F121">
            <v>60</v>
          </cell>
          <cell r="G121">
            <v>60</v>
          </cell>
          <cell r="H121">
            <v>81</v>
          </cell>
          <cell r="I121">
            <v>60</v>
          </cell>
          <cell r="J121">
            <v>201</v>
          </cell>
          <cell r="K121">
            <v>256</v>
          </cell>
          <cell r="L121">
            <v>625</v>
          </cell>
          <cell r="M121">
            <v>1168</v>
          </cell>
          <cell r="N121">
            <v>60</v>
          </cell>
        </row>
        <row r="122">
          <cell r="A122" t="str">
            <v>Illinois, 2012</v>
          </cell>
          <cell r="B122" t="str">
            <v>Illinois</v>
          </cell>
          <cell r="C122">
            <v>2012</v>
          </cell>
          <cell r="D122">
            <v>120</v>
          </cell>
          <cell r="E122">
            <v>60</v>
          </cell>
          <cell r="F122">
            <v>60</v>
          </cell>
          <cell r="G122">
            <v>60</v>
          </cell>
          <cell r="H122">
            <v>78</v>
          </cell>
          <cell r="I122">
            <v>60</v>
          </cell>
          <cell r="J122">
            <v>185</v>
          </cell>
          <cell r="K122">
            <v>292</v>
          </cell>
          <cell r="L122">
            <v>559</v>
          </cell>
          <cell r="M122">
            <v>1132</v>
          </cell>
          <cell r="N122">
            <v>60</v>
          </cell>
        </row>
        <row r="123">
          <cell r="A123" t="str">
            <v>Illinois, 2013</v>
          </cell>
          <cell r="B123" t="str">
            <v>Illinois</v>
          </cell>
          <cell r="C123">
            <v>2013</v>
          </cell>
          <cell r="D123">
            <v>120</v>
          </cell>
          <cell r="E123">
            <v>60</v>
          </cell>
          <cell r="F123">
            <v>60</v>
          </cell>
          <cell r="G123">
            <v>60</v>
          </cell>
          <cell r="H123">
            <v>65</v>
          </cell>
          <cell r="I123">
            <v>60</v>
          </cell>
          <cell r="J123">
            <v>180</v>
          </cell>
          <cell r="K123">
            <v>315</v>
          </cell>
          <cell r="L123">
            <v>600</v>
          </cell>
          <cell r="M123">
            <v>1207</v>
          </cell>
          <cell r="N123">
            <v>60</v>
          </cell>
        </row>
        <row r="124">
          <cell r="A124" t="str">
            <v>Illinois, 2014</v>
          </cell>
          <cell r="B124" t="str">
            <v>Illinois</v>
          </cell>
          <cell r="C124">
            <v>2014</v>
          </cell>
          <cell r="D124">
            <v>120</v>
          </cell>
          <cell r="E124">
            <v>60</v>
          </cell>
          <cell r="F124">
            <v>60</v>
          </cell>
          <cell r="G124">
            <v>67</v>
          </cell>
          <cell r="H124">
            <v>86</v>
          </cell>
          <cell r="I124">
            <v>60</v>
          </cell>
          <cell r="J124">
            <v>191</v>
          </cell>
          <cell r="K124">
            <v>333</v>
          </cell>
          <cell r="L124">
            <v>577</v>
          </cell>
          <cell r="M124">
            <v>1215</v>
          </cell>
          <cell r="N124">
            <v>60</v>
          </cell>
        </row>
        <row r="125">
          <cell r="A125" t="str">
            <v>Illinois, 2015</v>
          </cell>
          <cell r="B125" t="str">
            <v>Illinois</v>
          </cell>
          <cell r="C125">
            <v>2015</v>
          </cell>
          <cell r="D125">
            <v>120</v>
          </cell>
          <cell r="E125">
            <v>60</v>
          </cell>
          <cell r="F125">
            <v>60</v>
          </cell>
          <cell r="G125">
            <v>60</v>
          </cell>
          <cell r="H125">
            <v>75</v>
          </cell>
          <cell r="I125">
            <v>60</v>
          </cell>
          <cell r="J125">
            <v>194</v>
          </cell>
          <cell r="K125">
            <v>315</v>
          </cell>
          <cell r="L125">
            <v>541</v>
          </cell>
          <cell r="M125">
            <v>1141</v>
          </cell>
          <cell r="N125">
            <v>60</v>
          </cell>
        </row>
        <row r="126">
          <cell r="A126" t="str">
            <v>Illinois, 2016</v>
          </cell>
          <cell r="B126" t="str">
            <v>Illinois</v>
          </cell>
          <cell r="C126">
            <v>2016</v>
          </cell>
          <cell r="D126">
            <v>120</v>
          </cell>
          <cell r="E126">
            <v>60</v>
          </cell>
          <cell r="F126">
            <v>60</v>
          </cell>
          <cell r="G126">
            <v>60</v>
          </cell>
          <cell r="H126">
            <v>76</v>
          </cell>
          <cell r="I126">
            <v>60</v>
          </cell>
          <cell r="J126">
            <v>221</v>
          </cell>
          <cell r="K126">
            <v>333</v>
          </cell>
          <cell r="L126">
            <v>519</v>
          </cell>
          <cell r="M126">
            <v>947</v>
          </cell>
          <cell r="N126">
            <v>60</v>
          </cell>
        </row>
        <row r="127">
          <cell r="A127" t="str">
            <v>Illinois, 2017</v>
          </cell>
          <cell r="B127" t="str">
            <v>Illinois</v>
          </cell>
          <cell r="C127">
            <v>2017</v>
          </cell>
          <cell r="D127">
            <v>120</v>
          </cell>
          <cell r="E127">
            <v>60</v>
          </cell>
          <cell r="F127">
            <v>60</v>
          </cell>
          <cell r="G127">
            <v>60</v>
          </cell>
          <cell r="H127">
            <v>73</v>
          </cell>
          <cell r="I127">
            <v>60</v>
          </cell>
          <cell r="J127">
            <v>207</v>
          </cell>
          <cell r="K127">
            <v>370</v>
          </cell>
          <cell r="L127">
            <v>587</v>
          </cell>
          <cell r="M127">
            <v>1069</v>
          </cell>
          <cell r="N127">
            <v>60</v>
          </cell>
        </row>
        <row r="128">
          <cell r="A128" t="str">
            <v>Indiana, 2009</v>
          </cell>
          <cell r="B128" t="str">
            <v>Indiana</v>
          </cell>
          <cell r="C128">
            <v>2009</v>
          </cell>
          <cell r="D128">
            <v>120</v>
          </cell>
          <cell r="E128">
            <v>60</v>
          </cell>
          <cell r="F128">
            <v>60</v>
          </cell>
          <cell r="G128">
            <v>60</v>
          </cell>
          <cell r="H128">
            <v>60</v>
          </cell>
          <cell r="I128">
            <v>60</v>
          </cell>
          <cell r="J128">
            <v>85</v>
          </cell>
          <cell r="K128">
            <v>118</v>
          </cell>
          <cell r="L128">
            <v>296</v>
          </cell>
          <cell r="M128">
            <v>537</v>
          </cell>
          <cell r="N128">
            <v>60</v>
          </cell>
        </row>
        <row r="129">
          <cell r="A129" t="str">
            <v>Indiana, 2010</v>
          </cell>
          <cell r="B129" t="str">
            <v>Indiana</v>
          </cell>
          <cell r="C129">
            <v>2010</v>
          </cell>
          <cell r="D129">
            <v>120</v>
          </cell>
          <cell r="E129">
            <v>60</v>
          </cell>
          <cell r="F129">
            <v>60</v>
          </cell>
          <cell r="G129">
            <v>60</v>
          </cell>
          <cell r="H129">
            <v>65</v>
          </cell>
          <cell r="I129">
            <v>60</v>
          </cell>
          <cell r="J129">
            <v>83</v>
          </cell>
          <cell r="K129">
            <v>116</v>
          </cell>
          <cell r="L129">
            <v>311</v>
          </cell>
          <cell r="M129">
            <v>549</v>
          </cell>
          <cell r="N129">
            <v>60</v>
          </cell>
        </row>
        <row r="130">
          <cell r="A130" t="str">
            <v>Indiana, 2011</v>
          </cell>
          <cell r="B130" t="str">
            <v>Indiana</v>
          </cell>
          <cell r="C130">
            <v>2011</v>
          </cell>
          <cell r="D130">
            <v>120</v>
          </cell>
          <cell r="E130">
            <v>60</v>
          </cell>
          <cell r="F130">
            <v>60</v>
          </cell>
          <cell r="G130">
            <v>60</v>
          </cell>
          <cell r="H130">
            <v>60</v>
          </cell>
          <cell r="I130">
            <v>60</v>
          </cell>
          <cell r="J130">
            <v>67</v>
          </cell>
          <cell r="K130">
            <v>107</v>
          </cell>
          <cell r="L130">
            <v>250</v>
          </cell>
          <cell r="M130">
            <v>458</v>
          </cell>
          <cell r="N130">
            <v>60</v>
          </cell>
        </row>
        <row r="131">
          <cell r="A131" t="str">
            <v>Indiana, 2012</v>
          </cell>
          <cell r="B131" t="str">
            <v>Indiana</v>
          </cell>
          <cell r="C131">
            <v>2012</v>
          </cell>
          <cell r="D131">
            <v>120</v>
          </cell>
          <cell r="E131">
            <v>60</v>
          </cell>
          <cell r="F131">
            <v>60</v>
          </cell>
          <cell r="G131">
            <v>60</v>
          </cell>
          <cell r="H131">
            <v>60</v>
          </cell>
          <cell r="I131">
            <v>60</v>
          </cell>
          <cell r="J131">
            <v>60</v>
          </cell>
          <cell r="K131">
            <v>80</v>
          </cell>
          <cell r="L131">
            <v>244</v>
          </cell>
          <cell r="M131">
            <v>472</v>
          </cell>
          <cell r="N131">
            <v>60</v>
          </cell>
        </row>
        <row r="132">
          <cell r="A132" t="str">
            <v>Indiana, 2013</v>
          </cell>
          <cell r="B132" t="str">
            <v>Indiana</v>
          </cell>
          <cell r="C132">
            <v>2013</v>
          </cell>
          <cell r="D132">
            <v>120</v>
          </cell>
          <cell r="E132">
            <v>60</v>
          </cell>
          <cell r="F132">
            <v>60</v>
          </cell>
          <cell r="G132">
            <v>60</v>
          </cell>
          <cell r="H132">
            <v>60</v>
          </cell>
          <cell r="I132">
            <v>60</v>
          </cell>
          <cell r="J132">
            <v>95</v>
          </cell>
          <cell r="K132">
            <v>120</v>
          </cell>
          <cell r="L132">
            <v>265</v>
          </cell>
          <cell r="M132">
            <v>532</v>
          </cell>
          <cell r="N132">
            <v>60</v>
          </cell>
        </row>
        <row r="133">
          <cell r="A133" t="str">
            <v>Indiana, 2014</v>
          </cell>
          <cell r="B133" t="str">
            <v>Indiana</v>
          </cell>
          <cell r="C133">
            <v>2014</v>
          </cell>
          <cell r="D133">
            <v>120</v>
          </cell>
          <cell r="E133">
            <v>60</v>
          </cell>
          <cell r="F133">
            <v>60</v>
          </cell>
          <cell r="G133">
            <v>67</v>
          </cell>
          <cell r="H133">
            <v>60</v>
          </cell>
          <cell r="I133">
            <v>60</v>
          </cell>
          <cell r="J133">
            <v>105</v>
          </cell>
          <cell r="K133">
            <v>130</v>
          </cell>
          <cell r="L133">
            <v>250</v>
          </cell>
          <cell r="M133">
            <v>455</v>
          </cell>
          <cell r="N133">
            <v>60</v>
          </cell>
        </row>
        <row r="134">
          <cell r="A134" t="str">
            <v>Indiana, 2015</v>
          </cell>
          <cell r="B134" t="str">
            <v>Indiana</v>
          </cell>
          <cell r="C134">
            <v>2015</v>
          </cell>
          <cell r="D134">
            <v>120</v>
          </cell>
          <cell r="E134">
            <v>60</v>
          </cell>
          <cell r="F134">
            <v>60</v>
          </cell>
          <cell r="G134">
            <v>60</v>
          </cell>
          <cell r="H134">
            <v>60</v>
          </cell>
          <cell r="I134">
            <v>60</v>
          </cell>
          <cell r="J134">
            <v>68</v>
          </cell>
          <cell r="K134">
            <v>132</v>
          </cell>
          <cell r="L134">
            <v>273</v>
          </cell>
          <cell r="M134">
            <v>480</v>
          </cell>
          <cell r="N134">
            <v>60</v>
          </cell>
        </row>
        <row r="135">
          <cell r="A135" t="str">
            <v>Indiana, 2016</v>
          </cell>
          <cell r="B135" t="str">
            <v>Indiana</v>
          </cell>
          <cell r="C135">
            <v>2016</v>
          </cell>
          <cell r="D135">
            <v>120</v>
          </cell>
          <cell r="E135">
            <v>60</v>
          </cell>
          <cell r="F135">
            <v>60</v>
          </cell>
          <cell r="G135">
            <v>60</v>
          </cell>
          <cell r="H135">
            <v>69</v>
          </cell>
          <cell r="I135">
            <v>60</v>
          </cell>
          <cell r="J135">
            <v>89</v>
          </cell>
          <cell r="K135">
            <v>148</v>
          </cell>
          <cell r="L135">
            <v>229</v>
          </cell>
          <cell r="M135">
            <v>387</v>
          </cell>
          <cell r="N135">
            <v>60</v>
          </cell>
        </row>
        <row r="136">
          <cell r="A136" t="str">
            <v>Indiana, 2017</v>
          </cell>
          <cell r="B136" t="str">
            <v>Indiana</v>
          </cell>
          <cell r="C136">
            <v>2017</v>
          </cell>
          <cell r="D136">
            <v>120</v>
          </cell>
          <cell r="E136">
            <v>60</v>
          </cell>
          <cell r="F136">
            <v>60</v>
          </cell>
          <cell r="G136">
            <v>60</v>
          </cell>
          <cell r="H136">
            <v>65</v>
          </cell>
          <cell r="I136">
            <v>60</v>
          </cell>
          <cell r="J136">
            <v>87</v>
          </cell>
          <cell r="K136">
            <v>165</v>
          </cell>
          <cell r="L136">
            <v>276</v>
          </cell>
          <cell r="M136">
            <v>456</v>
          </cell>
          <cell r="N136">
            <v>60</v>
          </cell>
        </row>
        <row r="137">
          <cell r="A137" t="str">
            <v>Iowa, 2009</v>
          </cell>
          <cell r="B137" t="str">
            <v>Iowa</v>
          </cell>
          <cell r="C137">
            <v>2009</v>
          </cell>
          <cell r="D137">
            <v>120</v>
          </cell>
          <cell r="E137">
            <v>60</v>
          </cell>
          <cell r="F137">
            <v>60</v>
          </cell>
          <cell r="G137">
            <v>60</v>
          </cell>
          <cell r="H137">
            <v>67</v>
          </cell>
          <cell r="I137">
            <v>60</v>
          </cell>
          <cell r="J137">
            <v>65</v>
          </cell>
          <cell r="K137">
            <v>71</v>
          </cell>
          <cell r="L137">
            <v>158</v>
          </cell>
          <cell r="M137">
            <v>342</v>
          </cell>
          <cell r="N137">
            <v>60</v>
          </cell>
        </row>
        <row r="138">
          <cell r="A138" t="str">
            <v>Iowa, 2010</v>
          </cell>
          <cell r="B138" t="str">
            <v>Iowa</v>
          </cell>
          <cell r="C138">
            <v>2010</v>
          </cell>
          <cell r="D138">
            <v>120</v>
          </cell>
          <cell r="E138">
            <v>60</v>
          </cell>
          <cell r="F138">
            <v>60</v>
          </cell>
          <cell r="G138">
            <v>60</v>
          </cell>
          <cell r="H138">
            <v>60</v>
          </cell>
          <cell r="I138">
            <v>60</v>
          </cell>
          <cell r="J138">
            <v>60</v>
          </cell>
          <cell r="K138">
            <v>65</v>
          </cell>
          <cell r="L138">
            <v>130</v>
          </cell>
          <cell r="M138">
            <v>319</v>
          </cell>
          <cell r="N138">
            <v>60</v>
          </cell>
        </row>
        <row r="139">
          <cell r="A139" t="str">
            <v>Iowa, 2011</v>
          </cell>
          <cell r="B139" t="str">
            <v>Iowa</v>
          </cell>
          <cell r="C139">
            <v>2011</v>
          </cell>
          <cell r="D139">
            <v>120</v>
          </cell>
          <cell r="E139">
            <v>60</v>
          </cell>
          <cell r="F139">
            <v>60</v>
          </cell>
          <cell r="G139">
            <v>60</v>
          </cell>
          <cell r="H139">
            <v>60</v>
          </cell>
          <cell r="I139">
            <v>60</v>
          </cell>
          <cell r="J139">
            <v>60</v>
          </cell>
          <cell r="K139">
            <v>60</v>
          </cell>
          <cell r="L139">
            <v>129</v>
          </cell>
          <cell r="M139">
            <v>388</v>
          </cell>
          <cell r="N139">
            <v>60</v>
          </cell>
        </row>
        <row r="140">
          <cell r="A140" t="str">
            <v>Iowa, 2012</v>
          </cell>
          <cell r="B140" t="str">
            <v>Iowa</v>
          </cell>
          <cell r="C140">
            <v>2012</v>
          </cell>
          <cell r="D140">
            <v>120</v>
          </cell>
          <cell r="E140">
            <v>60</v>
          </cell>
          <cell r="F140">
            <v>60</v>
          </cell>
          <cell r="G140">
            <v>60</v>
          </cell>
          <cell r="H140">
            <v>60</v>
          </cell>
          <cell r="I140">
            <v>60</v>
          </cell>
          <cell r="J140">
            <v>60</v>
          </cell>
          <cell r="K140">
            <v>60</v>
          </cell>
          <cell r="L140">
            <v>127</v>
          </cell>
          <cell r="M140">
            <v>411</v>
          </cell>
          <cell r="N140">
            <v>60</v>
          </cell>
        </row>
        <row r="141">
          <cell r="A141" t="str">
            <v>Iowa, 2013</v>
          </cell>
          <cell r="B141" t="str">
            <v>Iowa</v>
          </cell>
          <cell r="C141">
            <v>2013</v>
          </cell>
          <cell r="D141">
            <v>120</v>
          </cell>
          <cell r="E141">
            <v>60</v>
          </cell>
          <cell r="F141">
            <v>60</v>
          </cell>
          <cell r="G141">
            <v>60</v>
          </cell>
          <cell r="H141">
            <v>60</v>
          </cell>
          <cell r="I141">
            <v>60</v>
          </cell>
          <cell r="J141">
            <v>60</v>
          </cell>
          <cell r="K141">
            <v>70</v>
          </cell>
          <cell r="L141">
            <v>164</v>
          </cell>
          <cell r="M141">
            <v>452</v>
          </cell>
          <cell r="N141">
            <v>60</v>
          </cell>
        </row>
        <row r="142">
          <cell r="A142" t="str">
            <v>Iowa, 2014</v>
          </cell>
          <cell r="B142" t="str">
            <v>Iowa</v>
          </cell>
          <cell r="C142">
            <v>2014</v>
          </cell>
          <cell r="D142">
            <v>120</v>
          </cell>
          <cell r="E142">
            <v>60</v>
          </cell>
          <cell r="F142">
            <v>60</v>
          </cell>
          <cell r="G142">
            <v>60</v>
          </cell>
          <cell r="H142">
            <v>60</v>
          </cell>
          <cell r="I142">
            <v>60</v>
          </cell>
          <cell r="J142">
            <v>60</v>
          </cell>
          <cell r="K142">
            <v>60</v>
          </cell>
          <cell r="L142">
            <v>117</v>
          </cell>
          <cell r="M142">
            <v>333</v>
          </cell>
          <cell r="N142">
            <v>60</v>
          </cell>
        </row>
        <row r="143">
          <cell r="A143" t="str">
            <v>Iowa, 2015</v>
          </cell>
          <cell r="B143" t="str">
            <v>Iowa</v>
          </cell>
          <cell r="C143">
            <v>2015</v>
          </cell>
          <cell r="D143">
            <v>120</v>
          </cell>
          <cell r="E143">
            <v>60</v>
          </cell>
          <cell r="F143">
            <v>60</v>
          </cell>
          <cell r="G143">
            <v>60</v>
          </cell>
          <cell r="H143">
            <v>60</v>
          </cell>
          <cell r="I143">
            <v>60</v>
          </cell>
          <cell r="J143">
            <v>66</v>
          </cell>
          <cell r="K143">
            <v>68</v>
          </cell>
          <cell r="L143">
            <v>120</v>
          </cell>
          <cell r="M143">
            <v>353</v>
          </cell>
          <cell r="N143">
            <v>60</v>
          </cell>
        </row>
        <row r="144">
          <cell r="A144" t="str">
            <v>Iowa, 2016</v>
          </cell>
          <cell r="B144" t="str">
            <v>Iowa</v>
          </cell>
          <cell r="C144">
            <v>2016</v>
          </cell>
          <cell r="D144">
            <v>120</v>
          </cell>
          <cell r="E144">
            <v>60</v>
          </cell>
          <cell r="F144">
            <v>60</v>
          </cell>
          <cell r="G144">
            <v>60</v>
          </cell>
          <cell r="H144">
            <v>60</v>
          </cell>
          <cell r="I144">
            <v>60</v>
          </cell>
          <cell r="J144">
            <v>60</v>
          </cell>
          <cell r="K144">
            <v>60</v>
          </cell>
          <cell r="L144">
            <v>98</v>
          </cell>
          <cell r="M144">
            <v>294</v>
          </cell>
          <cell r="N144">
            <v>60</v>
          </cell>
        </row>
        <row r="145">
          <cell r="A145" t="str">
            <v>Iowa, 2017</v>
          </cell>
          <cell r="B145" t="str">
            <v>Iowa</v>
          </cell>
          <cell r="C145">
            <v>2017</v>
          </cell>
          <cell r="D145">
            <v>120</v>
          </cell>
          <cell r="E145">
            <v>60</v>
          </cell>
          <cell r="F145">
            <v>60</v>
          </cell>
          <cell r="G145">
            <v>60</v>
          </cell>
          <cell r="H145">
            <v>60</v>
          </cell>
          <cell r="I145">
            <v>60</v>
          </cell>
          <cell r="J145">
            <v>60</v>
          </cell>
          <cell r="K145">
            <v>75</v>
          </cell>
          <cell r="L145">
            <v>96</v>
          </cell>
          <cell r="M145">
            <v>327</v>
          </cell>
          <cell r="N145">
            <v>60</v>
          </cell>
        </row>
        <row r="146">
          <cell r="A146" t="str">
            <v>Kansas, 2009</v>
          </cell>
          <cell r="B146" t="str">
            <v>Kansas</v>
          </cell>
          <cell r="C146">
            <v>2009</v>
          </cell>
          <cell r="D146">
            <v>120</v>
          </cell>
          <cell r="E146">
            <v>60</v>
          </cell>
          <cell r="F146">
            <v>60</v>
          </cell>
          <cell r="G146">
            <v>60</v>
          </cell>
          <cell r="H146">
            <v>60</v>
          </cell>
          <cell r="I146">
            <v>60</v>
          </cell>
          <cell r="J146">
            <v>60</v>
          </cell>
          <cell r="K146">
            <v>60</v>
          </cell>
          <cell r="L146">
            <v>137</v>
          </cell>
          <cell r="M146">
            <v>322</v>
          </cell>
          <cell r="N146">
            <v>60</v>
          </cell>
        </row>
        <row r="147">
          <cell r="A147" t="str">
            <v>Kansas, 2010</v>
          </cell>
          <cell r="B147" t="str">
            <v>Kansas</v>
          </cell>
          <cell r="C147">
            <v>2010</v>
          </cell>
          <cell r="D147">
            <v>120</v>
          </cell>
          <cell r="E147">
            <v>60</v>
          </cell>
          <cell r="F147">
            <v>60</v>
          </cell>
          <cell r="G147">
            <v>60</v>
          </cell>
          <cell r="H147">
            <v>60</v>
          </cell>
          <cell r="I147">
            <v>60</v>
          </cell>
          <cell r="J147">
            <v>60</v>
          </cell>
          <cell r="K147">
            <v>60</v>
          </cell>
          <cell r="L147">
            <v>124</v>
          </cell>
          <cell r="M147">
            <v>303</v>
          </cell>
          <cell r="N147">
            <v>60</v>
          </cell>
        </row>
        <row r="148">
          <cell r="A148" t="str">
            <v>Kansas, 2011</v>
          </cell>
          <cell r="B148" t="str">
            <v>Kansas</v>
          </cell>
          <cell r="C148">
            <v>2011</v>
          </cell>
          <cell r="D148">
            <v>120</v>
          </cell>
          <cell r="E148">
            <v>60</v>
          </cell>
          <cell r="F148">
            <v>60</v>
          </cell>
          <cell r="G148">
            <v>60</v>
          </cell>
          <cell r="H148">
            <v>60</v>
          </cell>
          <cell r="I148">
            <v>60</v>
          </cell>
          <cell r="J148">
            <v>60</v>
          </cell>
          <cell r="K148">
            <v>60</v>
          </cell>
          <cell r="L148">
            <v>127</v>
          </cell>
          <cell r="M148">
            <v>374</v>
          </cell>
          <cell r="N148">
            <v>60</v>
          </cell>
        </row>
        <row r="149">
          <cell r="A149" t="str">
            <v>Kansas, 2012</v>
          </cell>
          <cell r="B149" t="str">
            <v>Kansas</v>
          </cell>
          <cell r="C149">
            <v>2012</v>
          </cell>
          <cell r="D149">
            <v>120</v>
          </cell>
          <cell r="E149">
            <v>60</v>
          </cell>
          <cell r="F149">
            <v>60</v>
          </cell>
          <cell r="G149">
            <v>60</v>
          </cell>
          <cell r="H149">
            <v>60</v>
          </cell>
          <cell r="I149">
            <v>60</v>
          </cell>
          <cell r="J149">
            <v>60</v>
          </cell>
          <cell r="K149">
            <v>60</v>
          </cell>
          <cell r="L149">
            <v>154</v>
          </cell>
          <cell r="M149">
            <v>348</v>
          </cell>
          <cell r="N149">
            <v>60</v>
          </cell>
        </row>
        <row r="150">
          <cell r="A150" t="str">
            <v>Kansas, 2013</v>
          </cell>
          <cell r="B150" t="str">
            <v>Kansas</v>
          </cell>
          <cell r="C150">
            <v>2013</v>
          </cell>
          <cell r="D150">
            <v>120</v>
          </cell>
          <cell r="E150">
            <v>60</v>
          </cell>
          <cell r="F150">
            <v>60</v>
          </cell>
          <cell r="G150">
            <v>60</v>
          </cell>
          <cell r="H150">
            <v>60</v>
          </cell>
          <cell r="I150">
            <v>60</v>
          </cell>
          <cell r="J150">
            <v>66</v>
          </cell>
          <cell r="K150">
            <v>68</v>
          </cell>
          <cell r="L150">
            <v>136</v>
          </cell>
          <cell r="M150">
            <v>403</v>
          </cell>
          <cell r="N150">
            <v>60</v>
          </cell>
        </row>
        <row r="151">
          <cell r="A151" t="str">
            <v>Kansas, 2014</v>
          </cell>
          <cell r="B151" t="str">
            <v>Kansas</v>
          </cell>
          <cell r="C151">
            <v>2014</v>
          </cell>
          <cell r="D151">
            <v>120</v>
          </cell>
          <cell r="E151">
            <v>60</v>
          </cell>
          <cell r="F151">
            <v>60</v>
          </cell>
          <cell r="G151">
            <v>60</v>
          </cell>
          <cell r="H151">
            <v>60</v>
          </cell>
          <cell r="I151">
            <v>60</v>
          </cell>
          <cell r="J151">
            <v>67</v>
          </cell>
          <cell r="K151">
            <v>71</v>
          </cell>
          <cell r="L151">
            <v>140</v>
          </cell>
          <cell r="M151">
            <v>307</v>
          </cell>
          <cell r="N151">
            <v>60</v>
          </cell>
        </row>
        <row r="152">
          <cell r="A152" t="str">
            <v>Kansas, 2015</v>
          </cell>
          <cell r="B152" t="str">
            <v>Kansas</v>
          </cell>
          <cell r="C152">
            <v>2015</v>
          </cell>
          <cell r="D152">
            <v>120</v>
          </cell>
          <cell r="E152">
            <v>60</v>
          </cell>
          <cell r="F152">
            <v>60</v>
          </cell>
          <cell r="G152">
            <v>60</v>
          </cell>
          <cell r="H152">
            <v>60</v>
          </cell>
          <cell r="I152">
            <v>60</v>
          </cell>
          <cell r="J152">
            <v>60</v>
          </cell>
          <cell r="K152">
            <v>78</v>
          </cell>
          <cell r="L152">
            <v>139</v>
          </cell>
          <cell r="M152">
            <v>360</v>
          </cell>
          <cell r="N152">
            <v>60</v>
          </cell>
        </row>
        <row r="153">
          <cell r="A153" t="str">
            <v>Kansas, 2016</v>
          </cell>
          <cell r="B153" t="str">
            <v>Kansas</v>
          </cell>
          <cell r="C153">
            <v>2016</v>
          </cell>
          <cell r="D153">
            <v>120</v>
          </cell>
          <cell r="E153">
            <v>60</v>
          </cell>
          <cell r="F153">
            <v>60</v>
          </cell>
          <cell r="G153">
            <v>60</v>
          </cell>
          <cell r="H153">
            <v>60</v>
          </cell>
          <cell r="I153">
            <v>60</v>
          </cell>
          <cell r="J153">
            <v>60</v>
          </cell>
          <cell r="K153">
            <v>79</v>
          </cell>
          <cell r="L153">
            <v>108</v>
          </cell>
          <cell r="M153">
            <v>272</v>
          </cell>
          <cell r="N153">
            <v>60</v>
          </cell>
        </row>
        <row r="154">
          <cell r="A154" t="str">
            <v>Kansas, 2017</v>
          </cell>
          <cell r="B154" t="str">
            <v>Kansas</v>
          </cell>
          <cell r="C154">
            <v>2017</v>
          </cell>
          <cell r="D154">
            <v>120</v>
          </cell>
          <cell r="E154">
            <v>60</v>
          </cell>
          <cell r="F154">
            <v>60</v>
          </cell>
          <cell r="G154">
            <v>60</v>
          </cell>
          <cell r="H154">
            <v>60</v>
          </cell>
          <cell r="I154">
            <v>60</v>
          </cell>
          <cell r="J154">
            <v>60</v>
          </cell>
          <cell r="K154">
            <v>79</v>
          </cell>
          <cell r="L154">
            <v>120</v>
          </cell>
          <cell r="M154">
            <v>285</v>
          </cell>
          <cell r="N154">
            <v>60</v>
          </cell>
        </row>
        <row r="155">
          <cell r="A155" t="str">
            <v>Kentucky, 2009</v>
          </cell>
          <cell r="B155" t="str">
            <v>Kentucky</v>
          </cell>
          <cell r="C155">
            <v>2009</v>
          </cell>
          <cell r="D155">
            <v>120</v>
          </cell>
          <cell r="E155">
            <v>60</v>
          </cell>
          <cell r="F155">
            <v>60</v>
          </cell>
          <cell r="G155">
            <v>60</v>
          </cell>
          <cell r="H155">
            <v>60</v>
          </cell>
          <cell r="I155">
            <v>60</v>
          </cell>
          <cell r="J155">
            <v>79</v>
          </cell>
          <cell r="K155">
            <v>138</v>
          </cell>
          <cell r="L155">
            <v>268</v>
          </cell>
          <cell r="M155">
            <v>398</v>
          </cell>
          <cell r="N155">
            <v>60</v>
          </cell>
        </row>
        <row r="156">
          <cell r="A156" t="str">
            <v>Kentucky, 2010</v>
          </cell>
          <cell r="B156" t="str">
            <v>Kentucky</v>
          </cell>
          <cell r="C156">
            <v>2010</v>
          </cell>
          <cell r="D156">
            <v>120</v>
          </cell>
          <cell r="E156">
            <v>60</v>
          </cell>
          <cell r="F156">
            <v>60</v>
          </cell>
          <cell r="G156">
            <v>60</v>
          </cell>
          <cell r="H156">
            <v>60</v>
          </cell>
          <cell r="I156">
            <v>60</v>
          </cell>
          <cell r="J156">
            <v>66</v>
          </cell>
          <cell r="K156">
            <v>101</v>
          </cell>
          <cell r="L156">
            <v>266</v>
          </cell>
          <cell r="M156">
            <v>407</v>
          </cell>
          <cell r="N156">
            <v>60</v>
          </cell>
        </row>
        <row r="157">
          <cell r="A157" t="str">
            <v>Kentucky, 2011</v>
          </cell>
          <cell r="B157" t="str">
            <v>Kentucky</v>
          </cell>
          <cell r="C157">
            <v>2011</v>
          </cell>
          <cell r="D157">
            <v>120</v>
          </cell>
          <cell r="E157">
            <v>60</v>
          </cell>
          <cell r="F157">
            <v>60</v>
          </cell>
          <cell r="G157">
            <v>60</v>
          </cell>
          <cell r="H157">
            <v>74</v>
          </cell>
          <cell r="I157">
            <v>60</v>
          </cell>
          <cell r="J157">
            <v>78</v>
          </cell>
          <cell r="K157">
            <v>121</v>
          </cell>
          <cell r="L157">
            <v>256</v>
          </cell>
          <cell r="M157">
            <v>386</v>
          </cell>
          <cell r="N157">
            <v>60</v>
          </cell>
        </row>
        <row r="158">
          <cell r="A158" t="str">
            <v>Kentucky, 2012</v>
          </cell>
          <cell r="B158" t="str">
            <v>Kentucky</v>
          </cell>
          <cell r="C158">
            <v>2012</v>
          </cell>
          <cell r="D158">
            <v>120</v>
          </cell>
          <cell r="E158">
            <v>60</v>
          </cell>
          <cell r="F158">
            <v>60</v>
          </cell>
          <cell r="G158">
            <v>60</v>
          </cell>
          <cell r="H158">
            <v>60</v>
          </cell>
          <cell r="I158">
            <v>60</v>
          </cell>
          <cell r="J158">
            <v>73</v>
          </cell>
          <cell r="K158">
            <v>115</v>
          </cell>
          <cell r="L158">
            <v>244</v>
          </cell>
          <cell r="M158">
            <v>357</v>
          </cell>
          <cell r="N158">
            <v>60</v>
          </cell>
        </row>
        <row r="159">
          <cell r="A159" t="str">
            <v>Kentucky, 2013</v>
          </cell>
          <cell r="B159" t="str">
            <v>Kentucky</v>
          </cell>
          <cell r="C159">
            <v>2013</v>
          </cell>
          <cell r="D159">
            <v>120</v>
          </cell>
          <cell r="E159">
            <v>60</v>
          </cell>
          <cell r="F159">
            <v>60</v>
          </cell>
          <cell r="G159">
            <v>60</v>
          </cell>
          <cell r="H159">
            <v>60</v>
          </cell>
          <cell r="I159">
            <v>60</v>
          </cell>
          <cell r="J159">
            <v>71</v>
          </cell>
          <cell r="K159">
            <v>145</v>
          </cell>
          <cell r="L159">
            <v>229</v>
          </cell>
          <cell r="M159">
            <v>377</v>
          </cell>
          <cell r="N159">
            <v>60</v>
          </cell>
        </row>
        <row r="160">
          <cell r="A160" t="str">
            <v>Kentucky, 2014</v>
          </cell>
          <cell r="B160" t="str">
            <v>Kentucky</v>
          </cell>
          <cell r="C160">
            <v>2014</v>
          </cell>
          <cell r="D160">
            <v>120</v>
          </cell>
          <cell r="E160">
            <v>60</v>
          </cell>
          <cell r="F160">
            <v>60</v>
          </cell>
          <cell r="G160">
            <v>60</v>
          </cell>
          <cell r="H160">
            <v>67</v>
          </cell>
          <cell r="I160">
            <v>60</v>
          </cell>
          <cell r="J160">
            <v>103</v>
          </cell>
          <cell r="K160">
            <v>164</v>
          </cell>
          <cell r="L160">
            <v>257</v>
          </cell>
          <cell r="M160">
            <v>374</v>
          </cell>
          <cell r="N160">
            <v>60</v>
          </cell>
        </row>
        <row r="161">
          <cell r="A161" t="str">
            <v>Kentucky, 2015</v>
          </cell>
          <cell r="B161" t="str">
            <v>Kentucky</v>
          </cell>
          <cell r="C161">
            <v>2015</v>
          </cell>
          <cell r="D161">
            <v>120</v>
          </cell>
          <cell r="E161">
            <v>60</v>
          </cell>
          <cell r="F161">
            <v>60</v>
          </cell>
          <cell r="G161">
            <v>60</v>
          </cell>
          <cell r="H161">
            <v>60</v>
          </cell>
          <cell r="I161">
            <v>60</v>
          </cell>
          <cell r="J161">
            <v>91</v>
          </cell>
          <cell r="K161">
            <v>166</v>
          </cell>
          <cell r="L161">
            <v>238</v>
          </cell>
          <cell r="M161">
            <v>390</v>
          </cell>
          <cell r="N161">
            <v>60</v>
          </cell>
        </row>
        <row r="162">
          <cell r="A162" t="str">
            <v>Kentucky, 2016</v>
          </cell>
          <cell r="B162" t="str">
            <v>Kentucky</v>
          </cell>
          <cell r="C162">
            <v>2016</v>
          </cell>
          <cell r="D162">
            <v>120</v>
          </cell>
          <cell r="E162">
            <v>60</v>
          </cell>
          <cell r="F162">
            <v>60</v>
          </cell>
          <cell r="G162">
            <v>60</v>
          </cell>
          <cell r="H162">
            <v>60</v>
          </cell>
          <cell r="I162">
            <v>60</v>
          </cell>
          <cell r="J162">
            <v>93</v>
          </cell>
          <cell r="K162">
            <v>165</v>
          </cell>
          <cell r="L162">
            <v>218</v>
          </cell>
          <cell r="M162">
            <v>318</v>
          </cell>
          <cell r="N162">
            <v>60</v>
          </cell>
        </row>
        <row r="163">
          <cell r="A163" t="str">
            <v>Kentucky, 2017</v>
          </cell>
          <cell r="B163" t="str">
            <v>Kentucky</v>
          </cell>
          <cell r="C163">
            <v>2017</v>
          </cell>
          <cell r="D163">
            <v>120</v>
          </cell>
          <cell r="E163">
            <v>60</v>
          </cell>
          <cell r="F163">
            <v>60</v>
          </cell>
          <cell r="G163">
            <v>60</v>
          </cell>
          <cell r="H163">
            <v>60</v>
          </cell>
          <cell r="I163">
            <v>60</v>
          </cell>
          <cell r="J163">
            <v>84</v>
          </cell>
          <cell r="K163">
            <v>146</v>
          </cell>
          <cell r="L163">
            <v>270</v>
          </cell>
          <cell r="M163">
            <v>328</v>
          </cell>
          <cell r="N163">
            <v>60</v>
          </cell>
        </row>
        <row r="164">
          <cell r="A164" t="str">
            <v>Louisiana, 2009</v>
          </cell>
          <cell r="B164" t="str">
            <v>Louisiana</v>
          </cell>
          <cell r="C164">
            <v>2009</v>
          </cell>
          <cell r="D164">
            <v>120</v>
          </cell>
          <cell r="E164">
            <v>60</v>
          </cell>
          <cell r="F164">
            <v>60</v>
          </cell>
          <cell r="G164">
            <v>60</v>
          </cell>
          <cell r="H164">
            <v>60</v>
          </cell>
          <cell r="I164">
            <v>60</v>
          </cell>
          <cell r="J164">
            <v>60</v>
          </cell>
          <cell r="K164">
            <v>103</v>
          </cell>
          <cell r="L164">
            <v>243</v>
          </cell>
          <cell r="M164">
            <v>345</v>
          </cell>
          <cell r="N164">
            <v>60</v>
          </cell>
        </row>
        <row r="165">
          <cell r="A165" t="str">
            <v>Louisiana, 2010</v>
          </cell>
          <cell r="B165" t="str">
            <v>Louisiana</v>
          </cell>
          <cell r="C165">
            <v>2010</v>
          </cell>
          <cell r="D165">
            <v>120</v>
          </cell>
          <cell r="E165">
            <v>60</v>
          </cell>
          <cell r="F165">
            <v>60</v>
          </cell>
          <cell r="G165">
            <v>60</v>
          </cell>
          <cell r="H165">
            <v>60</v>
          </cell>
          <cell r="I165">
            <v>60</v>
          </cell>
          <cell r="J165">
            <v>66</v>
          </cell>
          <cell r="K165">
            <v>137</v>
          </cell>
          <cell r="L165">
            <v>247</v>
          </cell>
          <cell r="M165">
            <v>338</v>
          </cell>
          <cell r="N165">
            <v>60</v>
          </cell>
        </row>
        <row r="166">
          <cell r="A166" t="str">
            <v>Louisiana, 2011</v>
          </cell>
          <cell r="B166" t="str">
            <v>Louisiana</v>
          </cell>
          <cell r="C166">
            <v>2011</v>
          </cell>
          <cell r="D166">
            <v>120</v>
          </cell>
          <cell r="E166">
            <v>60</v>
          </cell>
          <cell r="F166">
            <v>60</v>
          </cell>
          <cell r="G166">
            <v>60</v>
          </cell>
          <cell r="H166">
            <v>60</v>
          </cell>
          <cell r="I166">
            <v>60</v>
          </cell>
          <cell r="J166">
            <v>83</v>
          </cell>
          <cell r="K166">
            <v>80</v>
          </cell>
          <cell r="L166">
            <v>242</v>
          </cell>
          <cell r="M166">
            <v>341</v>
          </cell>
          <cell r="N166">
            <v>60</v>
          </cell>
        </row>
        <row r="167">
          <cell r="A167" t="str">
            <v>Louisiana, 2012</v>
          </cell>
          <cell r="B167" t="str">
            <v>Louisiana</v>
          </cell>
          <cell r="C167">
            <v>2012</v>
          </cell>
          <cell r="D167">
            <v>120</v>
          </cell>
          <cell r="E167">
            <v>60</v>
          </cell>
          <cell r="F167">
            <v>60</v>
          </cell>
          <cell r="G167">
            <v>60</v>
          </cell>
          <cell r="H167">
            <v>60</v>
          </cell>
          <cell r="I167">
            <v>60</v>
          </cell>
          <cell r="J167">
            <v>67</v>
          </cell>
          <cell r="K167">
            <v>108</v>
          </cell>
          <cell r="L167">
            <v>214</v>
          </cell>
          <cell r="M167">
            <v>313</v>
          </cell>
          <cell r="N167">
            <v>60</v>
          </cell>
        </row>
        <row r="168">
          <cell r="A168" t="str">
            <v>Louisiana, 2013</v>
          </cell>
          <cell r="B168" t="str">
            <v>Louisiana</v>
          </cell>
          <cell r="C168">
            <v>2013</v>
          </cell>
          <cell r="D168">
            <v>120</v>
          </cell>
          <cell r="E168">
            <v>60</v>
          </cell>
          <cell r="F168">
            <v>60</v>
          </cell>
          <cell r="G168">
            <v>60</v>
          </cell>
          <cell r="H168">
            <v>69</v>
          </cell>
          <cell r="I168">
            <v>60</v>
          </cell>
          <cell r="J168">
            <v>110</v>
          </cell>
          <cell r="K168">
            <v>127</v>
          </cell>
          <cell r="L168">
            <v>190</v>
          </cell>
          <cell r="M168">
            <v>344</v>
          </cell>
          <cell r="N168">
            <v>60</v>
          </cell>
        </row>
        <row r="169">
          <cell r="A169" t="str">
            <v>Louisiana, 2014</v>
          </cell>
          <cell r="B169" t="str">
            <v>Louisiana</v>
          </cell>
          <cell r="C169">
            <v>2014</v>
          </cell>
          <cell r="D169">
            <v>120</v>
          </cell>
          <cell r="E169">
            <v>60</v>
          </cell>
          <cell r="F169">
            <v>60</v>
          </cell>
          <cell r="G169">
            <v>60</v>
          </cell>
          <cell r="H169">
            <v>87</v>
          </cell>
          <cell r="I169">
            <v>60</v>
          </cell>
          <cell r="J169">
            <v>110</v>
          </cell>
          <cell r="K169">
            <v>134</v>
          </cell>
          <cell r="L169">
            <v>177</v>
          </cell>
          <cell r="M169">
            <v>292</v>
          </cell>
          <cell r="N169">
            <v>60</v>
          </cell>
        </row>
        <row r="170">
          <cell r="A170" t="str">
            <v>Louisiana, 2015</v>
          </cell>
          <cell r="B170" t="str">
            <v>Louisiana</v>
          </cell>
          <cell r="C170">
            <v>2015</v>
          </cell>
          <cell r="D170">
            <v>120</v>
          </cell>
          <cell r="E170">
            <v>60</v>
          </cell>
          <cell r="F170">
            <v>60</v>
          </cell>
          <cell r="G170">
            <v>60</v>
          </cell>
          <cell r="H170">
            <v>60</v>
          </cell>
          <cell r="I170">
            <v>60</v>
          </cell>
          <cell r="J170">
            <v>76</v>
          </cell>
          <cell r="K170">
            <v>104</v>
          </cell>
          <cell r="L170">
            <v>193</v>
          </cell>
          <cell r="M170">
            <v>291</v>
          </cell>
          <cell r="N170">
            <v>60</v>
          </cell>
        </row>
        <row r="171">
          <cell r="A171" t="str">
            <v>Louisiana, 2016</v>
          </cell>
          <cell r="B171" t="str">
            <v>Louisiana</v>
          </cell>
          <cell r="C171">
            <v>2016</v>
          </cell>
          <cell r="D171">
            <v>120</v>
          </cell>
          <cell r="E171">
            <v>60</v>
          </cell>
          <cell r="F171">
            <v>60</v>
          </cell>
          <cell r="G171">
            <v>60</v>
          </cell>
          <cell r="H171">
            <v>60</v>
          </cell>
          <cell r="I171">
            <v>60</v>
          </cell>
          <cell r="J171">
            <v>76</v>
          </cell>
          <cell r="K171">
            <v>106</v>
          </cell>
          <cell r="L171">
            <v>180</v>
          </cell>
          <cell r="M171">
            <v>253</v>
          </cell>
          <cell r="N171">
            <v>60</v>
          </cell>
        </row>
        <row r="172">
          <cell r="A172" t="str">
            <v>Louisiana, 2017</v>
          </cell>
          <cell r="B172" t="str">
            <v>Louisiana</v>
          </cell>
          <cell r="C172">
            <v>2017</v>
          </cell>
          <cell r="D172">
            <v>120</v>
          </cell>
          <cell r="E172">
            <v>60</v>
          </cell>
          <cell r="F172">
            <v>60</v>
          </cell>
          <cell r="G172">
            <v>60</v>
          </cell>
          <cell r="H172">
            <v>60</v>
          </cell>
          <cell r="I172">
            <v>60</v>
          </cell>
          <cell r="J172">
            <v>93</v>
          </cell>
          <cell r="K172">
            <v>136</v>
          </cell>
          <cell r="L172">
            <v>193</v>
          </cell>
          <cell r="M172">
            <v>271</v>
          </cell>
          <cell r="N172">
            <v>60</v>
          </cell>
        </row>
        <row r="173">
          <cell r="A173" t="str">
            <v>Maine, 2009</v>
          </cell>
          <cell r="B173" t="str">
            <v>Maine</v>
          </cell>
          <cell r="C173">
            <v>2009</v>
          </cell>
          <cell r="D173">
            <v>120</v>
          </cell>
          <cell r="E173">
            <v>60</v>
          </cell>
          <cell r="F173">
            <v>60</v>
          </cell>
          <cell r="G173">
            <v>60</v>
          </cell>
          <cell r="H173">
            <v>60</v>
          </cell>
          <cell r="I173">
            <v>60</v>
          </cell>
          <cell r="J173">
            <v>60</v>
          </cell>
          <cell r="K173">
            <v>60</v>
          </cell>
          <cell r="L173">
            <v>66</v>
          </cell>
          <cell r="M173">
            <v>105</v>
          </cell>
          <cell r="N173">
            <v>60</v>
          </cell>
        </row>
        <row r="174">
          <cell r="A174" t="str">
            <v>Maine, 2010</v>
          </cell>
          <cell r="B174" t="str">
            <v>Maine</v>
          </cell>
          <cell r="C174">
            <v>2010</v>
          </cell>
          <cell r="D174">
            <v>120</v>
          </cell>
          <cell r="E174">
            <v>60</v>
          </cell>
          <cell r="F174">
            <v>60</v>
          </cell>
          <cell r="G174">
            <v>60</v>
          </cell>
          <cell r="H174">
            <v>60</v>
          </cell>
          <cell r="I174">
            <v>60</v>
          </cell>
          <cell r="J174">
            <v>60</v>
          </cell>
          <cell r="K174">
            <v>60</v>
          </cell>
          <cell r="L174">
            <v>60</v>
          </cell>
          <cell r="M174">
            <v>125</v>
          </cell>
          <cell r="N174">
            <v>60</v>
          </cell>
        </row>
        <row r="175">
          <cell r="A175" t="str">
            <v>Maine, 2011</v>
          </cell>
          <cell r="B175" t="str">
            <v>Maine</v>
          </cell>
          <cell r="C175">
            <v>2011</v>
          </cell>
          <cell r="D175">
            <v>120</v>
          </cell>
          <cell r="E175">
            <v>60</v>
          </cell>
          <cell r="F175">
            <v>60</v>
          </cell>
          <cell r="G175">
            <v>60</v>
          </cell>
          <cell r="H175">
            <v>60</v>
          </cell>
          <cell r="I175">
            <v>60</v>
          </cell>
          <cell r="J175">
            <v>60</v>
          </cell>
          <cell r="K175">
            <v>60</v>
          </cell>
          <cell r="L175">
            <v>76</v>
          </cell>
          <cell r="M175">
            <v>142</v>
          </cell>
          <cell r="N175">
            <v>60</v>
          </cell>
        </row>
        <row r="176">
          <cell r="A176" t="str">
            <v>Maine, 2012</v>
          </cell>
          <cell r="B176" t="str">
            <v>Maine</v>
          </cell>
          <cell r="C176">
            <v>2012</v>
          </cell>
          <cell r="D176">
            <v>120</v>
          </cell>
          <cell r="E176">
            <v>60</v>
          </cell>
          <cell r="F176">
            <v>60</v>
          </cell>
          <cell r="G176">
            <v>60</v>
          </cell>
          <cell r="H176">
            <v>60</v>
          </cell>
          <cell r="I176">
            <v>60</v>
          </cell>
          <cell r="J176">
            <v>60</v>
          </cell>
          <cell r="K176">
            <v>60</v>
          </cell>
          <cell r="L176">
            <v>68</v>
          </cell>
          <cell r="M176">
            <v>83</v>
          </cell>
          <cell r="N176">
            <v>60</v>
          </cell>
        </row>
        <row r="177">
          <cell r="A177" t="str">
            <v>Maine, 2013</v>
          </cell>
          <cell r="B177" t="str">
            <v>Maine</v>
          </cell>
          <cell r="C177">
            <v>2013</v>
          </cell>
          <cell r="D177">
            <v>120</v>
          </cell>
          <cell r="E177">
            <v>60</v>
          </cell>
          <cell r="F177">
            <v>60</v>
          </cell>
          <cell r="G177">
            <v>60</v>
          </cell>
          <cell r="H177">
            <v>60</v>
          </cell>
          <cell r="I177">
            <v>60</v>
          </cell>
          <cell r="J177">
            <v>60</v>
          </cell>
          <cell r="K177">
            <v>60</v>
          </cell>
          <cell r="L177">
            <v>78</v>
          </cell>
          <cell r="M177">
            <v>122</v>
          </cell>
          <cell r="N177">
            <v>60</v>
          </cell>
        </row>
        <row r="178">
          <cell r="A178" t="str">
            <v>Maine, 2014</v>
          </cell>
          <cell r="B178" t="str">
            <v>Maine</v>
          </cell>
          <cell r="C178">
            <v>2014</v>
          </cell>
          <cell r="D178">
            <v>120</v>
          </cell>
          <cell r="E178">
            <v>60</v>
          </cell>
          <cell r="F178">
            <v>60</v>
          </cell>
          <cell r="G178">
            <v>60</v>
          </cell>
          <cell r="H178">
            <v>60</v>
          </cell>
          <cell r="I178">
            <v>60</v>
          </cell>
          <cell r="J178">
            <v>60</v>
          </cell>
          <cell r="K178">
            <v>60</v>
          </cell>
          <cell r="L178">
            <v>60</v>
          </cell>
          <cell r="M178">
            <v>96</v>
          </cell>
          <cell r="N178">
            <v>60</v>
          </cell>
        </row>
        <row r="179">
          <cell r="A179" t="str">
            <v>Maine, 2015</v>
          </cell>
          <cell r="B179" t="str">
            <v>Maine</v>
          </cell>
          <cell r="C179">
            <v>2015</v>
          </cell>
          <cell r="D179">
            <v>120</v>
          </cell>
          <cell r="E179">
            <v>60</v>
          </cell>
          <cell r="F179">
            <v>60</v>
          </cell>
          <cell r="G179">
            <v>60</v>
          </cell>
          <cell r="H179">
            <v>60</v>
          </cell>
          <cell r="I179">
            <v>60</v>
          </cell>
          <cell r="J179">
            <v>60</v>
          </cell>
          <cell r="K179">
            <v>60</v>
          </cell>
          <cell r="L179">
            <v>87</v>
          </cell>
          <cell r="M179">
            <v>163</v>
          </cell>
          <cell r="N179">
            <v>60</v>
          </cell>
        </row>
        <row r="180">
          <cell r="A180" t="str">
            <v>Maine, 2016</v>
          </cell>
          <cell r="B180" t="str">
            <v>Maine</v>
          </cell>
          <cell r="C180">
            <v>2016</v>
          </cell>
          <cell r="D180">
            <v>120</v>
          </cell>
          <cell r="E180">
            <v>60</v>
          </cell>
          <cell r="F180">
            <v>60</v>
          </cell>
          <cell r="G180">
            <v>60</v>
          </cell>
          <cell r="H180">
            <v>60</v>
          </cell>
          <cell r="I180">
            <v>60</v>
          </cell>
          <cell r="J180">
            <v>60</v>
          </cell>
          <cell r="K180">
            <v>60</v>
          </cell>
          <cell r="L180">
            <v>65</v>
          </cell>
          <cell r="M180">
            <v>105</v>
          </cell>
          <cell r="N180">
            <v>60</v>
          </cell>
        </row>
        <row r="181">
          <cell r="A181" t="str">
            <v>Maine, 2017</v>
          </cell>
          <cell r="B181" t="str">
            <v>Maine</v>
          </cell>
          <cell r="C181">
            <v>2017</v>
          </cell>
          <cell r="D181">
            <v>120</v>
          </cell>
          <cell r="E181">
            <v>60</v>
          </cell>
          <cell r="F181">
            <v>60</v>
          </cell>
          <cell r="G181">
            <v>60</v>
          </cell>
          <cell r="H181">
            <v>60</v>
          </cell>
          <cell r="I181">
            <v>60</v>
          </cell>
          <cell r="J181">
            <v>60</v>
          </cell>
          <cell r="K181">
            <v>60</v>
          </cell>
          <cell r="L181">
            <v>67</v>
          </cell>
          <cell r="M181">
            <v>143</v>
          </cell>
          <cell r="N181">
            <v>60</v>
          </cell>
        </row>
        <row r="182">
          <cell r="A182" t="str">
            <v>Maryland, 2009</v>
          </cell>
          <cell r="B182" t="str">
            <v>Maryland</v>
          </cell>
          <cell r="C182">
            <v>2009</v>
          </cell>
          <cell r="D182">
            <v>120</v>
          </cell>
          <cell r="E182">
            <v>60</v>
          </cell>
          <cell r="F182">
            <v>60</v>
          </cell>
          <cell r="G182">
            <v>60</v>
          </cell>
          <cell r="H182">
            <v>72</v>
          </cell>
          <cell r="I182">
            <v>60</v>
          </cell>
          <cell r="J182">
            <v>65</v>
          </cell>
          <cell r="K182">
            <v>65</v>
          </cell>
          <cell r="L182">
            <v>284</v>
          </cell>
          <cell r="M182">
            <v>398</v>
          </cell>
          <cell r="N182">
            <v>60</v>
          </cell>
        </row>
        <row r="183">
          <cell r="A183" t="str">
            <v>Maryland, 2010</v>
          </cell>
          <cell r="B183" t="str">
            <v>Maryland</v>
          </cell>
          <cell r="C183">
            <v>2010</v>
          </cell>
          <cell r="D183">
            <v>120</v>
          </cell>
          <cell r="E183">
            <v>60</v>
          </cell>
          <cell r="F183">
            <v>60</v>
          </cell>
          <cell r="G183">
            <v>60</v>
          </cell>
          <cell r="H183">
            <v>60</v>
          </cell>
          <cell r="I183">
            <v>60</v>
          </cell>
          <cell r="J183">
            <v>68</v>
          </cell>
          <cell r="K183">
            <v>102</v>
          </cell>
          <cell r="L183">
            <v>252</v>
          </cell>
          <cell r="M183">
            <v>412</v>
          </cell>
          <cell r="N183">
            <v>60</v>
          </cell>
        </row>
        <row r="184">
          <cell r="A184" t="str">
            <v>Maryland, 2011</v>
          </cell>
          <cell r="B184" t="str">
            <v>Maryland</v>
          </cell>
          <cell r="C184">
            <v>2011</v>
          </cell>
          <cell r="D184">
            <v>120</v>
          </cell>
          <cell r="E184">
            <v>60</v>
          </cell>
          <cell r="F184">
            <v>60</v>
          </cell>
          <cell r="G184">
            <v>60</v>
          </cell>
          <cell r="H184">
            <v>60</v>
          </cell>
          <cell r="I184">
            <v>60</v>
          </cell>
          <cell r="J184">
            <v>75</v>
          </cell>
          <cell r="K184">
            <v>131</v>
          </cell>
          <cell r="L184">
            <v>279</v>
          </cell>
          <cell r="M184">
            <v>457</v>
          </cell>
          <cell r="N184">
            <v>60</v>
          </cell>
        </row>
        <row r="185">
          <cell r="A185" t="str">
            <v>Maryland, 2012</v>
          </cell>
          <cell r="B185" t="str">
            <v>Maryland</v>
          </cell>
          <cell r="C185">
            <v>2012</v>
          </cell>
          <cell r="D185">
            <v>120</v>
          </cell>
          <cell r="E185">
            <v>60</v>
          </cell>
          <cell r="F185">
            <v>60</v>
          </cell>
          <cell r="G185">
            <v>60</v>
          </cell>
          <cell r="H185">
            <v>60</v>
          </cell>
          <cell r="I185">
            <v>60</v>
          </cell>
          <cell r="J185">
            <v>66</v>
          </cell>
          <cell r="K185">
            <v>92</v>
          </cell>
          <cell r="L185">
            <v>250</v>
          </cell>
          <cell r="M185">
            <v>450</v>
          </cell>
          <cell r="N185">
            <v>60</v>
          </cell>
        </row>
        <row r="186">
          <cell r="A186" t="str">
            <v>Maryland, 2013</v>
          </cell>
          <cell r="B186" t="str">
            <v>Maryland</v>
          </cell>
          <cell r="C186">
            <v>2013</v>
          </cell>
          <cell r="D186">
            <v>120</v>
          </cell>
          <cell r="E186">
            <v>60</v>
          </cell>
          <cell r="F186">
            <v>60</v>
          </cell>
          <cell r="G186">
            <v>60</v>
          </cell>
          <cell r="H186">
            <v>60</v>
          </cell>
          <cell r="I186">
            <v>60</v>
          </cell>
          <cell r="J186">
            <v>83</v>
          </cell>
          <cell r="K186">
            <v>132</v>
          </cell>
          <cell r="L186">
            <v>275</v>
          </cell>
          <cell r="M186">
            <v>513</v>
          </cell>
          <cell r="N186">
            <v>60</v>
          </cell>
        </row>
        <row r="187">
          <cell r="A187" t="str">
            <v>Maryland, 2014</v>
          </cell>
          <cell r="B187" t="str">
            <v>Maryland</v>
          </cell>
          <cell r="C187">
            <v>2014</v>
          </cell>
          <cell r="D187">
            <v>120</v>
          </cell>
          <cell r="E187">
            <v>60</v>
          </cell>
          <cell r="F187">
            <v>60</v>
          </cell>
          <cell r="G187">
            <v>60</v>
          </cell>
          <cell r="H187">
            <v>70</v>
          </cell>
          <cell r="I187">
            <v>60</v>
          </cell>
          <cell r="J187">
            <v>83</v>
          </cell>
          <cell r="K187">
            <v>152</v>
          </cell>
          <cell r="L187">
            <v>242</v>
          </cell>
          <cell r="M187">
            <v>418</v>
          </cell>
          <cell r="N187">
            <v>60</v>
          </cell>
        </row>
        <row r="188">
          <cell r="A188" t="str">
            <v>Maryland, 2015</v>
          </cell>
          <cell r="B188" t="str">
            <v>Maryland</v>
          </cell>
          <cell r="C188">
            <v>2015</v>
          </cell>
          <cell r="D188">
            <v>120</v>
          </cell>
          <cell r="E188">
            <v>60</v>
          </cell>
          <cell r="F188">
            <v>60</v>
          </cell>
          <cell r="G188">
            <v>60</v>
          </cell>
          <cell r="H188">
            <v>60</v>
          </cell>
          <cell r="I188">
            <v>60</v>
          </cell>
          <cell r="J188">
            <v>75</v>
          </cell>
          <cell r="K188">
            <v>175</v>
          </cell>
          <cell r="L188">
            <v>305</v>
          </cell>
          <cell r="M188">
            <v>518</v>
          </cell>
          <cell r="N188">
            <v>60</v>
          </cell>
        </row>
        <row r="189">
          <cell r="A189" t="str">
            <v>Maryland, 2016</v>
          </cell>
          <cell r="B189" t="str">
            <v>Maryland</v>
          </cell>
          <cell r="C189">
            <v>2016</v>
          </cell>
          <cell r="D189">
            <v>120</v>
          </cell>
          <cell r="E189">
            <v>60</v>
          </cell>
          <cell r="F189">
            <v>60</v>
          </cell>
          <cell r="G189">
            <v>60</v>
          </cell>
          <cell r="H189">
            <v>66</v>
          </cell>
          <cell r="I189">
            <v>60</v>
          </cell>
          <cell r="J189">
            <v>77</v>
          </cell>
          <cell r="K189">
            <v>154</v>
          </cell>
          <cell r="L189">
            <v>254</v>
          </cell>
          <cell r="M189">
            <v>440</v>
          </cell>
          <cell r="N189">
            <v>60</v>
          </cell>
        </row>
        <row r="190">
          <cell r="A190" t="str">
            <v>Maryland, 2017</v>
          </cell>
          <cell r="B190" t="str">
            <v>Maryland</v>
          </cell>
          <cell r="C190">
            <v>2017</v>
          </cell>
          <cell r="D190">
            <v>120</v>
          </cell>
          <cell r="E190">
            <v>60</v>
          </cell>
          <cell r="F190">
            <v>60</v>
          </cell>
          <cell r="G190">
            <v>60</v>
          </cell>
          <cell r="H190">
            <v>60</v>
          </cell>
          <cell r="I190">
            <v>60</v>
          </cell>
          <cell r="J190">
            <v>70</v>
          </cell>
          <cell r="K190">
            <v>160</v>
          </cell>
          <cell r="L190">
            <v>235</v>
          </cell>
          <cell r="M190">
            <v>442</v>
          </cell>
          <cell r="N190">
            <v>60</v>
          </cell>
        </row>
        <row r="191">
          <cell r="A191" t="str">
            <v>Massachusetts, 2009</v>
          </cell>
          <cell r="B191" t="str">
            <v>Massachusetts</v>
          </cell>
          <cell r="C191">
            <v>2009</v>
          </cell>
          <cell r="D191">
            <v>120</v>
          </cell>
          <cell r="E191">
            <v>60</v>
          </cell>
          <cell r="F191">
            <v>60</v>
          </cell>
          <cell r="G191">
            <v>60</v>
          </cell>
          <cell r="H191">
            <v>68</v>
          </cell>
          <cell r="I191">
            <v>60</v>
          </cell>
          <cell r="J191">
            <v>60</v>
          </cell>
          <cell r="K191">
            <v>112</v>
          </cell>
          <cell r="L191">
            <v>362</v>
          </cell>
          <cell r="M191">
            <v>706</v>
          </cell>
          <cell r="N191">
            <v>60</v>
          </cell>
        </row>
        <row r="192">
          <cell r="A192" t="str">
            <v>Massachusetts, 2010</v>
          </cell>
          <cell r="B192" t="str">
            <v>Massachusetts</v>
          </cell>
          <cell r="C192">
            <v>2010</v>
          </cell>
          <cell r="D192">
            <v>120</v>
          </cell>
          <cell r="E192">
            <v>60</v>
          </cell>
          <cell r="F192">
            <v>60</v>
          </cell>
          <cell r="G192">
            <v>60</v>
          </cell>
          <cell r="H192">
            <v>60</v>
          </cell>
          <cell r="I192">
            <v>60</v>
          </cell>
          <cell r="J192">
            <v>67</v>
          </cell>
          <cell r="K192">
            <v>108</v>
          </cell>
          <cell r="L192">
            <v>340</v>
          </cell>
          <cell r="M192">
            <v>703</v>
          </cell>
          <cell r="N192">
            <v>60</v>
          </cell>
        </row>
        <row r="193">
          <cell r="A193" t="str">
            <v>Massachusetts, 2011</v>
          </cell>
          <cell r="B193" t="str">
            <v>Massachusetts</v>
          </cell>
          <cell r="C193">
            <v>2011</v>
          </cell>
          <cell r="D193">
            <v>120</v>
          </cell>
          <cell r="E193">
            <v>60</v>
          </cell>
          <cell r="F193">
            <v>60</v>
          </cell>
          <cell r="G193">
            <v>60</v>
          </cell>
          <cell r="H193">
            <v>60</v>
          </cell>
          <cell r="I193">
            <v>60</v>
          </cell>
          <cell r="J193">
            <v>68</v>
          </cell>
          <cell r="K193">
            <v>108</v>
          </cell>
          <cell r="L193">
            <v>318</v>
          </cell>
          <cell r="M193">
            <v>838</v>
          </cell>
          <cell r="N193">
            <v>60</v>
          </cell>
        </row>
        <row r="194">
          <cell r="A194" t="str">
            <v>Massachusetts, 2012</v>
          </cell>
          <cell r="B194" t="str">
            <v>Massachusetts</v>
          </cell>
          <cell r="C194">
            <v>2012</v>
          </cell>
          <cell r="D194">
            <v>120</v>
          </cell>
          <cell r="E194">
            <v>60</v>
          </cell>
          <cell r="F194">
            <v>60</v>
          </cell>
          <cell r="G194">
            <v>60</v>
          </cell>
          <cell r="H194">
            <v>60</v>
          </cell>
          <cell r="I194">
            <v>60</v>
          </cell>
          <cell r="J194">
            <v>60</v>
          </cell>
          <cell r="K194">
            <v>126</v>
          </cell>
          <cell r="L194">
            <v>329</v>
          </cell>
          <cell r="M194">
            <v>762</v>
          </cell>
          <cell r="N194">
            <v>60</v>
          </cell>
        </row>
        <row r="195">
          <cell r="A195" t="str">
            <v>Massachusetts, 2013</v>
          </cell>
          <cell r="B195" t="str">
            <v>Massachusetts</v>
          </cell>
          <cell r="C195">
            <v>2013</v>
          </cell>
          <cell r="D195">
            <v>120</v>
          </cell>
          <cell r="E195">
            <v>60</v>
          </cell>
          <cell r="F195">
            <v>60</v>
          </cell>
          <cell r="G195">
            <v>60</v>
          </cell>
          <cell r="H195">
            <v>60</v>
          </cell>
          <cell r="I195">
            <v>60</v>
          </cell>
          <cell r="J195">
            <v>84</v>
          </cell>
          <cell r="K195">
            <v>152</v>
          </cell>
          <cell r="L195">
            <v>363</v>
          </cell>
          <cell r="M195">
            <v>883</v>
          </cell>
          <cell r="N195">
            <v>60</v>
          </cell>
        </row>
        <row r="196">
          <cell r="A196" t="str">
            <v>Massachusetts, 2014</v>
          </cell>
          <cell r="B196" t="str">
            <v>Massachusetts</v>
          </cell>
          <cell r="C196">
            <v>2014</v>
          </cell>
          <cell r="D196">
            <v>120</v>
          </cell>
          <cell r="E196">
            <v>60</v>
          </cell>
          <cell r="F196">
            <v>60</v>
          </cell>
          <cell r="G196">
            <v>60</v>
          </cell>
          <cell r="H196">
            <v>60</v>
          </cell>
          <cell r="I196">
            <v>60</v>
          </cell>
          <cell r="J196">
            <v>104</v>
          </cell>
          <cell r="K196">
            <v>158</v>
          </cell>
          <cell r="L196">
            <v>310</v>
          </cell>
          <cell r="M196">
            <v>720</v>
          </cell>
          <cell r="N196">
            <v>60</v>
          </cell>
        </row>
        <row r="197">
          <cell r="A197" t="str">
            <v>Massachusetts, 2015</v>
          </cell>
          <cell r="B197" t="str">
            <v>Massachusetts</v>
          </cell>
          <cell r="C197">
            <v>2015</v>
          </cell>
          <cell r="D197">
            <v>120</v>
          </cell>
          <cell r="E197">
            <v>60</v>
          </cell>
          <cell r="F197">
            <v>60</v>
          </cell>
          <cell r="G197">
            <v>60</v>
          </cell>
          <cell r="H197">
            <v>60</v>
          </cell>
          <cell r="I197">
            <v>60</v>
          </cell>
          <cell r="J197">
            <v>85</v>
          </cell>
          <cell r="K197">
            <v>171</v>
          </cell>
          <cell r="L197">
            <v>337</v>
          </cell>
          <cell r="M197">
            <v>868</v>
          </cell>
          <cell r="N197">
            <v>60</v>
          </cell>
        </row>
        <row r="198">
          <cell r="A198" t="str">
            <v>Massachusetts, 2016</v>
          </cell>
          <cell r="B198" t="str">
            <v>Massachusetts</v>
          </cell>
          <cell r="C198">
            <v>2016</v>
          </cell>
          <cell r="D198">
            <v>120</v>
          </cell>
          <cell r="E198">
            <v>60</v>
          </cell>
          <cell r="F198">
            <v>60</v>
          </cell>
          <cell r="G198">
            <v>60</v>
          </cell>
          <cell r="H198">
            <v>60</v>
          </cell>
          <cell r="I198">
            <v>60</v>
          </cell>
          <cell r="J198">
            <v>72</v>
          </cell>
          <cell r="K198">
            <v>165</v>
          </cell>
          <cell r="L198">
            <v>292</v>
          </cell>
          <cell r="M198">
            <v>654</v>
          </cell>
          <cell r="N198">
            <v>60</v>
          </cell>
        </row>
        <row r="199">
          <cell r="A199" t="str">
            <v>Massachusetts, 2017</v>
          </cell>
          <cell r="B199" t="str">
            <v>Massachusetts</v>
          </cell>
          <cell r="C199">
            <v>2017</v>
          </cell>
          <cell r="D199">
            <v>120</v>
          </cell>
          <cell r="E199">
            <v>60</v>
          </cell>
          <cell r="F199">
            <v>60</v>
          </cell>
          <cell r="G199">
            <v>60</v>
          </cell>
          <cell r="H199">
            <v>60</v>
          </cell>
          <cell r="I199">
            <v>60</v>
          </cell>
          <cell r="J199">
            <v>83</v>
          </cell>
          <cell r="K199">
            <v>169</v>
          </cell>
          <cell r="L199">
            <v>342</v>
          </cell>
          <cell r="M199">
            <v>791</v>
          </cell>
          <cell r="N199">
            <v>60</v>
          </cell>
        </row>
        <row r="200">
          <cell r="A200" t="str">
            <v>Michigan, 2009</v>
          </cell>
          <cell r="B200" t="str">
            <v>Michigan</v>
          </cell>
          <cell r="C200">
            <v>2009</v>
          </cell>
          <cell r="D200">
            <v>120</v>
          </cell>
          <cell r="E200">
            <v>60</v>
          </cell>
          <cell r="F200">
            <v>60</v>
          </cell>
          <cell r="G200">
            <v>65</v>
          </cell>
          <cell r="H200">
            <v>81</v>
          </cell>
          <cell r="I200">
            <v>60</v>
          </cell>
          <cell r="J200">
            <v>141</v>
          </cell>
          <cell r="K200">
            <v>191</v>
          </cell>
          <cell r="L200">
            <v>417</v>
          </cell>
          <cell r="M200">
            <v>685</v>
          </cell>
          <cell r="N200">
            <v>60</v>
          </cell>
        </row>
        <row r="201">
          <cell r="A201" t="str">
            <v>Michigan, 2010</v>
          </cell>
          <cell r="B201" t="str">
            <v>Michigan</v>
          </cell>
          <cell r="C201">
            <v>2010</v>
          </cell>
          <cell r="D201">
            <v>120</v>
          </cell>
          <cell r="E201">
            <v>60</v>
          </cell>
          <cell r="F201">
            <v>60</v>
          </cell>
          <cell r="G201">
            <v>60</v>
          </cell>
          <cell r="H201">
            <v>60</v>
          </cell>
          <cell r="I201">
            <v>60</v>
          </cell>
          <cell r="J201">
            <v>97</v>
          </cell>
          <cell r="K201">
            <v>198</v>
          </cell>
          <cell r="L201">
            <v>433</v>
          </cell>
          <cell r="M201">
            <v>643</v>
          </cell>
          <cell r="N201">
            <v>60</v>
          </cell>
        </row>
        <row r="202">
          <cell r="A202" t="str">
            <v>Michigan, 2011</v>
          </cell>
          <cell r="B202" t="str">
            <v>Michigan</v>
          </cell>
          <cell r="C202">
            <v>2011</v>
          </cell>
          <cell r="D202">
            <v>120</v>
          </cell>
          <cell r="E202">
            <v>60</v>
          </cell>
          <cell r="F202">
            <v>60</v>
          </cell>
          <cell r="G202">
            <v>60</v>
          </cell>
          <cell r="H202">
            <v>67</v>
          </cell>
          <cell r="I202">
            <v>60</v>
          </cell>
          <cell r="J202">
            <v>140</v>
          </cell>
          <cell r="K202">
            <v>221</v>
          </cell>
          <cell r="L202">
            <v>439</v>
          </cell>
          <cell r="M202">
            <v>805</v>
          </cell>
          <cell r="N202">
            <v>60</v>
          </cell>
        </row>
        <row r="203">
          <cell r="A203" t="str">
            <v>Michigan, 2012</v>
          </cell>
          <cell r="B203" t="str">
            <v>Michigan</v>
          </cell>
          <cell r="C203">
            <v>2012</v>
          </cell>
          <cell r="D203">
            <v>120</v>
          </cell>
          <cell r="E203">
            <v>60</v>
          </cell>
          <cell r="F203">
            <v>60</v>
          </cell>
          <cell r="G203">
            <v>60</v>
          </cell>
          <cell r="H203">
            <v>68</v>
          </cell>
          <cell r="I203">
            <v>60</v>
          </cell>
          <cell r="J203">
            <v>109</v>
          </cell>
          <cell r="K203">
            <v>183</v>
          </cell>
          <cell r="L203">
            <v>435</v>
          </cell>
          <cell r="M203">
            <v>717</v>
          </cell>
          <cell r="N203">
            <v>60</v>
          </cell>
        </row>
        <row r="204">
          <cell r="A204" t="str">
            <v>Michigan, 2013</v>
          </cell>
          <cell r="B204" t="str">
            <v>Michigan</v>
          </cell>
          <cell r="C204">
            <v>2013</v>
          </cell>
          <cell r="D204">
            <v>120</v>
          </cell>
          <cell r="E204">
            <v>60</v>
          </cell>
          <cell r="F204">
            <v>60</v>
          </cell>
          <cell r="G204">
            <v>60</v>
          </cell>
          <cell r="H204">
            <v>70</v>
          </cell>
          <cell r="I204">
            <v>60</v>
          </cell>
          <cell r="J204">
            <v>171</v>
          </cell>
          <cell r="K204">
            <v>267</v>
          </cell>
          <cell r="L204">
            <v>472</v>
          </cell>
          <cell r="M204">
            <v>847</v>
          </cell>
          <cell r="N204">
            <v>60</v>
          </cell>
        </row>
        <row r="205">
          <cell r="A205" t="str">
            <v>Michigan, 2014</v>
          </cell>
          <cell r="B205" t="str">
            <v>Michigan</v>
          </cell>
          <cell r="C205">
            <v>2014</v>
          </cell>
          <cell r="D205">
            <v>120</v>
          </cell>
          <cell r="E205">
            <v>60</v>
          </cell>
          <cell r="F205">
            <v>60</v>
          </cell>
          <cell r="G205">
            <v>66</v>
          </cell>
          <cell r="H205">
            <v>87</v>
          </cell>
          <cell r="I205">
            <v>60</v>
          </cell>
          <cell r="J205">
            <v>145</v>
          </cell>
          <cell r="K205">
            <v>267</v>
          </cell>
          <cell r="L205">
            <v>457</v>
          </cell>
          <cell r="M205">
            <v>829</v>
          </cell>
          <cell r="N205">
            <v>60</v>
          </cell>
        </row>
        <row r="206">
          <cell r="A206" t="str">
            <v>Michigan, 2015</v>
          </cell>
          <cell r="B206" t="str">
            <v>Michigan</v>
          </cell>
          <cell r="C206">
            <v>2015</v>
          </cell>
          <cell r="D206">
            <v>120</v>
          </cell>
          <cell r="E206">
            <v>60</v>
          </cell>
          <cell r="F206">
            <v>60</v>
          </cell>
          <cell r="G206">
            <v>60</v>
          </cell>
          <cell r="H206">
            <v>79</v>
          </cell>
          <cell r="I206">
            <v>60</v>
          </cell>
          <cell r="J206">
            <v>150</v>
          </cell>
          <cell r="K206">
            <v>269</v>
          </cell>
          <cell r="L206">
            <v>438</v>
          </cell>
          <cell r="M206">
            <v>900</v>
          </cell>
          <cell r="N206">
            <v>60</v>
          </cell>
        </row>
        <row r="207">
          <cell r="A207" t="str">
            <v>Michigan, 2016</v>
          </cell>
          <cell r="B207" t="str">
            <v>Michigan</v>
          </cell>
          <cell r="C207">
            <v>2016</v>
          </cell>
          <cell r="D207">
            <v>120</v>
          </cell>
          <cell r="E207">
            <v>60</v>
          </cell>
          <cell r="F207">
            <v>60</v>
          </cell>
          <cell r="G207">
            <v>60</v>
          </cell>
          <cell r="H207">
            <v>76</v>
          </cell>
          <cell r="I207">
            <v>60</v>
          </cell>
          <cell r="J207">
            <v>149</v>
          </cell>
          <cell r="K207">
            <v>272</v>
          </cell>
          <cell r="L207">
            <v>442</v>
          </cell>
          <cell r="M207">
            <v>640</v>
          </cell>
          <cell r="N207">
            <v>60</v>
          </cell>
        </row>
        <row r="208">
          <cell r="A208" t="str">
            <v>Michigan, 2017</v>
          </cell>
          <cell r="B208" t="str">
            <v>Michigan</v>
          </cell>
          <cell r="C208">
            <v>2017</v>
          </cell>
          <cell r="D208">
            <v>120</v>
          </cell>
          <cell r="E208">
            <v>60</v>
          </cell>
          <cell r="F208">
            <v>60</v>
          </cell>
          <cell r="G208">
            <v>60</v>
          </cell>
          <cell r="H208">
            <v>65</v>
          </cell>
          <cell r="I208">
            <v>60</v>
          </cell>
          <cell r="J208">
            <v>177</v>
          </cell>
          <cell r="K208">
            <v>270</v>
          </cell>
          <cell r="L208">
            <v>441</v>
          </cell>
          <cell r="M208">
            <v>784</v>
          </cell>
          <cell r="N208">
            <v>60</v>
          </cell>
        </row>
        <row r="209">
          <cell r="A209" t="str">
            <v>Minnesota, 2009</v>
          </cell>
          <cell r="B209" t="str">
            <v>Minnesota</v>
          </cell>
          <cell r="C209">
            <v>2009</v>
          </cell>
          <cell r="D209">
            <v>120</v>
          </cell>
          <cell r="E209">
            <v>60</v>
          </cell>
          <cell r="F209">
            <v>60</v>
          </cell>
          <cell r="G209">
            <v>60</v>
          </cell>
          <cell r="H209">
            <v>66</v>
          </cell>
          <cell r="I209">
            <v>60</v>
          </cell>
          <cell r="J209">
            <v>60</v>
          </cell>
          <cell r="K209">
            <v>60</v>
          </cell>
          <cell r="L209">
            <v>116</v>
          </cell>
          <cell r="M209">
            <v>348</v>
          </cell>
          <cell r="N209">
            <v>60</v>
          </cell>
        </row>
        <row r="210">
          <cell r="A210" t="str">
            <v>Minnesota, 2010</v>
          </cell>
          <cell r="B210" t="str">
            <v>Minnesota</v>
          </cell>
          <cell r="C210">
            <v>2010</v>
          </cell>
          <cell r="D210">
            <v>120</v>
          </cell>
          <cell r="E210">
            <v>60</v>
          </cell>
          <cell r="F210">
            <v>60</v>
          </cell>
          <cell r="G210">
            <v>60</v>
          </cell>
          <cell r="H210">
            <v>60</v>
          </cell>
          <cell r="I210">
            <v>60</v>
          </cell>
          <cell r="J210">
            <v>60</v>
          </cell>
          <cell r="K210">
            <v>60</v>
          </cell>
          <cell r="L210">
            <v>114</v>
          </cell>
          <cell r="M210">
            <v>355</v>
          </cell>
          <cell r="N210">
            <v>60</v>
          </cell>
        </row>
        <row r="211">
          <cell r="A211" t="str">
            <v>Minnesota, 2011</v>
          </cell>
          <cell r="B211" t="str">
            <v>Minnesota</v>
          </cell>
          <cell r="C211">
            <v>2011</v>
          </cell>
          <cell r="D211">
            <v>120</v>
          </cell>
          <cell r="E211">
            <v>60</v>
          </cell>
          <cell r="F211">
            <v>60</v>
          </cell>
          <cell r="G211">
            <v>60</v>
          </cell>
          <cell r="H211">
            <v>60</v>
          </cell>
          <cell r="I211">
            <v>60</v>
          </cell>
          <cell r="J211">
            <v>60</v>
          </cell>
          <cell r="K211">
            <v>60</v>
          </cell>
          <cell r="L211">
            <v>127</v>
          </cell>
          <cell r="M211">
            <v>394</v>
          </cell>
          <cell r="N211">
            <v>60</v>
          </cell>
        </row>
        <row r="212">
          <cell r="A212" t="str">
            <v>Minnesota, 2012</v>
          </cell>
          <cell r="B212" t="str">
            <v>Minnesota</v>
          </cell>
          <cell r="C212">
            <v>2012</v>
          </cell>
          <cell r="D212">
            <v>120</v>
          </cell>
          <cell r="E212">
            <v>60</v>
          </cell>
          <cell r="F212">
            <v>60</v>
          </cell>
          <cell r="G212">
            <v>60</v>
          </cell>
          <cell r="H212">
            <v>60</v>
          </cell>
          <cell r="I212">
            <v>60</v>
          </cell>
          <cell r="J212">
            <v>60</v>
          </cell>
          <cell r="K212">
            <v>70</v>
          </cell>
          <cell r="L212">
            <v>141</v>
          </cell>
          <cell r="M212">
            <v>366</v>
          </cell>
          <cell r="N212">
            <v>60</v>
          </cell>
        </row>
        <row r="213">
          <cell r="A213" t="str">
            <v>Minnesota, 2013</v>
          </cell>
          <cell r="B213" t="str">
            <v>Minnesota</v>
          </cell>
          <cell r="C213">
            <v>2013</v>
          </cell>
          <cell r="D213">
            <v>120</v>
          </cell>
          <cell r="E213">
            <v>60</v>
          </cell>
          <cell r="F213">
            <v>60</v>
          </cell>
          <cell r="G213">
            <v>60</v>
          </cell>
          <cell r="H213">
            <v>60</v>
          </cell>
          <cell r="I213">
            <v>60</v>
          </cell>
          <cell r="J213">
            <v>60</v>
          </cell>
          <cell r="K213">
            <v>78</v>
          </cell>
          <cell r="L213">
            <v>149</v>
          </cell>
          <cell r="M213">
            <v>420</v>
          </cell>
          <cell r="N213">
            <v>60</v>
          </cell>
        </row>
        <row r="214">
          <cell r="A214" t="str">
            <v>Minnesota, 2014</v>
          </cell>
          <cell r="B214" t="str">
            <v>Minnesota</v>
          </cell>
          <cell r="C214">
            <v>2014</v>
          </cell>
          <cell r="D214">
            <v>120</v>
          </cell>
          <cell r="E214">
            <v>60</v>
          </cell>
          <cell r="F214">
            <v>60</v>
          </cell>
          <cell r="G214">
            <v>60</v>
          </cell>
          <cell r="H214">
            <v>65</v>
          </cell>
          <cell r="I214">
            <v>60</v>
          </cell>
          <cell r="J214">
            <v>65</v>
          </cell>
          <cell r="K214">
            <v>66</v>
          </cell>
          <cell r="L214">
            <v>112</v>
          </cell>
          <cell r="M214">
            <v>337</v>
          </cell>
          <cell r="N214">
            <v>60</v>
          </cell>
        </row>
        <row r="215">
          <cell r="A215" t="str">
            <v>Minnesota, 2015</v>
          </cell>
          <cell r="B215" t="str">
            <v>Minnesota</v>
          </cell>
          <cell r="C215">
            <v>2015</v>
          </cell>
          <cell r="D215">
            <v>120</v>
          </cell>
          <cell r="E215">
            <v>60</v>
          </cell>
          <cell r="F215">
            <v>60</v>
          </cell>
          <cell r="G215">
            <v>60</v>
          </cell>
          <cell r="H215">
            <v>60</v>
          </cell>
          <cell r="I215">
            <v>60</v>
          </cell>
          <cell r="J215">
            <v>60</v>
          </cell>
          <cell r="K215">
            <v>81</v>
          </cell>
          <cell r="L215">
            <v>141</v>
          </cell>
          <cell r="M215">
            <v>415</v>
          </cell>
          <cell r="N215">
            <v>60</v>
          </cell>
        </row>
        <row r="216">
          <cell r="A216" t="str">
            <v>Minnesota, 2016</v>
          </cell>
          <cell r="B216" t="str">
            <v>Minnesota</v>
          </cell>
          <cell r="C216">
            <v>2016</v>
          </cell>
          <cell r="D216">
            <v>120</v>
          </cell>
          <cell r="E216">
            <v>60</v>
          </cell>
          <cell r="F216">
            <v>60</v>
          </cell>
          <cell r="G216">
            <v>60</v>
          </cell>
          <cell r="H216">
            <v>60</v>
          </cell>
          <cell r="I216">
            <v>60</v>
          </cell>
          <cell r="J216">
            <v>60</v>
          </cell>
          <cell r="K216">
            <v>68</v>
          </cell>
          <cell r="L216">
            <v>96</v>
          </cell>
          <cell r="M216">
            <v>275</v>
          </cell>
          <cell r="N216">
            <v>60</v>
          </cell>
        </row>
        <row r="217">
          <cell r="A217" t="str">
            <v>Minnesota, 2017</v>
          </cell>
          <cell r="B217" t="str">
            <v>Minnesota</v>
          </cell>
          <cell r="C217">
            <v>2017</v>
          </cell>
          <cell r="D217">
            <v>120</v>
          </cell>
          <cell r="E217">
            <v>60</v>
          </cell>
          <cell r="F217">
            <v>60</v>
          </cell>
          <cell r="G217">
            <v>60</v>
          </cell>
          <cell r="H217">
            <v>60</v>
          </cell>
          <cell r="I217">
            <v>60</v>
          </cell>
          <cell r="J217">
            <v>60</v>
          </cell>
          <cell r="K217">
            <v>77</v>
          </cell>
          <cell r="L217">
            <v>123</v>
          </cell>
          <cell r="M217">
            <v>377</v>
          </cell>
          <cell r="N217">
            <v>60</v>
          </cell>
        </row>
        <row r="218">
          <cell r="A218" t="str">
            <v>Mississippi, 2009</v>
          </cell>
          <cell r="B218" t="str">
            <v>Mississippi</v>
          </cell>
          <cell r="C218">
            <v>2009</v>
          </cell>
          <cell r="D218">
            <v>120</v>
          </cell>
          <cell r="E218">
            <v>60</v>
          </cell>
          <cell r="F218">
            <v>60</v>
          </cell>
          <cell r="G218">
            <v>60</v>
          </cell>
          <cell r="H218">
            <v>60</v>
          </cell>
          <cell r="I218">
            <v>60</v>
          </cell>
          <cell r="J218">
            <v>60</v>
          </cell>
          <cell r="K218">
            <v>76</v>
          </cell>
          <cell r="L218">
            <v>164</v>
          </cell>
          <cell r="M218">
            <v>219</v>
          </cell>
          <cell r="N218">
            <v>60</v>
          </cell>
        </row>
        <row r="219">
          <cell r="A219" t="str">
            <v>Mississippi, 2010</v>
          </cell>
          <cell r="B219" t="str">
            <v>Mississippi</v>
          </cell>
          <cell r="C219">
            <v>2010</v>
          </cell>
          <cell r="D219">
            <v>120</v>
          </cell>
          <cell r="E219">
            <v>60</v>
          </cell>
          <cell r="F219">
            <v>60</v>
          </cell>
          <cell r="G219">
            <v>60</v>
          </cell>
          <cell r="H219">
            <v>60</v>
          </cell>
          <cell r="I219">
            <v>60</v>
          </cell>
          <cell r="J219">
            <v>65</v>
          </cell>
          <cell r="K219">
            <v>76</v>
          </cell>
          <cell r="L219">
            <v>138</v>
          </cell>
          <cell r="M219">
            <v>222</v>
          </cell>
          <cell r="N219">
            <v>60</v>
          </cell>
        </row>
        <row r="220">
          <cell r="A220" t="str">
            <v>Mississippi, 2011</v>
          </cell>
          <cell r="B220" t="str">
            <v>Mississippi</v>
          </cell>
          <cell r="C220">
            <v>2011</v>
          </cell>
          <cell r="D220">
            <v>120</v>
          </cell>
          <cell r="E220">
            <v>60</v>
          </cell>
          <cell r="F220">
            <v>60</v>
          </cell>
          <cell r="G220">
            <v>60</v>
          </cell>
          <cell r="H220">
            <v>60</v>
          </cell>
          <cell r="I220">
            <v>60</v>
          </cell>
          <cell r="J220">
            <v>60</v>
          </cell>
          <cell r="K220">
            <v>71</v>
          </cell>
          <cell r="L220">
            <v>201</v>
          </cell>
          <cell r="M220">
            <v>217</v>
          </cell>
          <cell r="N220">
            <v>60</v>
          </cell>
        </row>
        <row r="221">
          <cell r="A221" t="str">
            <v>Mississippi, 2012</v>
          </cell>
          <cell r="B221" t="str">
            <v>Mississippi</v>
          </cell>
          <cell r="C221">
            <v>2012</v>
          </cell>
          <cell r="D221">
            <v>120</v>
          </cell>
          <cell r="E221">
            <v>60</v>
          </cell>
          <cell r="F221">
            <v>60</v>
          </cell>
          <cell r="G221">
            <v>60</v>
          </cell>
          <cell r="H221">
            <v>60</v>
          </cell>
          <cell r="I221">
            <v>60</v>
          </cell>
          <cell r="J221">
            <v>60</v>
          </cell>
          <cell r="K221">
            <v>91</v>
          </cell>
          <cell r="L221">
            <v>122</v>
          </cell>
          <cell r="M221">
            <v>237</v>
          </cell>
          <cell r="N221">
            <v>60</v>
          </cell>
        </row>
        <row r="222">
          <cell r="A222" t="str">
            <v>Mississippi, 2013</v>
          </cell>
          <cell r="B222" t="str">
            <v>Mississippi</v>
          </cell>
          <cell r="C222">
            <v>2013</v>
          </cell>
          <cell r="D222">
            <v>120</v>
          </cell>
          <cell r="E222">
            <v>60</v>
          </cell>
          <cell r="F222">
            <v>60</v>
          </cell>
          <cell r="G222">
            <v>60</v>
          </cell>
          <cell r="H222">
            <v>60</v>
          </cell>
          <cell r="I222">
            <v>60</v>
          </cell>
          <cell r="J222">
            <v>83</v>
          </cell>
          <cell r="K222">
            <v>108</v>
          </cell>
          <cell r="L222">
            <v>205</v>
          </cell>
          <cell r="M222">
            <v>282</v>
          </cell>
          <cell r="N222">
            <v>60</v>
          </cell>
        </row>
        <row r="223">
          <cell r="A223" t="str">
            <v>Mississippi, 2014</v>
          </cell>
          <cell r="B223" t="str">
            <v>Mississippi</v>
          </cell>
          <cell r="C223">
            <v>2014</v>
          </cell>
          <cell r="D223">
            <v>120</v>
          </cell>
          <cell r="E223">
            <v>60</v>
          </cell>
          <cell r="F223">
            <v>60</v>
          </cell>
          <cell r="G223">
            <v>60</v>
          </cell>
          <cell r="H223">
            <v>67</v>
          </cell>
          <cell r="I223">
            <v>60</v>
          </cell>
          <cell r="J223">
            <v>110</v>
          </cell>
          <cell r="K223">
            <v>117</v>
          </cell>
          <cell r="L223">
            <v>197</v>
          </cell>
          <cell r="M223">
            <v>241</v>
          </cell>
          <cell r="N223">
            <v>60</v>
          </cell>
        </row>
        <row r="224">
          <cell r="A224" t="str">
            <v>Mississippi, 2015</v>
          </cell>
          <cell r="B224" t="str">
            <v>Mississippi</v>
          </cell>
          <cell r="C224">
            <v>2015</v>
          </cell>
          <cell r="D224">
            <v>120</v>
          </cell>
          <cell r="E224">
            <v>60</v>
          </cell>
          <cell r="F224">
            <v>60</v>
          </cell>
          <cell r="G224">
            <v>60</v>
          </cell>
          <cell r="H224">
            <v>60</v>
          </cell>
          <cell r="I224">
            <v>60</v>
          </cell>
          <cell r="J224">
            <v>78</v>
          </cell>
          <cell r="K224">
            <v>143</v>
          </cell>
          <cell r="L224">
            <v>210</v>
          </cell>
          <cell r="M224">
            <v>290</v>
          </cell>
          <cell r="N224">
            <v>60</v>
          </cell>
        </row>
        <row r="225">
          <cell r="A225" t="str">
            <v>Mississippi, 2016</v>
          </cell>
          <cell r="B225" t="str">
            <v>Mississippi</v>
          </cell>
          <cell r="C225">
            <v>2016</v>
          </cell>
          <cell r="D225">
            <v>120</v>
          </cell>
          <cell r="E225">
            <v>60</v>
          </cell>
          <cell r="F225">
            <v>60</v>
          </cell>
          <cell r="G225">
            <v>60</v>
          </cell>
          <cell r="H225">
            <v>60</v>
          </cell>
          <cell r="I225">
            <v>60</v>
          </cell>
          <cell r="J225">
            <v>90</v>
          </cell>
          <cell r="K225">
            <v>147</v>
          </cell>
          <cell r="L225">
            <v>206</v>
          </cell>
          <cell r="M225">
            <v>263</v>
          </cell>
          <cell r="N225">
            <v>60</v>
          </cell>
        </row>
        <row r="226">
          <cell r="A226" t="str">
            <v>Mississippi, 2017</v>
          </cell>
          <cell r="B226" t="str">
            <v>Mississippi</v>
          </cell>
          <cell r="C226">
            <v>2017</v>
          </cell>
          <cell r="D226">
            <v>120</v>
          </cell>
          <cell r="E226">
            <v>60</v>
          </cell>
          <cell r="F226">
            <v>60</v>
          </cell>
          <cell r="G226">
            <v>60</v>
          </cell>
          <cell r="H226">
            <v>60</v>
          </cell>
          <cell r="I226">
            <v>60</v>
          </cell>
          <cell r="J226">
            <v>94</v>
          </cell>
          <cell r="K226">
            <v>156</v>
          </cell>
          <cell r="L226">
            <v>212</v>
          </cell>
          <cell r="M226">
            <v>219</v>
          </cell>
          <cell r="N226">
            <v>60</v>
          </cell>
        </row>
        <row r="227">
          <cell r="A227" t="str">
            <v>Missouri, 2009</v>
          </cell>
          <cell r="B227" t="str">
            <v>Missouri</v>
          </cell>
          <cell r="C227">
            <v>2009</v>
          </cell>
          <cell r="D227">
            <v>120</v>
          </cell>
          <cell r="E227">
            <v>60</v>
          </cell>
          <cell r="F227">
            <v>60</v>
          </cell>
          <cell r="G227">
            <v>60</v>
          </cell>
          <cell r="H227">
            <v>65</v>
          </cell>
          <cell r="I227">
            <v>60</v>
          </cell>
          <cell r="J227">
            <v>95</v>
          </cell>
          <cell r="K227">
            <v>152</v>
          </cell>
          <cell r="L227">
            <v>346</v>
          </cell>
          <cell r="M227">
            <v>620</v>
          </cell>
          <cell r="N227">
            <v>60</v>
          </cell>
        </row>
        <row r="228">
          <cell r="A228" t="str">
            <v>Missouri, 2010</v>
          </cell>
          <cell r="B228" t="str">
            <v>Missouri</v>
          </cell>
          <cell r="C228">
            <v>2010</v>
          </cell>
          <cell r="D228">
            <v>120</v>
          </cell>
          <cell r="E228">
            <v>60</v>
          </cell>
          <cell r="F228">
            <v>60</v>
          </cell>
          <cell r="G228">
            <v>60</v>
          </cell>
          <cell r="H228">
            <v>65</v>
          </cell>
          <cell r="I228">
            <v>60</v>
          </cell>
          <cell r="J228">
            <v>67</v>
          </cell>
          <cell r="K228">
            <v>126</v>
          </cell>
          <cell r="L228">
            <v>312</v>
          </cell>
          <cell r="M228">
            <v>568</v>
          </cell>
          <cell r="N228">
            <v>60</v>
          </cell>
        </row>
        <row r="229">
          <cell r="A229" t="str">
            <v>Missouri, 2011</v>
          </cell>
          <cell r="B229" t="str">
            <v>Missouri</v>
          </cell>
          <cell r="C229">
            <v>2011</v>
          </cell>
          <cell r="D229">
            <v>120</v>
          </cell>
          <cell r="E229">
            <v>60</v>
          </cell>
          <cell r="F229">
            <v>60</v>
          </cell>
          <cell r="G229">
            <v>60</v>
          </cell>
          <cell r="H229">
            <v>60</v>
          </cell>
          <cell r="I229">
            <v>60</v>
          </cell>
          <cell r="J229">
            <v>84</v>
          </cell>
          <cell r="K229">
            <v>144</v>
          </cell>
          <cell r="L229">
            <v>310</v>
          </cell>
          <cell r="M229">
            <v>562</v>
          </cell>
          <cell r="N229">
            <v>60</v>
          </cell>
        </row>
        <row r="230">
          <cell r="A230" t="str">
            <v>Missouri, 2012</v>
          </cell>
          <cell r="B230" t="str">
            <v>Missouri</v>
          </cell>
          <cell r="C230">
            <v>2012</v>
          </cell>
          <cell r="D230">
            <v>120</v>
          </cell>
          <cell r="E230">
            <v>60</v>
          </cell>
          <cell r="F230">
            <v>60</v>
          </cell>
          <cell r="G230">
            <v>60</v>
          </cell>
          <cell r="H230">
            <v>60</v>
          </cell>
          <cell r="I230">
            <v>60</v>
          </cell>
          <cell r="J230">
            <v>99</v>
          </cell>
          <cell r="K230">
            <v>139</v>
          </cell>
          <cell r="L230">
            <v>317</v>
          </cell>
          <cell r="M230">
            <v>573</v>
          </cell>
          <cell r="N230">
            <v>60</v>
          </cell>
        </row>
        <row r="231">
          <cell r="A231" t="str">
            <v>Missouri, 2013</v>
          </cell>
          <cell r="B231" t="str">
            <v>Missouri</v>
          </cell>
          <cell r="C231">
            <v>2013</v>
          </cell>
          <cell r="D231">
            <v>120</v>
          </cell>
          <cell r="E231">
            <v>60</v>
          </cell>
          <cell r="F231">
            <v>60</v>
          </cell>
          <cell r="G231">
            <v>60</v>
          </cell>
          <cell r="H231">
            <v>65</v>
          </cell>
          <cell r="I231">
            <v>60</v>
          </cell>
          <cell r="J231">
            <v>85</v>
          </cell>
          <cell r="K231">
            <v>170</v>
          </cell>
          <cell r="L231">
            <v>318</v>
          </cell>
          <cell r="M231">
            <v>647</v>
          </cell>
          <cell r="N231">
            <v>60</v>
          </cell>
        </row>
        <row r="232">
          <cell r="A232" t="str">
            <v>Missouri, 2014</v>
          </cell>
          <cell r="B232" t="str">
            <v>Missouri</v>
          </cell>
          <cell r="C232">
            <v>2014</v>
          </cell>
          <cell r="D232">
            <v>120</v>
          </cell>
          <cell r="E232">
            <v>60</v>
          </cell>
          <cell r="F232">
            <v>60</v>
          </cell>
          <cell r="G232">
            <v>67</v>
          </cell>
          <cell r="H232">
            <v>70</v>
          </cell>
          <cell r="I232">
            <v>60</v>
          </cell>
          <cell r="J232">
            <v>100</v>
          </cell>
          <cell r="K232">
            <v>159</v>
          </cell>
          <cell r="L232">
            <v>355</v>
          </cell>
          <cell r="M232">
            <v>586</v>
          </cell>
          <cell r="N232">
            <v>60</v>
          </cell>
        </row>
        <row r="233">
          <cell r="A233" t="str">
            <v>Missouri, 2015</v>
          </cell>
          <cell r="B233" t="str">
            <v>Missouri</v>
          </cell>
          <cell r="C233">
            <v>2015</v>
          </cell>
          <cell r="D233">
            <v>120</v>
          </cell>
          <cell r="E233">
            <v>60</v>
          </cell>
          <cell r="F233">
            <v>60</v>
          </cell>
          <cell r="G233">
            <v>60</v>
          </cell>
          <cell r="H233">
            <v>60</v>
          </cell>
          <cell r="I233">
            <v>60</v>
          </cell>
          <cell r="J233">
            <v>81</v>
          </cell>
          <cell r="K233">
            <v>164</v>
          </cell>
          <cell r="L233">
            <v>327</v>
          </cell>
          <cell r="M233">
            <v>663</v>
          </cell>
          <cell r="N233">
            <v>60</v>
          </cell>
        </row>
        <row r="234">
          <cell r="A234" t="str">
            <v>Missouri, 2016</v>
          </cell>
          <cell r="B234" t="str">
            <v>Missouri</v>
          </cell>
          <cell r="C234">
            <v>2016</v>
          </cell>
          <cell r="D234">
            <v>120</v>
          </cell>
          <cell r="E234">
            <v>60</v>
          </cell>
          <cell r="F234">
            <v>60</v>
          </cell>
          <cell r="G234">
            <v>60</v>
          </cell>
          <cell r="H234">
            <v>67</v>
          </cell>
          <cell r="I234">
            <v>60</v>
          </cell>
          <cell r="J234">
            <v>99</v>
          </cell>
          <cell r="K234">
            <v>172</v>
          </cell>
          <cell r="L234">
            <v>292</v>
          </cell>
          <cell r="M234">
            <v>492</v>
          </cell>
          <cell r="N234">
            <v>60</v>
          </cell>
        </row>
        <row r="235">
          <cell r="A235" t="str">
            <v>Missouri, 2017</v>
          </cell>
          <cell r="B235" t="str">
            <v>Missouri</v>
          </cell>
          <cell r="C235">
            <v>2017</v>
          </cell>
          <cell r="D235">
            <v>120</v>
          </cell>
          <cell r="E235">
            <v>60</v>
          </cell>
          <cell r="F235">
            <v>60</v>
          </cell>
          <cell r="G235">
            <v>60</v>
          </cell>
          <cell r="H235">
            <v>60</v>
          </cell>
          <cell r="I235">
            <v>60</v>
          </cell>
          <cell r="J235">
            <v>70</v>
          </cell>
          <cell r="K235">
            <v>181</v>
          </cell>
          <cell r="L235">
            <v>365</v>
          </cell>
          <cell r="M235">
            <v>566</v>
          </cell>
          <cell r="N235">
            <v>60</v>
          </cell>
        </row>
        <row r="236">
          <cell r="A236" t="str">
            <v>Montana, 2009</v>
          </cell>
          <cell r="B236" t="str">
            <v>Montana</v>
          </cell>
          <cell r="C236">
            <v>2009</v>
          </cell>
          <cell r="D236">
            <v>120</v>
          </cell>
          <cell r="E236">
            <v>60</v>
          </cell>
          <cell r="F236">
            <v>60</v>
          </cell>
          <cell r="G236">
            <v>60</v>
          </cell>
          <cell r="H236">
            <v>60</v>
          </cell>
          <cell r="I236">
            <v>60</v>
          </cell>
          <cell r="J236">
            <v>60</v>
          </cell>
          <cell r="K236">
            <v>60</v>
          </cell>
          <cell r="L236">
            <v>60</v>
          </cell>
          <cell r="M236">
            <v>77</v>
          </cell>
          <cell r="N236">
            <v>60</v>
          </cell>
        </row>
        <row r="237">
          <cell r="A237" t="str">
            <v>Montana, 2010</v>
          </cell>
          <cell r="B237" t="str">
            <v>Montana</v>
          </cell>
          <cell r="C237">
            <v>2010</v>
          </cell>
          <cell r="D237">
            <v>120</v>
          </cell>
          <cell r="E237">
            <v>60</v>
          </cell>
          <cell r="F237">
            <v>60</v>
          </cell>
          <cell r="G237">
            <v>60</v>
          </cell>
          <cell r="H237">
            <v>60</v>
          </cell>
          <cell r="I237">
            <v>60</v>
          </cell>
          <cell r="J237">
            <v>60</v>
          </cell>
          <cell r="K237">
            <v>60</v>
          </cell>
          <cell r="L237">
            <v>60</v>
          </cell>
          <cell r="M237">
            <v>88</v>
          </cell>
          <cell r="N237">
            <v>60</v>
          </cell>
        </row>
        <row r="238">
          <cell r="A238" t="str">
            <v>Montana, 2011</v>
          </cell>
          <cell r="B238" t="str">
            <v>Montana</v>
          </cell>
          <cell r="C238">
            <v>2011</v>
          </cell>
          <cell r="D238">
            <v>120</v>
          </cell>
          <cell r="E238">
            <v>60</v>
          </cell>
          <cell r="F238">
            <v>60</v>
          </cell>
          <cell r="G238">
            <v>60</v>
          </cell>
          <cell r="H238">
            <v>60</v>
          </cell>
          <cell r="I238">
            <v>60</v>
          </cell>
          <cell r="J238">
            <v>60</v>
          </cell>
          <cell r="K238">
            <v>60</v>
          </cell>
          <cell r="L238">
            <v>60</v>
          </cell>
          <cell r="M238">
            <v>77</v>
          </cell>
          <cell r="N238">
            <v>60</v>
          </cell>
        </row>
        <row r="239">
          <cell r="A239" t="str">
            <v>Montana, 2012</v>
          </cell>
          <cell r="B239" t="str">
            <v>Montana</v>
          </cell>
          <cell r="C239">
            <v>2012</v>
          </cell>
          <cell r="D239">
            <v>120</v>
          </cell>
          <cell r="E239">
            <v>60</v>
          </cell>
          <cell r="F239">
            <v>60</v>
          </cell>
          <cell r="G239">
            <v>60</v>
          </cell>
          <cell r="H239">
            <v>60</v>
          </cell>
          <cell r="I239">
            <v>60</v>
          </cell>
          <cell r="J239">
            <v>60</v>
          </cell>
          <cell r="K239">
            <v>60</v>
          </cell>
          <cell r="L239">
            <v>60</v>
          </cell>
          <cell r="M239">
            <v>84</v>
          </cell>
          <cell r="N239">
            <v>60</v>
          </cell>
        </row>
        <row r="240">
          <cell r="A240" t="str">
            <v>Montana, 2013</v>
          </cell>
          <cell r="B240" t="str">
            <v>Montana</v>
          </cell>
          <cell r="C240">
            <v>2013</v>
          </cell>
          <cell r="D240">
            <v>120</v>
          </cell>
          <cell r="E240">
            <v>60</v>
          </cell>
          <cell r="F240">
            <v>60</v>
          </cell>
          <cell r="G240">
            <v>60</v>
          </cell>
          <cell r="H240">
            <v>60</v>
          </cell>
          <cell r="I240">
            <v>60</v>
          </cell>
          <cell r="J240">
            <v>60</v>
          </cell>
          <cell r="K240">
            <v>60</v>
          </cell>
          <cell r="L240">
            <v>69</v>
          </cell>
          <cell r="M240">
            <v>102</v>
          </cell>
          <cell r="N240">
            <v>60</v>
          </cell>
        </row>
        <row r="241">
          <cell r="A241" t="str">
            <v>Montana, 2014</v>
          </cell>
          <cell r="B241" t="str">
            <v>Montana</v>
          </cell>
          <cell r="C241">
            <v>2014</v>
          </cell>
          <cell r="D241">
            <v>120</v>
          </cell>
          <cell r="E241">
            <v>60</v>
          </cell>
          <cell r="F241">
            <v>60</v>
          </cell>
          <cell r="G241">
            <v>60</v>
          </cell>
          <cell r="H241">
            <v>60</v>
          </cell>
          <cell r="I241">
            <v>60</v>
          </cell>
          <cell r="J241">
            <v>60</v>
          </cell>
          <cell r="K241">
            <v>60</v>
          </cell>
          <cell r="L241">
            <v>60</v>
          </cell>
          <cell r="M241">
            <v>86</v>
          </cell>
          <cell r="N241">
            <v>60</v>
          </cell>
        </row>
        <row r="242">
          <cell r="A242" t="str">
            <v>Montana, 2015</v>
          </cell>
          <cell r="B242" t="str">
            <v>Montana</v>
          </cell>
          <cell r="C242">
            <v>2015</v>
          </cell>
          <cell r="D242">
            <v>120</v>
          </cell>
          <cell r="E242">
            <v>60</v>
          </cell>
          <cell r="F242">
            <v>60</v>
          </cell>
          <cell r="G242">
            <v>60</v>
          </cell>
          <cell r="H242">
            <v>60</v>
          </cell>
          <cell r="I242">
            <v>60</v>
          </cell>
          <cell r="J242">
            <v>60</v>
          </cell>
          <cell r="K242">
            <v>60</v>
          </cell>
          <cell r="L242">
            <v>60</v>
          </cell>
          <cell r="M242">
            <v>98</v>
          </cell>
          <cell r="N242">
            <v>60</v>
          </cell>
        </row>
        <row r="243">
          <cell r="A243" t="str">
            <v>Montana, 2016</v>
          </cell>
          <cell r="B243" t="str">
            <v>Montana</v>
          </cell>
          <cell r="C243">
            <v>2016</v>
          </cell>
          <cell r="D243">
            <v>120</v>
          </cell>
          <cell r="E243">
            <v>60</v>
          </cell>
          <cell r="F243">
            <v>60</v>
          </cell>
          <cell r="G243">
            <v>60</v>
          </cell>
          <cell r="H243">
            <v>60</v>
          </cell>
          <cell r="I243">
            <v>60</v>
          </cell>
          <cell r="J243">
            <v>60</v>
          </cell>
          <cell r="K243">
            <v>60</v>
          </cell>
          <cell r="L243">
            <v>60</v>
          </cell>
          <cell r="M243">
            <v>66</v>
          </cell>
          <cell r="N243">
            <v>60</v>
          </cell>
        </row>
        <row r="244">
          <cell r="A244" t="str">
            <v>Montana, 2017</v>
          </cell>
          <cell r="B244" t="str">
            <v>Montana</v>
          </cell>
          <cell r="C244">
            <v>2017</v>
          </cell>
          <cell r="D244">
            <v>120</v>
          </cell>
          <cell r="E244">
            <v>60</v>
          </cell>
          <cell r="F244">
            <v>60</v>
          </cell>
          <cell r="G244">
            <v>60</v>
          </cell>
          <cell r="H244">
            <v>60</v>
          </cell>
          <cell r="I244">
            <v>60</v>
          </cell>
          <cell r="J244">
            <v>60</v>
          </cell>
          <cell r="K244">
            <v>60</v>
          </cell>
          <cell r="L244">
            <v>60</v>
          </cell>
          <cell r="M244">
            <v>94</v>
          </cell>
          <cell r="N244">
            <v>60</v>
          </cell>
        </row>
        <row r="245">
          <cell r="A245" t="str">
            <v>Nebraska, 2009</v>
          </cell>
          <cell r="B245" t="str">
            <v>Nebraska</v>
          </cell>
          <cell r="C245">
            <v>2009</v>
          </cell>
          <cell r="D245">
            <v>120</v>
          </cell>
          <cell r="E245">
            <v>60</v>
          </cell>
          <cell r="F245">
            <v>60</v>
          </cell>
          <cell r="G245">
            <v>60</v>
          </cell>
          <cell r="H245">
            <v>60</v>
          </cell>
          <cell r="I245">
            <v>60</v>
          </cell>
          <cell r="J245">
            <v>60</v>
          </cell>
          <cell r="K245">
            <v>60</v>
          </cell>
          <cell r="L245">
            <v>65</v>
          </cell>
          <cell r="M245">
            <v>135</v>
          </cell>
          <cell r="N245">
            <v>60</v>
          </cell>
        </row>
        <row r="246">
          <cell r="A246" t="str">
            <v>Nebraska, 2010</v>
          </cell>
          <cell r="B246" t="str">
            <v>Nebraska</v>
          </cell>
          <cell r="C246">
            <v>2010</v>
          </cell>
          <cell r="D246">
            <v>120</v>
          </cell>
          <cell r="E246">
            <v>60</v>
          </cell>
          <cell r="F246">
            <v>60</v>
          </cell>
          <cell r="G246">
            <v>60</v>
          </cell>
          <cell r="H246">
            <v>60</v>
          </cell>
          <cell r="I246">
            <v>60</v>
          </cell>
          <cell r="J246">
            <v>60</v>
          </cell>
          <cell r="K246">
            <v>60</v>
          </cell>
          <cell r="L246">
            <v>60</v>
          </cell>
          <cell r="M246">
            <v>149</v>
          </cell>
          <cell r="N246">
            <v>60</v>
          </cell>
        </row>
        <row r="247">
          <cell r="A247" t="str">
            <v>Nebraska, 2011</v>
          </cell>
          <cell r="B247" t="str">
            <v>Nebraska</v>
          </cell>
          <cell r="C247">
            <v>2011</v>
          </cell>
          <cell r="D247">
            <v>120</v>
          </cell>
          <cell r="E247">
            <v>60</v>
          </cell>
          <cell r="F247">
            <v>60</v>
          </cell>
          <cell r="G247">
            <v>60</v>
          </cell>
          <cell r="H247">
            <v>60</v>
          </cell>
          <cell r="I247">
            <v>60</v>
          </cell>
          <cell r="J247">
            <v>60</v>
          </cell>
          <cell r="K247">
            <v>60</v>
          </cell>
          <cell r="L247">
            <v>60</v>
          </cell>
          <cell r="M247">
            <v>194</v>
          </cell>
          <cell r="N247">
            <v>60</v>
          </cell>
        </row>
        <row r="248">
          <cell r="A248" t="str">
            <v>Nebraska, 2012</v>
          </cell>
          <cell r="B248" t="str">
            <v>Nebraska</v>
          </cell>
          <cell r="C248">
            <v>2012</v>
          </cell>
          <cell r="D248">
            <v>120</v>
          </cell>
          <cell r="E248">
            <v>60</v>
          </cell>
          <cell r="F248">
            <v>60</v>
          </cell>
          <cell r="G248">
            <v>60</v>
          </cell>
          <cell r="H248">
            <v>60</v>
          </cell>
          <cell r="I248">
            <v>60</v>
          </cell>
          <cell r="J248">
            <v>60</v>
          </cell>
          <cell r="K248">
            <v>60</v>
          </cell>
          <cell r="L248">
            <v>71</v>
          </cell>
          <cell r="M248">
            <v>157</v>
          </cell>
          <cell r="N248">
            <v>60</v>
          </cell>
        </row>
        <row r="249">
          <cell r="A249" t="str">
            <v>Nebraska, 2013</v>
          </cell>
          <cell r="B249" t="str">
            <v>Nebraska</v>
          </cell>
          <cell r="C249">
            <v>2013</v>
          </cell>
          <cell r="D249">
            <v>120</v>
          </cell>
          <cell r="E249">
            <v>60</v>
          </cell>
          <cell r="F249">
            <v>60</v>
          </cell>
          <cell r="G249">
            <v>60</v>
          </cell>
          <cell r="H249">
            <v>60</v>
          </cell>
          <cell r="I249">
            <v>60</v>
          </cell>
          <cell r="J249">
            <v>60</v>
          </cell>
          <cell r="K249">
            <v>60</v>
          </cell>
          <cell r="L249">
            <v>66</v>
          </cell>
          <cell r="M249">
            <v>207</v>
          </cell>
          <cell r="N249">
            <v>60</v>
          </cell>
        </row>
        <row r="250">
          <cell r="A250" t="str">
            <v>Nebraska, 2014</v>
          </cell>
          <cell r="B250" t="str">
            <v>Nebraska</v>
          </cell>
          <cell r="C250">
            <v>2014</v>
          </cell>
          <cell r="D250">
            <v>120</v>
          </cell>
          <cell r="E250">
            <v>60</v>
          </cell>
          <cell r="F250">
            <v>60</v>
          </cell>
          <cell r="G250">
            <v>60</v>
          </cell>
          <cell r="H250">
            <v>60</v>
          </cell>
          <cell r="I250">
            <v>60</v>
          </cell>
          <cell r="J250">
            <v>60</v>
          </cell>
          <cell r="K250">
            <v>60</v>
          </cell>
          <cell r="L250">
            <v>81</v>
          </cell>
          <cell r="M250">
            <v>166</v>
          </cell>
          <cell r="N250">
            <v>60</v>
          </cell>
        </row>
        <row r="251">
          <cell r="A251" t="str">
            <v>Nebraska, 2015</v>
          </cell>
          <cell r="B251" t="str">
            <v>Nebraska</v>
          </cell>
          <cell r="C251">
            <v>2015</v>
          </cell>
          <cell r="D251">
            <v>120</v>
          </cell>
          <cell r="E251">
            <v>60</v>
          </cell>
          <cell r="F251">
            <v>60</v>
          </cell>
          <cell r="G251">
            <v>60</v>
          </cell>
          <cell r="H251">
            <v>60</v>
          </cell>
          <cell r="I251">
            <v>60</v>
          </cell>
          <cell r="J251">
            <v>60</v>
          </cell>
          <cell r="K251">
            <v>60</v>
          </cell>
          <cell r="L251">
            <v>75</v>
          </cell>
          <cell r="M251">
            <v>198</v>
          </cell>
          <cell r="N251">
            <v>60</v>
          </cell>
        </row>
        <row r="252">
          <cell r="A252" t="str">
            <v>Nebraska, 2016</v>
          </cell>
          <cell r="B252" t="str">
            <v>Nebraska</v>
          </cell>
          <cell r="C252">
            <v>2016</v>
          </cell>
          <cell r="D252">
            <v>120</v>
          </cell>
          <cell r="E252">
            <v>60</v>
          </cell>
          <cell r="F252">
            <v>60</v>
          </cell>
          <cell r="G252">
            <v>60</v>
          </cell>
          <cell r="H252">
            <v>60</v>
          </cell>
          <cell r="I252">
            <v>60</v>
          </cell>
          <cell r="J252">
            <v>60</v>
          </cell>
          <cell r="K252">
            <v>60</v>
          </cell>
          <cell r="L252">
            <v>69</v>
          </cell>
          <cell r="M252">
            <v>178</v>
          </cell>
          <cell r="N252">
            <v>60</v>
          </cell>
        </row>
        <row r="253">
          <cell r="A253" t="str">
            <v>Nebraska, 2017</v>
          </cell>
          <cell r="B253" t="str">
            <v>Nebraska</v>
          </cell>
          <cell r="C253">
            <v>2017</v>
          </cell>
          <cell r="D253">
            <v>120</v>
          </cell>
          <cell r="E253">
            <v>60</v>
          </cell>
          <cell r="F253">
            <v>60</v>
          </cell>
          <cell r="G253">
            <v>60</v>
          </cell>
          <cell r="H253">
            <v>60</v>
          </cell>
          <cell r="I253">
            <v>60</v>
          </cell>
          <cell r="J253">
            <v>60</v>
          </cell>
          <cell r="K253">
            <v>60</v>
          </cell>
          <cell r="L253">
            <v>78</v>
          </cell>
          <cell r="M253">
            <v>215</v>
          </cell>
          <cell r="N253">
            <v>60</v>
          </cell>
        </row>
        <row r="254">
          <cell r="A254" t="str">
            <v>Nevada, 2009</v>
          </cell>
          <cell r="B254" t="str">
            <v>Nevada</v>
          </cell>
          <cell r="C254">
            <v>2009</v>
          </cell>
          <cell r="D254">
            <v>120</v>
          </cell>
          <cell r="E254">
            <v>60</v>
          </cell>
          <cell r="F254">
            <v>60</v>
          </cell>
          <cell r="G254">
            <v>60</v>
          </cell>
          <cell r="H254">
            <v>60</v>
          </cell>
          <cell r="I254">
            <v>60</v>
          </cell>
          <cell r="J254">
            <v>65</v>
          </cell>
          <cell r="K254">
            <v>80</v>
          </cell>
          <cell r="L254">
            <v>126</v>
          </cell>
          <cell r="M254">
            <v>150</v>
          </cell>
          <cell r="N254">
            <v>60</v>
          </cell>
        </row>
        <row r="255">
          <cell r="A255" t="str">
            <v>Nevada, 2010</v>
          </cell>
          <cell r="B255" t="str">
            <v>Nevada</v>
          </cell>
          <cell r="C255">
            <v>2010</v>
          </cell>
          <cell r="D255">
            <v>120</v>
          </cell>
          <cell r="E255">
            <v>60</v>
          </cell>
          <cell r="F255">
            <v>60</v>
          </cell>
          <cell r="G255">
            <v>60</v>
          </cell>
          <cell r="H255">
            <v>60</v>
          </cell>
          <cell r="I255">
            <v>60</v>
          </cell>
          <cell r="J255">
            <v>60</v>
          </cell>
          <cell r="K255">
            <v>71</v>
          </cell>
          <cell r="L255">
            <v>141</v>
          </cell>
          <cell r="M255">
            <v>116</v>
          </cell>
          <cell r="N255">
            <v>60</v>
          </cell>
        </row>
        <row r="256">
          <cell r="A256" t="str">
            <v>Nevada, 2011</v>
          </cell>
          <cell r="B256" t="str">
            <v>Nevada</v>
          </cell>
          <cell r="C256">
            <v>2011</v>
          </cell>
          <cell r="D256">
            <v>120</v>
          </cell>
          <cell r="E256">
            <v>60</v>
          </cell>
          <cell r="F256">
            <v>60</v>
          </cell>
          <cell r="G256">
            <v>60</v>
          </cell>
          <cell r="H256">
            <v>60</v>
          </cell>
          <cell r="I256">
            <v>60</v>
          </cell>
          <cell r="J256">
            <v>60</v>
          </cell>
          <cell r="K256">
            <v>88</v>
          </cell>
          <cell r="L256">
            <v>135</v>
          </cell>
          <cell r="M256">
            <v>107</v>
          </cell>
          <cell r="N256">
            <v>60</v>
          </cell>
        </row>
        <row r="257">
          <cell r="A257" t="str">
            <v>Nevada, 2012</v>
          </cell>
          <cell r="B257" t="str">
            <v>Nevada</v>
          </cell>
          <cell r="C257">
            <v>2012</v>
          </cell>
          <cell r="D257">
            <v>120</v>
          </cell>
          <cell r="E257">
            <v>60</v>
          </cell>
          <cell r="F257">
            <v>60</v>
          </cell>
          <cell r="G257">
            <v>60</v>
          </cell>
          <cell r="H257">
            <v>60</v>
          </cell>
          <cell r="I257">
            <v>60</v>
          </cell>
          <cell r="J257">
            <v>60</v>
          </cell>
          <cell r="K257">
            <v>80</v>
          </cell>
          <cell r="L257">
            <v>157</v>
          </cell>
          <cell r="M257">
            <v>137</v>
          </cell>
          <cell r="N257">
            <v>60</v>
          </cell>
        </row>
        <row r="258">
          <cell r="A258" t="str">
            <v>Nevada, 2013</v>
          </cell>
          <cell r="B258" t="str">
            <v>Nevada</v>
          </cell>
          <cell r="C258">
            <v>2013</v>
          </cell>
          <cell r="D258">
            <v>120</v>
          </cell>
          <cell r="E258">
            <v>60</v>
          </cell>
          <cell r="F258">
            <v>60</v>
          </cell>
          <cell r="G258">
            <v>60</v>
          </cell>
          <cell r="H258">
            <v>60</v>
          </cell>
          <cell r="I258">
            <v>60</v>
          </cell>
          <cell r="J258">
            <v>73</v>
          </cell>
          <cell r="K258">
            <v>99</v>
          </cell>
          <cell r="L258">
            <v>117</v>
          </cell>
          <cell r="M258">
            <v>122</v>
          </cell>
          <cell r="N258">
            <v>60</v>
          </cell>
        </row>
        <row r="259">
          <cell r="A259" t="str">
            <v>Nevada, 2014</v>
          </cell>
          <cell r="B259" t="str">
            <v>Nevada</v>
          </cell>
          <cell r="C259">
            <v>2014</v>
          </cell>
          <cell r="D259">
            <v>120</v>
          </cell>
          <cell r="E259">
            <v>60</v>
          </cell>
          <cell r="F259">
            <v>60</v>
          </cell>
          <cell r="G259">
            <v>60</v>
          </cell>
          <cell r="H259">
            <v>60</v>
          </cell>
          <cell r="I259">
            <v>60</v>
          </cell>
          <cell r="J259">
            <v>77</v>
          </cell>
          <cell r="K259">
            <v>157</v>
          </cell>
          <cell r="L259">
            <v>175</v>
          </cell>
          <cell r="M259">
            <v>171</v>
          </cell>
          <cell r="N259">
            <v>60</v>
          </cell>
        </row>
        <row r="260">
          <cell r="A260" t="str">
            <v>Nevada, 2015</v>
          </cell>
          <cell r="B260" t="str">
            <v>Nevada</v>
          </cell>
          <cell r="C260">
            <v>2015</v>
          </cell>
          <cell r="D260">
            <v>120</v>
          </cell>
          <cell r="E260">
            <v>60</v>
          </cell>
          <cell r="F260">
            <v>60</v>
          </cell>
          <cell r="G260">
            <v>60</v>
          </cell>
          <cell r="H260">
            <v>60</v>
          </cell>
          <cell r="I260">
            <v>60</v>
          </cell>
          <cell r="J260">
            <v>77</v>
          </cell>
          <cell r="K260">
            <v>125</v>
          </cell>
          <cell r="L260">
            <v>167</v>
          </cell>
          <cell r="M260">
            <v>175</v>
          </cell>
          <cell r="N260">
            <v>60</v>
          </cell>
        </row>
        <row r="261">
          <cell r="A261" t="str">
            <v>Nevada, 2016</v>
          </cell>
          <cell r="B261" t="str">
            <v>Nevada</v>
          </cell>
          <cell r="C261">
            <v>2016</v>
          </cell>
          <cell r="D261">
            <v>120</v>
          </cell>
          <cell r="E261">
            <v>60</v>
          </cell>
          <cell r="F261">
            <v>60</v>
          </cell>
          <cell r="G261">
            <v>60</v>
          </cell>
          <cell r="H261">
            <v>67</v>
          </cell>
          <cell r="I261">
            <v>60</v>
          </cell>
          <cell r="J261">
            <v>80</v>
          </cell>
          <cell r="K261">
            <v>112</v>
          </cell>
          <cell r="L261">
            <v>154</v>
          </cell>
          <cell r="M261">
            <v>121</v>
          </cell>
          <cell r="N261">
            <v>60</v>
          </cell>
        </row>
        <row r="262">
          <cell r="A262" t="str">
            <v>Nevada, 2017</v>
          </cell>
          <cell r="B262" t="str">
            <v>Nevada</v>
          </cell>
          <cell r="C262">
            <v>2017</v>
          </cell>
          <cell r="D262">
            <v>120</v>
          </cell>
          <cell r="E262">
            <v>60</v>
          </cell>
          <cell r="F262">
            <v>60</v>
          </cell>
          <cell r="G262">
            <v>60</v>
          </cell>
          <cell r="H262">
            <v>60</v>
          </cell>
          <cell r="I262">
            <v>60</v>
          </cell>
          <cell r="J262">
            <v>89</v>
          </cell>
          <cell r="K262">
            <v>159</v>
          </cell>
          <cell r="L262">
            <v>135</v>
          </cell>
          <cell r="M262">
            <v>154</v>
          </cell>
          <cell r="N262">
            <v>60</v>
          </cell>
        </row>
        <row r="263">
          <cell r="A263" t="str">
            <v>New Hampshire, 2009</v>
          </cell>
          <cell r="B263" t="str">
            <v>New Hampshire</v>
          </cell>
          <cell r="C263">
            <v>2009</v>
          </cell>
          <cell r="D263">
            <v>120</v>
          </cell>
          <cell r="E263">
            <v>60</v>
          </cell>
          <cell r="F263">
            <v>60</v>
          </cell>
          <cell r="G263">
            <v>60</v>
          </cell>
          <cell r="H263">
            <v>60</v>
          </cell>
          <cell r="I263">
            <v>60</v>
          </cell>
          <cell r="J263">
            <v>60</v>
          </cell>
          <cell r="K263">
            <v>60</v>
          </cell>
          <cell r="L263">
            <v>60</v>
          </cell>
          <cell r="M263">
            <v>89</v>
          </cell>
          <cell r="N263">
            <v>60</v>
          </cell>
        </row>
        <row r="264">
          <cell r="A264" t="str">
            <v>New Hampshire, 2010</v>
          </cell>
          <cell r="B264" t="str">
            <v>New Hampshire</v>
          </cell>
          <cell r="C264">
            <v>2010</v>
          </cell>
          <cell r="D264">
            <v>120</v>
          </cell>
          <cell r="E264">
            <v>60</v>
          </cell>
          <cell r="F264">
            <v>60</v>
          </cell>
          <cell r="G264">
            <v>60</v>
          </cell>
          <cell r="H264">
            <v>60</v>
          </cell>
          <cell r="I264">
            <v>60</v>
          </cell>
          <cell r="J264">
            <v>60</v>
          </cell>
          <cell r="K264">
            <v>60</v>
          </cell>
          <cell r="L264">
            <v>60</v>
          </cell>
          <cell r="M264">
            <v>98</v>
          </cell>
          <cell r="N264">
            <v>60</v>
          </cell>
        </row>
        <row r="265">
          <cell r="A265" t="str">
            <v>New Hampshire, 2011</v>
          </cell>
          <cell r="B265" t="str">
            <v>New Hampshire</v>
          </cell>
          <cell r="C265">
            <v>2011</v>
          </cell>
          <cell r="D265">
            <v>120</v>
          </cell>
          <cell r="E265">
            <v>60</v>
          </cell>
          <cell r="F265">
            <v>60</v>
          </cell>
          <cell r="G265">
            <v>60</v>
          </cell>
          <cell r="H265">
            <v>60</v>
          </cell>
          <cell r="I265">
            <v>60</v>
          </cell>
          <cell r="J265">
            <v>60</v>
          </cell>
          <cell r="K265">
            <v>60</v>
          </cell>
          <cell r="L265">
            <v>65</v>
          </cell>
          <cell r="M265">
            <v>123</v>
          </cell>
          <cell r="N265">
            <v>60</v>
          </cell>
        </row>
        <row r="266">
          <cell r="A266" t="str">
            <v>New Hampshire, 2012</v>
          </cell>
          <cell r="B266" t="str">
            <v>New Hampshire</v>
          </cell>
          <cell r="C266">
            <v>2012</v>
          </cell>
          <cell r="D266">
            <v>120</v>
          </cell>
          <cell r="E266">
            <v>60</v>
          </cell>
          <cell r="F266">
            <v>60</v>
          </cell>
          <cell r="G266">
            <v>60</v>
          </cell>
          <cell r="H266">
            <v>60</v>
          </cell>
          <cell r="I266">
            <v>60</v>
          </cell>
          <cell r="J266">
            <v>60</v>
          </cell>
          <cell r="K266">
            <v>60</v>
          </cell>
          <cell r="L266">
            <v>60</v>
          </cell>
          <cell r="M266">
            <v>123</v>
          </cell>
          <cell r="N266">
            <v>60</v>
          </cell>
        </row>
        <row r="267">
          <cell r="A267" t="str">
            <v>New Hampshire, 2013</v>
          </cell>
          <cell r="B267" t="str">
            <v>New Hampshire</v>
          </cell>
          <cell r="C267">
            <v>2013</v>
          </cell>
          <cell r="D267">
            <v>120</v>
          </cell>
          <cell r="E267">
            <v>60</v>
          </cell>
          <cell r="F267">
            <v>60</v>
          </cell>
          <cell r="G267">
            <v>60</v>
          </cell>
          <cell r="H267">
            <v>60</v>
          </cell>
          <cell r="I267">
            <v>60</v>
          </cell>
          <cell r="J267">
            <v>60</v>
          </cell>
          <cell r="K267">
            <v>60</v>
          </cell>
          <cell r="L267">
            <v>66</v>
          </cell>
          <cell r="M267">
            <v>114</v>
          </cell>
          <cell r="N267">
            <v>60</v>
          </cell>
        </row>
        <row r="268">
          <cell r="A268" t="str">
            <v>New Hampshire, 2014</v>
          </cell>
          <cell r="B268" t="str">
            <v>New Hampshire</v>
          </cell>
          <cell r="C268">
            <v>2014</v>
          </cell>
          <cell r="D268">
            <v>120</v>
          </cell>
          <cell r="E268">
            <v>60</v>
          </cell>
          <cell r="F268">
            <v>60</v>
          </cell>
          <cell r="G268">
            <v>60</v>
          </cell>
          <cell r="H268">
            <v>60</v>
          </cell>
          <cell r="I268">
            <v>60</v>
          </cell>
          <cell r="J268">
            <v>60</v>
          </cell>
          <cell r="K268">
            <v>60</v>
          </cell>
          <cell r="L268">
            <v>60</v>
          </cell>
          <cell r="M268">
            <v>94</v>
          </cell>
          <cell r="N268">
            <v>60</v>
          </cell>
        </row>
        <row r="269">
          <cell r="A269" t="str">
            <v>New Hampshire, 2015</v>
          </cell>
          <cell r="B269" t="str">
            <v>New Hampshire</v>
          </cell>
          <cell r="C269">
            <v>2015</v>
          </cell>
          <cell r="D269">
            <v>120</v>
          </cell>
          <cell r="E269">
            <v>60</v>
          </cell>
          <cell r="F269">
            <v>60</v>
          </cell>
          <cell r="G269">
            <v>60</v>
          </cell>
          <cell r="H269">
            <v>60</v>
          </cell>
          <cell r="I269">
            <v>60</v>
          </cell>
          <cell r="J269">
            <v>60</v>
          </cell>
          <cell r="K269">
            <v>60</v>
          </cell>
          <cell r="L269">
            <v>60</v>
          </cell>
          <cell r="M269">
            <v>155</v>
          </cell>
          <cell r="N269">
            <v>60</v>
          </cell>
        </row>
        <row r="270">
          <cell r="A270" t="str">
            <v>New Hampshire, 2016</v>
          </cell>
          <cell r="B270" t="str">
            <v>New Hampshire</v>
          </cell>
          <cell r="C270">
            <v>2016</v>
          </cell>
          <cell r="D270">
            <v>120</v>
          </cell>
          <cell r="E270">
            <v>60</v>
          </cell>
          <cell r="F270">
            <v>60</v>
          </cell>
          <cell r="G270">
            <v>60</v>
          </cell>
          <cell r="H270">
            <v>60</v>
          </cell>
          <cell r="I270">
            <v>60</v>
          </cell>
          <cell r="J270">
            <v>60</v>
          </cell>
          <cell r="K270">
            <v>60</v>
          </cell>
          <cell r="L270">
            <v>60</v>
          </cell>
          <cell r="M270">
            <v>85</v>
          </cell>
          <cell r="N270">
            <v>60</v>
          </cell>
        </row>
        <row r="271">
          <cell r="A271" t="str">
            <v>New Hampshire, 2017</v>
          </cell>
          <cell r="B271" t="str">
            <v>New Hampshire</v>
          </cell>
          <cell r="C271">
            <v>2017</v>
          </cell>
          <cell r="D271">
            <v>120</v>
          </cell>
          <cell r="E271">
            <v>60</v>
          </cell>
          <cell r="F271">
            <v>60</v>
          </cell>
          <cell r="G271">
            <v>60</v>
          </cell>
          <cell r="H271">
            <v>60</v>
          </cell>
          <cell r="I271">
            <v>60</v>
          </cell>
          <cell r="J271">
            <v>60</v>
          </cell>
          <cell r="K271">
            <v>60</v>
          </cell>
          <cell r="L271">
            <v>69</v>
          </cell>
          <cell r="M271">
            <v>114</v>
          </cell>
          <cell r="N271">
            <v>60</v>
          </cell>
        </row>
        <row r="272">
          <cell r="A272" t="str">
            <v>New Jersey, 2009</v>
          </cell>
          <cell r="B272" t="str">
            <v>New Jersey</v>
          </cell>
          <cell r="C272">
            <v>2009</v>
          </cell>
          <cell r="D272">
            <v>120</v>
          </cell>
          <cell r="E272">
            <v>60</v>
          </cell>
          <cell r="F272">
            <v>60</v>
          </cell>
          <cell r="G272">
            <v>60</v>
          </cell>
          <cell r="H272">
            <v>66</v>
          </cell>
          <cell r="I272">
            <v>60</v>
          </cell>
          <cell r="J272">
            <v>93</v>
          </cell>
          <cell r="K272">
            <v>126</v>
          </cell>
          <cell r="L272">
            <v>363</v>
          </cell>
          <cell r="M272">
            <v>605</v>
          </cell>
          <cell r="N272">
            <v>60</v>
          </cell>
        </row>
        <row r="273">
          <cell r="A273" t="str">
            <v>New Jersey, 2010</v>
          </cell>
          <cell r="B273" t="str">
            <v>New Jersey</v>
          </cell>
          <cell r="C273">
            <v>2010</v>
          </cell>
          <cell r="D273">
            <v>120</v>
          </cell>
          <cell r="E273">
            <v>60</v>
          </cell>
          <cell r="F273">
            <v>60</v>
          </cell>
          <cell r="G273">
            <v>60</v>
          </cell>
          <cell r="H273">
            <v>60</v>
          </cell>
          <cell r="I273">
            <v>60</v>
          </cell>
          <cell r="J273">
            <v>76</v>
          </cell>
          <cell r="K273">
            <v>117</v>
          </cell>
          <cell r="L273">
            <v>286</v>
          </cell>
          <cell r="M273">
            <v>546</v>
          </cell>
          <cell r="N273">
            <v>60</v>
          </cell>
        </row>
        <row r="274">
          <cell r="A274" t="str">
            <v>New Jersey, 2011</v>
          </cell>
          <cell r="B274" t="str">
            <v>New Jersey</v>
          </cell>
          <cell r="C274">
            <v>2011</v>
          </cell>
          <cell r="D274">
            <v>120</v>
          </cell>
          <cell r="E274">
            <v>60</v>
          </cell>
          <cell r="F274">
            <v>60</v>
          </cell>
          <cell r="G274">
            <v>60</v>
          </cell>
          <cell r="H274">
            <v>67</v>
          </cell>
          <cell r="I274">
            <v>60</v>
          </cell>
          <cell r="J274">
            <v>86</v>
          </cell>
          <cell r="K274">
            <v>124</v>
          </cell>
          <cell r="L274">
            <v>292</v>
          </cell>
          <cell r="M274">
            <v>603</v>
          </cell>
          <cell r="N274">
            <v>60</v>
          </cell>
        </row>
        <row r="275">
          <cell r="A275" t="str">
            <v>New Jersey, 2012</v>
          </cell>
          <cell r="B275" t="str">
            <v>New Jersey</v>
          </cell>
          <cell r="C275">
            <v>2012</v>
          </cell>
          <cell r="D275">
            <v>120</v>
          </cell>
          <cell r="E275">
            <v>60</v>
          </cell>
          <cell r="F275">
            <v>60</v>
          </cell>
          <cell r="G275">
            <v>60</v>
          </cell>
          <cell r="H275">
            <v>60</v>
          </cell>
          <cell r="I275">
            <v>60</v>
          </cell>
          <cell r="J275">
            <v>73</v>
          </cell>
          <cell r="K275">
            <v>118</v>
          </cell>
          <cell r="L275">
            <v>283</v>
          </cell>
          <cell r="M275">
            <v>571</v>
          </cell>
          <cell r="N275">
            <v>60</v>
          </cell>
        </row>
        <row r="276">
          <cell r="A276" t="str">
            <v>New Jersey, 2013</v>
          </cell>
          <cell r="B276" t="str">
            <v>New Jersey</v>
          </cell>
          <cell r="C276">
            <v>2013</v>
          </cell>
          <cell r="D276">
            <v>120</v>
          </cell>
          <cell r="E276">
            <v>60</v>
          </cell>
          <cell r="F276">
            <v>60</v>
          </cell>
          <cell r="G276">
            <v>66</v>
          </cell>
          <cell r="H276">
            <v>60</v>
          </cell>
          <cell r="I276">
            <v>60</v>
          </cell>
          <cell r="J276">
            <v>92</v>
          </cell>
          <cell r="K276">
            <v>142</v>
          </cell>
          <cell r="L276">
            <v>334</v>
          </cell>
          <cell r="M276">
            <v>690</v>
          </cell>
          <cell r="N276">
            <v>60</v>
          </cell>
        </row>
        <row r="277">
          <cell r="A277" t="str">
            <v>New Jersey, 2014</v>
          </cell>
          <cell r="B277" t="str">
            <v>New Jersey</v>
          </cell>
          <cell r="C277">
            <v>2014</v>
          </cell>
          <cell r="D277">
            <v>120</v>
          </cell>
          <cell r="E277">
            <v>60</v>
          </cell>
          <cell r="F277">
            <v>60</v>
          </cell>
          <cell r="G277">
            <v>60</v>
          </cell>
          <cell r="H277">
            <v>60</v>
          </cell>
          <cell r="I277">
            <v>60</v>
          </cell>
          <cell r="J277">
            <v>83</v>
          </cell>
          <cell r="K277">
            <v>134</v>
          </cell>
          <cell r="L277">
            <v>274</v>
          </cell>
          <cell r="M277">
            <v>633</v>
          </cell>
          <cell r="N277">
            <v>60</v>
          </cell>
        </row>
        <row r="278">
          <cell r="A278" t="str">
            <v>New Jersey, 2015</v>
          </cell>
          <cell r="B278" t="str">
            <v>New Jersey</v>
          </cell>
          <cell r="C278">
            <v>2015</v>
          </cell>
          <cell r="D278">
            <v>120</v>
          </cell>
          <cell r="E278">
            <v>60</v>
          </cell>
          <cell r="F278">
            <v>60</v>
          </cell>
          <cell r="G278">
            <v>60</v>
          </cell>
          <cell r="H278">
            <v>65</v>
          </cell>
          <cell r="I278">
            <v>60</v>
          </cell>
          <cell r="J278">
            <v>88</v>
          </cell>
          <cell r="K278">
            <v>150</v>
          </cell>
          <cell r="L278">
            <v>331</v>
          </cell>
          <cell r="M278">
            <v>754</v>
          </cell>
          <cell r="N278">
            <v>60</v>
          </cell>
        </row>
        <row r="279">
          <cell r="A279" t="str">
            <v>New Jersey, 2016</v>
          </cell>
          <cell r="B279" t="str">
            <v>New Jersey</v>
          </cell>
          <cell r="C279">
            <v>2016</v>
          </cell>
          <cell r="D279">
            <v>120</v>
          </cell>
          <cell r="E279">
            <v>60</v>
          </cell>
          <cell r="F279">
            <v>60</v>
          </cell>
          <cell r="G279">
            <v>60</v>
          </cell>
          <cell r="H279">
            <v>60</v>
          </cell>
          <cell r="I279">
            <v>60</v>
          </cell>
          <cell r="J279">
            <v>98</v>
          </cell>
          <cell r="K279">
            <v>169</v>
          </cell>
          <cell r="L279">
            <v>281</v>
          </cell>
          <cell r="M279">
            <v>581</v>
          </cell>
          <cell r="N279">
            <v>60</v>
          </cell>
        </row>
        <row r="280">
          <cell r="A280" t="str">
            <v>New Jersey, 2017</v>
          </cell>
          <cell r="B280" t="str">
            <v>New Jersey</v>
          </cell>
          <cell r="C280">
            <v>2017</v>
          </cell>
          <cell r="D280">
            <v>120</v>
          </cell>
          <cell r="E280">
            <v>60</v>
          </cell>
          <cell r="F280">
            <v>60</v>
          </cell>
          <cell r="G280">
            <v>60</v>
          </cell>
          <cell r="H280">
            <v>60</v>
          </cell>
          <cell r="I280">
            <v>60</v>
          </cell>
          <cell r="J280">
            <v>99</v>
          </cell>
          <cell r="K280">
            <v>146</v>
          </cell>
          <cell r="L280">
            <v>343</v>
          </cell>
          <cell r="M280">
            <v>650</v>
          </cell>
          <cell r="N280">
            <v>60</v>
          </cell>
        </row>
        <row r="281">
          <cell r="A281" t="str">
            <v>New Mexico, 2009</v>
          </cell>
          <cell r="B281" t="str">
            <v>New Mexico</v>
          </cell>
          <cell r="C281">
            <v>2009</v>
          </cell>
          <cell r="D281">
            <v>120</v>
          </cell>
          <cell r="E281">
            <v>60</v>
          </cell>
          <cell r="F281">
            <v>60</v>
          </cell>
          <cell r="G281">
            <v>60</v>
          </cell>
          <cell r="H281">
            <v>60</v>
          </cell>
          <cell r="I281">
            <v>60</v>
          </cell>
          <cell r="J281">
            <v>60</v>
          </cell>
          <cell r="K281">
            <v>60</v>
          </cell>
          <cell r="L281">
            <v>60</v>
          </cell>
          <cell r="M281">
            <v>132</v>
          </cell>
          <cell r="N281">
            <v>60</v>
          </cell>
        </row>
        <row r="282">
          <cell r="A282" t="str">
            <v>New Mexico, 2010</v>
          </cell>
          <cell r="B282" t="str">
            <v>New Mexico</v>
          </cell>
          <cell r="C282">
            <v>2010</v>
          </cell>
          <cell r="D282">
            <v>120</v>
          </cell>
          <cell r="E282">
            <v>60</v>
          </cell>
          <cell r="F282">
            <v>60</v>
          </cell>
          <cell r="G282">
            <v>60</v>
          </cell>
          <cell r="H282">
            <v>60</v>
          </cell>
          <cell r="I282">
            <v>60</v>
          </cell>
          <cell r="J282">
            <v>60</v>
          </cell>
          <cell r="K282">
            <v>60</v>
          </cell>
          <cell r="L282">
            <v>73</v>
          </cell>
          <cell r="M282">
            <v>129</v>
          </cell>
          <cell r="N282">
            <v>60</v>
          </cell>
        </row>
        <row r="283">
          <cell r="A283" t="str">
            <v>New Mexico, 2011</v>
          </cell>
          <cell r="B283" t="str">
            <v>New Mexico</v>
          </cell>
          <cell r="C283">
            <v>2011</v>
          </cell>
          <cell r="D283">
            <v>120</v>
          </cell>
          <cell r="E283">
            <v>60</v>
          </cell>
          <cell r="F283">
            <v>60</v>
          </cell>
          <cell r="G283">
            <v>60</v>
          </cell>
          <cell r="H283">
            <v>60</v>
          </cell>
          <cell r="I283">
            <v>60</v>
          </cell>
          <cell r="J283">
            <v>60</v>
          </cell>
          <cell r="K283">
            <v>60</v>
          </cell>
          <cell r="L283">
            <v>74</v>
          </cell>
          <cell r="M283">
            <v>153</v>
          </cell>
          <cell r="N283">
            <v>60</v>
          </cell>
        </row>
        <row r="284">
          <cell r="A284" t="str">
            <v>New Mexico, 2012</v>
          </cell>
          <cell r="B284" t="str">
            <v>New Mexico</v>
          </cell>
          <cell r="C284">
            <v>2012</v>
          </cell>
          <cell r="D284">
            <v>120</v>
          </cell>
          <cell r="E284">
            <v>60</v>
          </cell>
          <cell r="F284">
            <v>60</v>
          </cell>
          <cell r="G284">
            <v>60</v>
          </cell>
          <cell r="H284">
            <v>60</v>
          </cell>
          <cell r="I284">
            <v>60</v>
          </cell>
          <cell r="J284">
            <v>60</v>
          </cell>
          <cell r="K284">
            <v>60</v>
          </cell>
          <cell r="L284">
            <v>65</v>
          </cell>
          <cell r="M284">
            <v>118</v>
          </cell>
          <cell r="N284">
            <v>60</v>
          </cell>
        </row>
        <row r="285">
          <cell r="A285" t="str">
            <v>New Mexico, 2013</v>
          </cell>
          <cell r="B285" t="str">
            <v>New Mexico</v>
          </cell>
          <cell r="C285">
            <v>2013</v>
          </cell>
          <cell r="D285">
            <v>120</v>
          </cell>
          <cell r="E285">
            <v>60</v>
          </cell>
          <cell r="F285">
            <v>60</v>
          </cell>
          <cell r="G285">
            <v>60</v>
          </cell>
          <cell r="H285">
            <v>60</v>
          </cell>
          <cell r="I285">
            <v>60</v>
          </cell>
          <cell r="J285">
            <v>60</v>
          </cell>
          <cell r="K285">
            <v>60</v>
          </cell>
          <cell r="L285">
            <v>85</v>
          </cell>
          <cell r="M285">
            <v>141</v>
          </cell>
          <cell r="N285">
            <v>60</v>
          </cell>
        </row>
        <row r="286">
          <cell r="A286" t="str">
            <v>New Mexico, 2014</v>
          </cell>
          <cell r="B286" t="str">
            <v>New Mexico</v>
          </cell>
          <cell r="C286">
            <v>2014</v>
          </cell>
          <cell r="D286">
            <v>120</v>
          </cell>
          <cell r="E286">
            <v>60</v>
          </cell>
          <cell r="F286">
            <v>60</v>
          </cell>
          <cell r="G286">
            <v>60</v>
          </cell>
          <cell r="H286">
            <v>60</v>
          </cell>
          <cell r="I286">
            <v>60</v>
          </cell>
          <cell r="J286">
            <v>60</v>
          </cell>
          <cell r="K286">
            <v>65</v>
          </cell>
          <cell r="L286">
            <v>72</v>
          </cell>
          <cell r="M286">
            <v>122</v>
          </cell>
          <cell r="N286">
            <v>60</v>
          </cell>
        </row>
        <row r="287">
          <cell r="A287" t="str">
            <v>New Mexico, 2015</v>
          </cell>
          <cell r="B287" t="str">
            <v>New Mexico</v>
          </cell>
          <cell r="C287">
            <v>2015</v>
          </cell>
          <cell r="D287">
            <v>120</v>
          </cell>
          <cell r="E287">
            <v>60</v>
          </cell>
          <cell r="F287">
            <v>60</v>
          </cell>
          <cell r="G287">
            <v>60</v>
          </cell>
          <cell r="H287">
            <v>60</v>
          </cell>
          <cell r="I287">
            <v>60</v>
          </cell>
          <cell r="J287">
            <v>60</v>
          </cell>
          <cell r="K287">
            <v>66</v>
          </cell>
          <cell r="L287">
            <v>80</v>
          </cell>
          <cell r="M287">
            <v>109</v>
          </cell>
          <cell r="N287">
            <v>60</v>
          </cell>
        </row>
        <row r="288">
          <cell r="A288" t="str">
            <v>New Mexico, 2016</v>
          </cell>
          <cell r="B288" t="str">
            <v>New Mexico</v>
          </cell>
          <cell r="C288">
            <v>2016</v>
          </cell>
          <cell r="D288">
            <v>120</v>
          </cell>
          <cell r="E288">
            <v>60</v>
          </cell>
          <cell r="F288">
            <v>60</v>
          </cell>
          <cell r="G288">
            <v>60</v>
          </cell>
          <cell r="H288">
            <v>60</v>
          </cell>
          <cell r="I288">
            <v>60</v>
          </cell>
          <cell r="J288">
            <v>60</v>
          </cell>
          <cell r="K288">
            <v>60</v>
          </cell>
          <cell r="L288">
            <v>83</v>
          </cell>
          <cell r="M288">
            <v>111</v>
          </cell>
          <cell r="N288">
            <v>60</v>
          </cell>
        </row>
        <row r="289">
          <cell r="A289" t="str">
            <v>New Mexico, 2017</v>
          </cell>
          <cell r="B289" t="str">
            <v>New Mexico</v>
          </cell>
          <cell r="C289">
            <v>2017</v>
          </cell>
          <cell r="D289">
            <v>120</v>
          </cell>
          <cell r="E289">
            <v>60</v>
          </cell>
          <cell r="F289">
            <v>60</v>
          </cell>
          <cell r="G289">
            <v>60</v>
          </cell>
          <cell r="H289">
            <v>60</v>
          </cell>
          <cell r="I289">
            <v>60</v>
          </cell>
          <cell r="J289">
            <v>60</v>
          </cell>
          <cell r="K289">
            <v>66</v>
          </cell>
          <cell r="L289">
            <v>95</v>
          </cell>
          <cell r="M289">
            <v>99</v>
          </cell>
          <cell r="N289">
            <v>60</v>
          </cell>
        </row>
        <row r="290">
          <cell r="A290" t="str">
            <v>New York, 2009</v>
          </cell>
          <cell r="B290" t="str">
            <v>New York</v>
          </cell>
          <cell r="C290">
            <v>2009</v>
          </cell>
          <cell r="D290">
            <v>120</v>
          </cell>
          <cell r="E290">
            <v>60</v>
          </cell>
          <cell r="F290">
            <v>65</v>
          </cell>
          <cell r="G290">
            <v>75</v>
          </cell>
          <cell r="H290">
            <v>195</v>
          </cell>
          <cell r="I290">
            <v>60</v>
          </cell>
          <cell r="J290">
            <v>286</v>
          </cell>
          <cell r="K290">
            <v>534</v>
          </cell>
          <cell r="L290">
            <v>1254</v>
          </cell>
          <cell r="M290">
            <v>2090</v>
          </cell>
          <cell r="N290">
            <v>60</v>
          </cell>
        </row>
        <row r="291">
          <cell r="A291" t="str">
            <v>New York, 2010</v>
          </cell>
          <cell r="B291" t="str">
            <v>New York</v>
          </cell>
          <cell r="C291">
            <v>2010</v>
          </cell>
          <cell r="D291">
            <v>120</v>
          </cell>
          <cell r="E291">
            <v>60</v>
          </cell>
          <cell r="F291">
            <v>60</v>
          </cell>
          <cell r="G291">
            <v>60</v>
          </cell>
          <cell r="H291">
            <v>141</v>
          </cell>
          <cell r="I291">
            <v>60</v>
          </cell>
          <cell r="J291">
            <v>326</v>
          </cell>
          <cell r="K291">
            <v>523</v>
          </cell>
          <cell r="L291">
            <v>1269</v>
          </cell>
          <cell r="M291">
            <v>2273</v>
          </cell>
          <cell r="N291">
            <v>60</v>
          </cell>
        </row>
        <row r="292">
          <cell r="A292" t="str">
            <v>New York, 2011</v>
          </cell>
          <cell r="B292" t="str">
            <v>New York</v>
          </cell>
          <cell r="C292">
            <v>2011</v>
          </cell>
          <cell r="D292">
            <v>120</v>
          </cell>
          <cell r="E292">
            <v>60</v>
          </cell>
          <cell r="F292">
            <v>60</v>
          </cell>
          <cell r="G292">
            <v>65</v>
          </cell>
          <cell r="H292">
            <v>158</v>
          </cell>
          <cell r="I292">
            <v>60</v>
          </cell>
          <cell r="J292">
            <v>333</v>
          </cell>
          <cell r="K292">
            <v>530</v>
          </cell>
          <cell r="L292">
            <v>1268</v>
          </cell>
          <cell r="M292">
            <v>2498</v>
          </cell>
          <cell r="N292">
            <v>60</v>
          </cell>
        </row>
        <row r="293">
          <cell r="A293" t="str">
            <v>New York, 2012</v>
          </cell>
          <cell r="B293" t="str">
            <v>New York</v>
          </cell>
          <cell r="C293">
            <v>2012</v>
          </cell>
          <cell r="D293">
            <v>120</v>
          </cell>
          <cell r="E293">
            <v>60</v>
          </cell>
          <cell r="F293">
            <v>60</v>
          </cell>
          <cell r="G293">
            <v>60</v>
          </cell>
          <cell r="H293">
            <v>131</v>
          </cell>
          <cell r="I293">
            <v>60</v>
          </cell>
          <cell r="J293">
            <v>307</v>
          </cell>
          <cell r="K293">
            <v>509</v>
          </cell>
          <cell r="L293">
            <v>1152</v>
          </cell>
          <cell r="M293">
            <v>2208</v>
          </cell>
          <cell r="N293">
            <v>60</v>
          </cell>
        </row>
        <row r="294">
          <cell r="A294" t="str">
            <v>New York, 2013</v>
          </cell>
          <cell r="B294" t="str">
            <v>New York</v>
          </cell>
          <cell r="C294">
            <v>2013</v>
          </cell>
          <cell r="D294">
            <v>120</v>
          </cell>
          <cell r="E294">
            <v>60</v>
          </cell>
          <cell r="F294">
            <v>60</v>
          </cell>
          <cell r="G294">
            <v>60</v>
          </cell>
          <cell r="H294">
            <v>150</v>
          </cell>
          <cell r="I294">
            <v>60</v>
          </cell>
          <cell r="J294">
            <v>350</v>
          </cell>
          <cell r="K294">
            <v>636</v>
          </cell>
          <cell r="L294">
            <v>1216</v>
          </cell>
          <cell r="M294">
            <v>2430</v>
          </cell>
          <cell r="N294">
            <v>60</v>
          </cell>
        </row>
        <row r="295">
          <cell r="A295" t="str">
            <v>New York, 2014</v>
          </cell>
          <cell r="B295" t="str">
            <v>New York</v>
          </cell>
          <cell r="C295">
            <v>2014</v>
          </cell>
          <cell r="D295">
            <v>120</v>
          </cell>
          <cell r="E295">
            <v>60</v>
          </cell>
          <cell r="F295">
            <v>60</v>
          </cell>
          <cell r="G295">
            <v>72</v>
          </cell>
          <cell r="H295">
            <v>165</v>
          </cell>
          <cell r="I295">
            <v>60</v>
          </cell>
          <cell r="J295">
            <v>394</v>
          </cell>
          <cell r="K295">
            <v>615</v>
          </cell>
          <cell r="L295">
            <v>1171</v>
          </cell>
          <cell r="M295">
            <v>2244</v>
          </cell>
          <cell r="N295">
            <v>60</v>
          </cell>
        </row>
        <row r="296">
          <cell r="A296" t="str">
            <v>New York, 2015</v>
          </cell>
          <cell r="B296" t="str">
            <v>New York</v>
          </cell>
          <cell r="C296">
            <v>2015</v>
          </cell>
          <cell r="D296">
            <v>120</v>
          </cell>
          <cell r="E296">
            <v>60</v>
          </cell>
          <cell r="F296">
            <v>60</v>
          </cell>
          <cell r="G296">
            <v>60</v>
          </cell>
          <cell r="H296">
            <v>141</v>
          </cell>
          <cell r="I296">
            <v>60</v>
          </cell>
          <cell r="J296">
            <v>329</v>
          </cell>
          <cell r="K296">
            <v>620</v>
          </cell>
          <cell r="L296">
            <v>1214</v>
          </cell>
          <cell r="M296">
            <v>2464</v>
          </cell>
          <cell r="N296">
            <v>60</v>
          </cell>
        </row>
        <row r="297">
          <cell r="A297" t="str">
            <v>New York, 2016</v>
          </cell>
          <cell r="B297" t="str">
            <v>New York</v>
          </cell>
          <cell r="C297">
            <v>2016</v>
          </cell>
          <cell r="D297">
            <v>120</v>
          </cell>
          <cell r="E297">
            <v>60</v>
          </cell>
          <cell r="F297">
            <v>60</v>
          </cell>
          <cell r="G297">
            <v>68</v>
          </cell>
          <cell r="H297">
            <v>115</v>
          </cell>
          <cell r="I297">
            <v>60</v>
          </cell>
          <cell r="J297">
            <v>376</v>
          </cell>
          <cell r="K297">
            <v>695</v>
          </cell>
          <cell r="L297">
            <v>1127</v>
          </cell>
          <cell r="M297">
            <v>2081</v>
          </cell>
          <cell r="N297">
            <v>60</v>
          </cell>
        </row>
        <row r="298">
          <cell r="A298" t="str">
            <v>New York, 2017</v>
          </cell>
          <cell r="B298" t="str">
            <v>New York</v>
          </cell>
          <cell r="C298">
            <v>2017</v>
          </cell>
          <cell r="D298">
            <v>120</v>
          </cell>
          <cell r="E298">
            <v>60</v>
          </cell>
          <cell r="F298">
            <v>60</v>
          </cell>
          <cell r="G298">
            <v>60</v>
          </cell>
          <cell r="H298">
            <v>124</v>
          </cell>
          <cell r="I298">
            <v>60</v>
          </cell>
          <cell r="J298">
            <v>333</v>
          </cell>
          <cell r="K298">
            <v>655</v>
          </cell>
          <cell r="L298">
            <v>1134</v>
          </cell>
          <cell r="M298">
            <v>2166</v>
          </cell>
          <cell r="N298">
            <v>60</v>
          </cell>
        </row>
        <row r="299">
          <cell r="A299" t="str">
            <v>North Carolina, 2009</v>
          </cell>
          <cell r="B299" t="str">
            <v>North Carolina</v>
          </cell>
          <cell r="C299">
            <v>2009</v>
          </cell>
          <cell r="D299">
            <v>120</v>
          </cell>
          <cell r="E299">
            <v>60</v>
          </cell>
          <cell r="F299">
            <v>60</v>
          </cell>
          <cell r="G299">
            <v>60</v>
          </cell>
          <cell r="H299">
            <v>92</v>
          </cell>
          <cell r="I299">
            <v>60</v>
          </cell>
          <cell r="J299">
            <v>113</v>
          </cell>
          <cell r="K299">
            <v>260</v>
          </cell>
          <cell r="L299">
            <v>475</v>
          </cell>
          <cell r="M299">
            <v>697</v>
          </cell>
          <cell r="N299">
            <v>60</v>
          </cell>
        </row>
        <row r="300">
          <cell r="A300" t="str">
            <v>North Carolina, 2010</v>
          </cell>
          <cell r="B300" t="str">
            <v>North Carolina</v>
          </cell>
          <cell r="C300">
            <v>2010</v>
          </cell>
          <cell r="D300">
            <v>120</v>
          </cell>
          <cell r="E300">
            <v>60</v>
          </cell>
          <cell r="F300">
            <v>60</v>
          </cell>
          <cell r="G300">
            <v>60</v>
          </cell>
          <cell r="H300">
            <v>71</v>
          </cell>
          <cell r="I300">
            <v>60</v>
          </cell>
          <cell r="J300">
            <v>130</v>
          </cell>
          <cell r="K300">
            <v>213</v>
          </cell>
          <cell r="L300">
            <v>440</v>
          </cell>
          <cell r="M300">
            <v>783</v>
          </cell>
          <cell r="N300">
            <v>60</v>
          </cell>
        </row>
        <row r="301">
          <cell r="A301" t="str">
            <v>North Carolina, 2011</v>
          </cell>
          <cell r="B301" t="str">
            <v>North Carolina</v>
          </cell>
          <cell r="C301">
            <v>2011</v>
          </cell>
          <cell r="D301">
            <v>120</v>
          </cell>
          <cell r="E301">
            <v>60</v>
          </cell>
          <cell r="F301">
            <v>60</v>
          </cell>
          <cell r="G301">
            <v>60</v>
          </cell>
          <cell r="H301">
            <v>65</v>
          </cell>
          <cell r="I301">
            <v>60</v>
          </cell>
          <cell r="J301">
            <v>113</v>
          </cell>
          <cell r="K301">
            <v>223</v>
          </cell>
          <cell r="L301">
            <v>412</v>
          </cell>
          <cell r="M301">
            <v>709</v>
          </cell>
          <cell r="N301">
            <v>60</v>
          </cell>
        </row>
        <row r="302">
          <cell r="A302" t="str">
            <v>North Carolina, 2012</v>
          </cell>
          <cell r="B302" t="str">
            <v>North Carolina</v>
          </cell>
          <cell r="C302">
            <v>2012</v>
          </cell>
          <cell r="D302">
            <v>120</v>
          </cell>
          <cell r="E302">
            <v>60</v>
          </cell>
          <cell r="F302">
            <v>60</v>
          </cell>
          <cell r="G302">
            <v>60</v>
          </cell>
          <cell r="H302">
            <v>71</v>
          </cell>
          <cell r="I302">
            <v>60</v>
          </cell>
          <cell r="J302">
            <v>174</v>
          </cell>
          <cell r="K302">
            <v>293</v>
          </cell>
          <cell r="L302">
            <v>510</v>
          </cell>
          <cell r="M302">
            <v>794</v>
          </cell>
          <cell r="N302">
            <v>60</v>
          </cell>
        </row>
        <row r="303">
          <cell r="A303" t="str">
            <v>North Carolina, 2013</v>
          </cell>
          <cell r="B303" t="str">
            <v>North Carolina</v>
          </cell>
          <cell r="C303">
            <v>2013</v>
          </cell>
          <cell r="D303">
            <v>120</v>
          </cell>
          <cell r="E303">
            <v>60</v>
          </cell>
          <cell r="F303">
            <v>60</v>
          </cell>
          <cell r="G303">
            <v>60</v>
          </cell>
          <cell r="H303">
            <v>91</v>
          </cell>
          <cell r="I303">
            <v>60</v>
          </cell>
          <cell r="J303">
            <v>166</v>
          </cell>
          <cell r="K303">
            <v>288</v>
          </cell>
          <cell r="L303">
            <v>501</v>
          </cell>
          <cell r="M303">
            <v>797</v>
          </cell>
          <cell r="N303">
            <v>60</v>
          </cell>
        </row>
        <row r="304">
          <cell r="A304" t="str">
            <v>North Carolina, 2014</v>
          </cell>
          <cell r="B304" t="str">
            <v>North Carolina</v>
          </cell>
          <cell r="C304">
            <v>2014</v>
          </cell>
          <cell r="D304">
            <v>120</v>
          </cell>
          <cell r="E304">
            <v>60</v>
          </cell>
          <cell r="F304">
            <v>60</v>
          </cell>
          <cell r="G304">
            <v>66</v>
          </cell>
          <cell r="H304">
            <v>100</v>
          </cell>
          <cell r="I304">
            <v>60</v>
          </cell>
          <cell r="J304">
            <v>170</v>
          </cell>
          <cell r="K304">
            <v>304</v>
          </cell>
          <cell r="L304">
            <v>479</v>
          </cell>
          <cell r="M304">
            <v>745</v>
          </cell>
          <cell r="N304">
            <v>60</v>
          </cell>
        </row>
        <row r="305">
          <cell r="A305" t="str">
            <v>North Carolina, 2015</v>
          </cell>
          <cell r="B305" t="str">
            <v>North Carolina</v>
          </cell>
          <cell r="C305">
            <v>2015</v>
          </cell>
          <cell r="D305">
            <v>120</v>
          </cell>
          <cell r="E305">
            <v>60</v>
          </cell>
          <cell r="F305">
            <v>60</v>
          </cell>
          <cell r="G305">
            <v>60</v>
          </cell>
          <cell r="H305">
            <v>82</v>
          </cell>
          <cell r="I305">
            <v>60</v>
          </cell>
          <cell r="J305">
            <v>191</v>
          </cell>
          <cell r="K305">
            <v>365</v>
          </cell>
          <cell r="L305">
            <v>510</v>
          </cell>
          <cell r="M305">
            <v>903</v>
          </cell>
          <cell r="N305">
            <v>60</v>
          </cell>
        </row>
        <row r="306">
          <cell r="A306" t="str">
            <v>North Carolina, 2016</v>
          </cell>
          <cell r="B306" t="str">
            <v>North Carolina</v>
          </cell>
          <cell r="C306">
            <v>2016</v>
          </cell>
          <cell r="D306">
            <v>120</v>
          </cell>
          <cell r="E306">
            <v>60</v>
          </cell>
          <cell r="F306">
            <v>60</v>
          </cell>
          <cell r="G306">
            <v>60</v>
          </cell>
          <cell r="H306">
            <v>94</v>
          </cell>
          <cell r="I306">
            <v>60</v>
          </cell>
          <cell r="J306">
            <v>184</v>
          </cell>
          <cell r="K306">
            <v>323</v>
          </cell>
          <cell r="L306">
            <v>487</v>
          </cell>
          <cell r="M306">
            <v>740</v>
          </cell>
          <cell r="N306">
            <v>60</v>
          </cell>
        </row>
        <row r="307">
          <cell r="A307" t="str">
            <v>North Carolina, 2017</v>
          </cell>
          <cell r="B307" t="str">
            <v>North Carolina</v>
          </cell>
          <cell r="C307">
            <v>2017</v>
          </cell>
          <cell r="D307">
            <v>120</v>
          </cell>
          <cell r="E307">
            <v>60</v>
          </cell>
          <cell r="F307">
            <v>60</v>
          </cell>
          <cell r="G307">
            <v>60</v>
          </cell>
          <cell r="H307">
            <v>81</v>
          </cell>
          <cell r="I307">
            <v>60</v>
          </cell>
          <cell r="J307">
            <v>217</v>
          </cell>
          <cell r="K307">
            <v>363</v>
          </cell>
          <cell r="L307">
            <v>514</v>
          </cell>
          <cell r="M307">
            <v>813</v>
          </cell>
          <cell r="N307">
            <v>60</v>
          </cell>
        </row>
        <row r="308">
          <cell r="A308" t="str">
            <v>North Dakota, 2009</v>
          </cell>
          <cell r="B308" t="str">
            <v>North Dakota</v>
          </cell>
          <cell r="C308">
            <v>2009</v>
          </cell>
          <cell r="D308">
            <v>120</v>
          </cell>
          <cell r="E308">
            <v>60</v>
          </cell>
          <cell r="F308">
            <v>60</v>
          </cell>
          <cell r="G308">
            <v>60</v>
          </cell>
          <cell r="H308">
            <v>60</v>
          </cell>
          <cell r="I308">
            <v>60</v>
          </cell>
          <cell r="J308">
            <v>60</v>
          </cell>
          <cell r="K308">
            <v>60</v>
          </cell>
          <cell r="L308">
            <v>60</v>
          </cell>
          <cell r="M308">
            <v>71</v>
          </cell>
          <cell r="N308">
            <v>60</v>
          </cell>
        </row>
        <row r="309">
          <cell r="A309" t="str">
            <v>North Dakota, 2010</v>
          </cell>
          <cell r="B309" t="str">
            <v>North Dakota</v>
          </cell>
          <cell r="C309">
            <v>2010</v>
          </cell>
          <cell r="D309">
            <v>120</v>
          </cell>
          <cell r="E309">
            <v>60</v>
          </cell>
          <cell r="F309">
            <v>60</v>
          </cell>
          <cell r="G309">
            <v>60</v>
          </cell>
          <cell r="H309">
            <v>60</v>
          </cell>
          <cell r="I309">
            <v>60</v>
          </cell>
          <cell r="J309">
            <v>60</v>
          </cell>
          <cell r="K309">
            <v>60</v>
          </cell>
          <cell r="L309">
            <v>60</v>
          </cell>
          <cell r="M309">
            <v>65</v>
          </cell>
          <cell r="N309">
            <v>60</v>
          </cell>
        </row>
        <row r="310">
          <cell r="A310" t="str">
            <v>North Dakota, 2011</v>
          </cell>
          <cell r="B310" t="str">
            <v>North Dakota</v>
          </cell>
          <cell r="C310">
            <v>2011</v>
          </cell>
          <cell r="D310">
            <v>120</v>
          </cell>
          <cell r="E310">
            <v>60</v>
          </cell>
          <cell r="F310">
            <v>60</v>
          </cell>
          <cell r="G310">
            <v>60</v>
          </cell>
          <cell r="H310">
            <v>60</v>
          </cell>
          <cell r="I310">
            <v>60</v>
          </cell>
          <cell r="J310">
            <v>60</v>
          </cell>
          <cell r="K310">
            <v>60</v>
          </cell>
          <cell r="L310">
            <v>60</v>
          </cell>
          <cell r="M310">
            <v>60</v>
          </cell>
          <cell r="N310">
            <v>60</v>
          </cell>
        </row>
        <row r="311">
          <cell r="A311" t="str">
            <v>North Dakota, 2012</v>
          </cell>
          <cell r="B311" t="str">
            <v>North Dakota</v>
          </cell>
          <cell r="C311">
            <v>2012</v>
          </cell>
          <cell r="D311">
            <v>120</v>
          </cell>
          <cell r="E311">
            <v>60</v>
          </cell>
          <cell r="F311">
            <v>60</v>
          </cell>
          <cell r="G311">
            <v>60</v>
          </cell>
          <cell r="H311">
            <v>60</v>
          </cell>
          <cell r="I311">
            <v>60</v>
          </cell>
          <cell r="J311">
            <v>60</v>
          </cell>
          <cell r="K311">
            <v>60</v>
          </cell>
          <cell r="L311">
            <v>60</v>
          </cell>
          <cell r="M311">
            <v>71</v>
          </cell>
          <cell r="N311">
            <v>60</v>
          </cell>
        </row>
        <row r="312">
          <cell r="A312" t="str">
            <v>North Dakota, 2013</v>
          </cell>
          <cell r="B312" t="str">
            <v>North Dakota</v>
          </cell>
          <cell r="C312">
            <v>2013</v>
          </cell>
          <cell r="D312">
            <v>120</v>
          </cell>
          <cell r="E312">
            <v>60</v>
          </cell>
          <cell r="F312">
            <v>60</v>
          </cell>
          <cell r="G312">
            <v>60</v>
          </cell>
          <cell r="H312">
            <v>60</v>
          </cell>
          <cell r="I312">
            <v>60</v>
          </cell>
          <cell r="J312">
            <v>60</v>
          </cell>
          <cell r="K312">
            <v>60</v>
          </cell>
          <cell r="L312">
            <v>60</v>
          </cell>
          <cell r="M312">
            <v>75</v>
          </cell>
          <cell r="N312">
            <v>60</v>
          </cell>
        </row>
        <row r="313">
          <cell r="A313" t="str">
            <v>North Dakota, 2014</v>
          </cell>
          <cell r="B313" t="str">
            <v>North Dakota</v>
          </cell>
          <cell r="C313">
            <v>2014</v>
          </cell>
          <cell r="D313">
            <v>120</v>
          </cell>
          <cell r="E313">
            <v>60</v>
          </cell>
          <cell r="F313">
            <v>60</v>
          </cell>
          <cell r="G313">
            <v>60</v>
          </cell>
          <cell r="H313">
            <v>60</v>
          </cell>
          <cell r="I313">
            <v>60</v>
          </cell>
          <cell r="J313">
            <v>60</v>
          </cell>
          <cell r="K313">
            <v>60</v>
          </cell>
          <cell r="L313">
            <v>66</v>
          </cell>
          <cell r="M313">
            <v>93</v>
          </cell>
          <cell r="N313">
            <v>60</v>
          </cell>
        </row>
        <row r="314">
          <cell r="A314" t="str">
            <v>North Dakota, 2015</v>
          </cell>
          <cell r="B314" t="str">
            <v>North Dakota</v>
          </cell>
          <cell r="C314">
            <v>2015</v>
          </cell>
          <cell r="D314">
            <v>120</v>
          </cell>
          <cell r="E314">
            <v>60</v>
          </cell>
          <cell r="F314">
            <v>60</v>
          </cell>
          <cell r="G314">
            <v>60</v>
          </cell>
          <cell r="H314">
            <v>60</v>
          </cell>
          <cell r="I314">
            <v>60</v>
          </cell>
          <cell r="J314">
            <v>60</v>
          </cell>
          <cell r="K314">
            <v>60</v>
          </cell>
          <cell r="L314">
            <v>60</v>
          </cell>
          <cell r="M314">
            <v>88</v>
          </cell>
          <cell r="N314">
            <v>60</v>
          </cell>
        </row>
        <row r="315">
          <cell r="A315" t="str">
            <v>North Dakota, 2016</v>
          </cell>
          <cell r="B315" t="str">
            <v>North Dakota</v>
          </cell>
          <cell r="C315">
            <v>2016</v>
          </cell>
          <cell r="D315">
            <v>120</v>
          </cell>
          <cell r="E315">
            <v>60</v>
          </cell>
          <cell r="F315">
            <v>60</v>
          </cell>
          <cell r="G315">
            <v>60</v>
          </cell>
          <cell r="H315">
            <v>60</v>
          </cell>
          <cell r="I315">
            <v>60</v>
          </cell>
          <cell r="J315">
            <v>60</v>
          </cell>
          <cell r="K315">
            <v>60</v>
          </cell>
          <cell r="L315">
            <v>60</v>
          </cell>
          <cell r="M315">
            <v>60</v>
          </cell>
          <cell r="N315">
            <v>60</v>
          </cell>
        </row>
        <row r="316">
          <cell r="A316" t="str">
            <v>North Dakota, 2017</v>
          </cell>
          <cell r="B316" t="str">
            <v>North Dakota</v>
          </cell>
          <cell r="C316">
            <v>2017</v>
          </cell>
          <cell r="D316">
            <v>120</v>
          </cell>
          <cell r="E316">
            <v>60</v>
          </cell>
          <cell r="F316">
            <v>60</v>
          </cell>
          <cell r="G316">
            <v>60</v>
          </cell>
          <cell r="H316">
            <v>60</v>
          </cell>
          <cell r="I316">
            <v>60</v>
          </cell>
          <cell r="J316">
            <v>60</v>
          </cell>
          <cell r="K316">
            <v>60</v>
          </cell>
          <cell r="L316">
            <v>60</v>
          </cell>
          <cell r="M316">
            <v>60</v>
          </cell>
          <cell r="N316">
            <v>60</v>
          </cell>
        </row>
        <row r="317">
          <cell r="A317" t="str">
            <v>Ohio, 2009</v>
          </cell>
          <cell r="B317" t="str">
            <v>Ohio</v>
          </cell>
          <cell r="C317">
            <v>2009</v>
          </cell>
          <cell r="D317">
            <v>120</v>
          </cell>
          <cell r="E317">
            <v>60</v>
          </cell>
          <cell r="F317">
            <v>70</v>
          </cell>
          <cell r="G317">
            <v>76</v>
          </cell>
          <cell r="H317">
            <v>113</v>
          </cell>
          <cell r="I317">
            <v>60</v>
          </cell>
          <cell r="J317">
            <v>156</v>
          </cell>
          <cell r="K317">
            <v>245</v>
          </cell>
          <cell r="L317">
            <v>570</v>
          </cell>
          <cell r="M317">
            <v>825</v>
          </cell>
          <cell r="N317">
            <v>60</v>
          </cell>
        </row>
        <row r="318">
          <cell r="A318" t="str">
            <v>Ohio, 2010</v>
          </cell>
          <cell r="B318" t="str">
            <v>Ohio</v>
          </cell>
          <cell r="C318">
            <v>2010</v>
          </cell>
          <cell r="D318">
            <v>120</v>
          </cell>
          <cell r="E318">
            <v>60</v>
          </cell>
          <cell r="F318">
            <v>60</v>
          </cell>
          <cell r="G318">
            <v>60</v>
          </cell>
          <cell r="H318">
            <v>70</v>
          </cell>
          <cell r="I318">
            <v>60</v>
          </cell>
          <cell r="J318">
            <v>160</v>
          </cell>
          <cell r="K318">
            <v>244</v>
          </cell>
          <cell r="L318">
            <v>532</v>
          </cell>
          <cell r="M318">
            <v>893</v>
          </cell>
          <cell r="N318">
            <v>60</v>
          </cell>
        </row>
        <row r="319">
          <cell r="A319" t="str">
            <v>Ohio, 2011</v>
          </cell>
          <cell r="B319" t="str">
            <v>Ohio</v>
          </cell>
          <cell r="C319">
            <v>2011</v>
          </cell>
          <cell r="D319">
            <v>120</v>
          </cell>
          <cell r="E319">
            <v>60</v>
          </cell>
          <cell r="F319">
            <v>60</v>
          </cell>
          <cell r="G319">
            <v>67</v>
          </cell>
          <cell r="H319">
            <v>105</v>
          </cell>
          <cell r="I319">
            <v>60</v>
          </cell>
          <cell r="J319">
            <v>187</v>
          </cell>
          <cell r="K319">
            <v>275</v>
          </cell>
          <cell r="L319">
            <v>592</v>
          </cell>
          <cell r="M319">
            <v>1025</v>
          </cell>
          <cell r="N319">
            <v>60</v>
          </cell>
        </row>
        <row r="320">
          <cell r="A320" t="str">
            <v>Ohio, 2012</v>
          </cell>
          <cell r="B320" t="str">
            <v>Ohio</v>
          </cell>
          <cell r="C320">
            <v>2012</v>
          </cell>
          <cell r="D320">
            <v>120</v>
          </cell>
          <cell r="E320">
            <v>60</v>
          </cell>
          <cell r="F320">
            <v>60</v>
          </cell>
          <cell r="G320">
            <v>60</v>
          </cell>
          <cell r="H320">
            <v>80</v>
          </cell>
          <cell r="I320">
            <v>60</v>
          </cell>
          <cell r="J320">
            <v>175</v>
          </cell>
          <cell r="K320">
            <v>254</v>
          </cell>
          <cell r="L320">
            <v>574</v>
          </cell>
          <cell r="M320">
            <v>1053</v>
          </cell>
          <cell r="N320">
            <v>60</v>
          </cell>
        </row>
        <row r="321">
          <cell r="A321" t="str">
            <v>Ohio, 2013</v>
          </cell>
          <cell r="B321" t="str">
            <v>Ohio</v>
          </cell>
          <cell r="C321">
            <v>2013</v>
          </cell>
          <cell r="D321">
            <v>120</v>
          </cell>
          <cell r="E321">
            <v>60</v>
          </cell>
          <cell r="F321">
            <v>60</v>
          </cell>
          <cell r="G321">
            <v>60</v>
          </cell>
          <cell r="H321">
            <v>87</v>
          </cell>
          <cell r="I321">
            <v>60</v>
          </cell>
          <cell r="J321">
            <v>217</v>
          </cell>
          <cell r="K321">
            <v>310</v>
          </cell>
          <cell r="L321">
            <v>641</v>
          </cell>
          <cell r="M321">
            <v>1054</v>
          </cell>
          <cell r="N321">
            <v>60</v>
          </cell>
        </row>
        <row r="322">
          <cell r="A322" t="str">
            <v>Ohio, 2014</v>
          </cell>
          <cell r="B322" t="str">
            <v>Ohio</v>
          </cell>
          <cell r="C322">
            <v>2014</v>
          </cell>
          <cell r="D322">
            <v>120</v>
          </cell>
          <cell r="E322">
            <v>60</v>
          </cell>
          <cell r="F322">
            <v>60</v>
          </cell>
          <cell r="G322">
            <v>60</v>
          </cell>
          <cell r="H322">
            <v>110</v>
          </cell>
          <cell r="I322">
            <v>60</v>
          </cell>
          <cell r="J322">
            <v>227</v>
          </cell>
          <cell r="K322">
            <v>360</v>
          </cell>
          <cell r="L322">
            <v>590</v>
          </cell>
          <cell r="M322">
            <v>1075</v>
          </cell>
          <cell r="N322">
            <v>60</v>
          </cell>
        </row>
        <row r="323">
          <cell r="A323" t="str">
            <v>Ohio, 2015</v>
          </cell>
          <cell r="B323" t="str">
            <v>Ohio</v>
          </cell>
          <cell r="C323">
            <v>2015</v>
          </cell>
          <cell r="D323">
            <v>120</v>
          </cell>
          <cell r="E323">
            <v>60</v>
          </cell>
          <cell r="F323">
            <v>60</v>
          </cell>
          <cell r="G323">
            <v>60</v>
          </cell>
          <cell r="H323">
            <v>84</v>
          </cell>
          <cell r="I323">
            <v>60</v>
          </cell>
          <cell r="J323">
            <v>204</v>
          </cell>
          <cell r="K323">
            <v>361</v>
          </cell>
          <cell r="L323">
            <v>596</v>
          </cell>
          <cell r="M323">
            <v>1136</v>
          </cell>
          <cell r="N323">
            <v>60</v>
          </cell>
        </row>
        <row r="324">
          <cell r="A324" t="str">
            <v>Ohio, 2016</v>
          </cell>
          <cell r="B324" t="str">
            <v>Ohio</v>
          </cell>
          <cell r="C324">
            <v>2016</v>
          </cell>
          <cell r="D324">
            <v>120</v>
          </cell>
          <cell r="E324">
            <v>60</v>
          </cell>
          <cell r="F324">
            <v>60</v>
          </cell>
          <cell r="G324">
            <v>65</v>
          </cell>
          <cell r="H324">
            <v>77</v>
          </cell>
          <cell r="I324">
            <v>60</v>
          </cell>
          <cell r="J324">
            <v>215</v>
          </cell>
          <cell r="K324">
            <v>355</v>
          </cell>
          <cell r="L324">
            <v>539</v>
          </cell>
          <cell r="M324">
            <v>879</v>
          </cell>
          <cell r="N324">
            <v>60</v>
          </cell>
        </row>
        <row r="325">
          <cell r="A325" t="str">
            <v>Ohio, 2017</v>
          </cell>
          <cell r="B325" t="str">
            <v>Ohio</v>
          </cell>
          <cell r="C325">
            <v>2017</v>
          </cell>
          <cell r="D325">
            <v>120</v>
          </cell>
          <cell r="E325">
            <v>60</v>
          </cell>
          <cell r="F325">
            <v>60</v>
          </cell>
          <cell r="G325">
            <v>60</v>
          </cell>
          <cell r="H325">
            <v>79</v>
          </cell>
          <cell r="I325">
            <v>60</v>
          </cell>
          <cell r="J325">
            <v>212</v>
          </cell>
          <cell r="K325">
            <v>381</v>
          </cell>
          <cell r="L325">
            <v>544</v>
          </cell>
          <cell r="M325">
            <v>963</v>
          </cell>
          <cell r="N325">
            <v>60</v>
          </cell>
        </row>
        <row r="326">
          <cell r="A326" t="str">
            <v>Oklahoma, 2009</v>
          </cell>
          <cell r="B326" t="str">
            <v>Oklahoma</v>
          </cell>
          <cell r="C326">
            <v>2009</v>
          </cell>
          <cell r="D326">
            <v>120</v>
          </cell>
          <cell r="E326">
            <v>60</v>
          </cell>
          <cell r="F326">
            <v>60</v>
          </cell>
          <cell r="G326">
            <v>60</v>
          </cell>
          <cell r="H326">
            <v>69</v>
          </cell>
          <cell r="I326">
            <v>60</v>
          </cell>
          <cell r="J326">
            <v>72</v>
          </cell>
          <cell r="K326">
            <v>103</v>
          </cell>
          <cell r="L326">
            <v>234</v>
          </cell>
          <cell r="M326">
            <v>326</v>
          </cell>
          <cell r="N326">
            <v>60</v>
          </cell>
        </row>
        <row r="327">
          <cell r="A327" t="str">
            <v>Oklahoma, 2010</v>
          </cell>
          <cell r="B327" t="str">
            <v>Oklahoma</v>
          </cell>
          <cell r="C327">
            <v>2010</v>
          </cell>
          <cell r="D327">
            <v>120</v>
          </cell>
          <cell r="E327">
            <v>60</v>
          </cell>
          <cell r="F327">
            <v>60</v>
          </cell>
          <cell r="G327">
            <v>60</v>
          </cell>
          <cell r="H327">
            <v>60</v>
          </cell>
          <cell r="I327">
            <v>60</v>
          </cell>
          <cell r="J327">
            <v>65</v>
          </cell>
          <cell r="K327">
            <v>96</v>
          </cell>
          <cell r="L327">
            <v>225</v>
          </cell>
          <cell r="M327">
            <v>298</v>
          </cell>
          <cell r="N327">
            <v>60</v>
          </cell>
        </row>
        <row r="328">
          <cell r="A328" t="str">
            <v>Oklahoma, 2011</v>
          </cell>
          <cell r="B328" t="str">
            <v>Oklahoma</v>
          </cell>
          <cell r="C328">
            <v>2011</v>
          </cell>
          <cell r="D328">
            <v>120</v>
          </cell>
          <cell r="E328">
            <v>60</v>
          </cell>
          <cell r="F328">
            <v>60</v>
          </cell>
          <cell r="G328">
            <v>60</v>
          </cell>
          <cell r="H328">
            <v>60</v>
          </cell>
          <cell r="I328">
            <v>60</v>
          </cell>
          <cell r="J328">
            <v>81</v>
          </cell>
          <cell r="K328">
            <v>135</v>
          </cell>
          <cell r="L328">
            <v>219</v>
          </cell>
          <cell r="M328">
            <v>326</v>
          </cell>
          <cell r="N328">
            <v>60</v>
          </cell>
        </row>
        <row r="329">
          <cell r="A329" t="str">
            <v>Oklahoma, 2012</v>
          </cell>
          <cell r="B329" t="str">
            <v>Oklahoma</v>
          </cell>
          <cell r="C329">
            <v>2012</v>
          </cell>
          <cell r="D329">
            <v>120</v>
          </cell>
          <cell r="E329">
            <v>60</v>
          </cell>
          <cell r="F329">
            <v>60</v>
          </cell>
          <cell r="G329">
            <v>60</v>
          </cell>
          <cell r="H329">
            <v>60</v>
          </cell>
          <cell r="I329">
            <v>60</v>
          </cell>
          <cell r="J329">
            <v>78</v>
          </cell>
          <cell r="K329">
            <v>78</v>
          </cell>
          <cell r="L329">
            <v>132</v>
          </cell>
          <cell r="M329">
            <v>229</v>
          </cell>
          <cell r="N329">
            <v>60</v>
          </cell>
        </row>
        <row r="330">
          <cell r="A330" t="str">
            <v>Oklahoma, 2013</v>
          </cell>
          <cell r="B330" t="str">
            <v>Oklahoma</v>
          </cell>
          <cell r="C330">
            <v>2013</v>
          </cell>
          <cell r="D330">
            <v>120</v>
          </cell>
          <cell r="E330">
            <v>60</v>
          </cell>
          <cell r="F330">
            <v>60</v>
          </cell>
          <cell r="G330">
            <v>60</v>
          </cell>
          <cell r="H330">
            <v>60</v>
          </cell>
          <cell r="I330">
            <v>60</v>
          </cell>
          <cell r="J330">
            <v>87</v>
          </cell>
          <cell r="K330">
            <v>101</v>
          </cell>
          <cell r="L330">
            <v>160</v>
          </cell>
          <cell r="M330">
            <v>305</v>
          </cell>
          <cell r="N330">
            <v>60</v>
          </cell>
        </row>
        <row r="331">
          <cell r="A331" t="str">
            <v>Oklahoma, 2014</v>
          </cell>
          <cell r="B331" t="str">
            <v>Oklahoma</v>
          </cell>
          <cell r="C331">
            <v>2014</v>
          </cell>
          <cell r="D331">
            <v>120</v>
          </cell>
          <cell r="E331">
            <v>60</v>
          </cell>
          <cell r="F331">
            <v>60</v>
          </cell>
          <cell r="G331">
            <v>60</v>
          </cell>
          <cell r="H331">
            <v>70</v>
          </cell>
          <cell r="I331">
            <v>60</v>
          </cell>
          <cell r="J331">
            <v>100</v>
          </cell>
          <cell r="K331">
            <v>118</v>
          </cell>
          <cell r="L331">
            <v>153</v>
          </cell>
          <cell r="M331">
            <v>257</v>
          </cell>
          <cell r="N331">
            <v>60</v>
          </cell>
        </row>
        <row r="332">
          <cell r="A332" t="str">
            <v>Oklahoma, 2015</v>
          </cell>
          <cell r="B332" t="str">
            <v>Oklahoma</v>
          </cell>
          <cell r="C332">
            <v>2015</v>
          </cell>
          <cell r="D332">
            <v>120</v>
          </cell>
          <cell r="E332">
            <v>60</v>
          </cell>
          <cell r="F332">
            <v>60</v>
          </cell>
          <cell r="G332">
            <v>60</v>
          </cell>
          <cell r="H332">
            <v>60</v>
          </cell>
          <cell r="I332">
            <v>60</v>
          </cell>
          <cell r="J332">
            <v>76</v>
          </cell>
          <cell r="K332">
            <v>108</v>
          </cell>
          <cell r="L332">
            <v>211</v>
          </cell>
          <cell r="M332">
            <v>256</v>
          </cell>
          <cell r="N332">
            <v>60</v>
          </cell>
        </row>
        <row r="333">
          <cell r="A333" t="str">
            <v>Oklahoma, 2016</v>
          </cell>
          <cell r="B333" t="str">
            <v>Oklahoma</v>
          </cell>
          <cell r="C333">
            <v>2016</v>
          </cell>
          <cell r="D333">
            <v>120</v>
          </cell>
          <cell r="E333">
            <v>60</v>
          </cell>
          <cell r="F333">
            <v>60</v>
          </cell>
          <cell r="G333">
            <v>60</v>
          </cell>
          <cell r="H333">
            <v>60</v>
          </cell>
          <cell r="I333">
            <v>60</v>
          </cell>
          <cell r="J333">
            <v>73</v>
          </cell>
          <cell r="K333">
            <v>81</v>
          </cell>
          <cell r="L333">
            <v>128</v>
          </cell>
          <cell r="M333">
            <v>196</v>
          </cell>
          <cell r="N333">
            <v>60</v>
          </cell>
        </row>
        <row r="334">
          <cell r="A334" t="str">
            <v>Oklahoma, 2017</v>
          </cell>
          <cell r="B334" t="str">
            <v>Oklahoma</v>
          </cell>
          <cell r="C334">
            <v>2017</v>
          </cell>
          <cell r="D334">
            <v>120</v>
          </cell>
          <cell r="E334">
            <v>60</v>
          </cell>
          <cell r="F334">
            <v>60</v>
          </cell>
          <cell r="G334">
            <v>60</v>
          </cell>
          <cell r="H334">
            <v>60</v>
          </cell>
          <cell r="I334">
            <v>60</v>
          </cell>
          <cell r="J334">
            <v>70</v>
          </cell>
          <cell r="K334">
            <v>121</v>
          </cell>
          <cell r="L334">
            <v>161</v>
          </cell>
          <cell r="M334">
            <v>206</v>
          </cell>
          <cell r="N334">
            <v>60</v>
          </cell>
        </row>
        <row r="335">
          <cell r="A335" t="str">
            <v>Oregon, 2009</v>
          </cell>
          <cell r="B335" t="str">
            <v>Oregon</v>
          </cell>
          <cell r="C335">
            <v>2009</v>
          </cell>
          <cell r="D335">
            <v>120</v>
          </cell>
          <cell r="E335">
            <v>60</v>
          </cell>
          <cell r="F335">
            <v>60</v>
          </cell>
          <cell r="G335">
            <v>60</v>
          </cell>
          <cell r="H335">
            <v>60</v>
          </cell>
          <cell r="I335">
            <v>60</v>
          </cell>
          <cell r="J335">
            <v>60</v>
          </cell>
          <cell r="K335">
            <v>65</v>
          </cell>
          <cell r="L335">
            <v>113</v>
          </cell>
          <cell r="M335">
            <v>211</v>
          </cell>
          <cell r="N335">
            <v>60</v>
          </cell>
        </row>
        <row r="336">
          <cell r="A336" t="str">
            <v>Oregon, 2010</v>
          </cell>
          <cell r="B336" t="str">
            <v>Oregon</v>
          </cell>
          <cell r="C336">
            <v>2010</v>
          </cell>
          <cell r="D336">
            <v>120</v>
          </cell>
          <cell r="E336">
            <v>60</v>
          </cell>
          <cell r="F336">
            <v>60</v>
          </cell>
          <cell r="G336">
            <v>60</v>
          </cell>
          <cell r="H336">
            <v>60</v>
          </cell>
          <cell r="I336">
            <v>60</v>
          </cell>
          <cell r="J336">
            <v>60</v>
          </cell>
          <cell r="K336">
            <v>60</v>
          </cell>
          <cell r="L336">
            <v>79</v>
          </cell>
          <cell r="M336">
            <v>227</v>
          </cell>
          <cell r="N336">
            <v>60</v>
          </cell>
        </row>
        <row r="337">
          <cell r="A337" t="str">
            <v>Oregon, 2011</v>
          </cell>
          <cell r="B337" t="str">
            <v>Oregon</v>
          </cell>
          <cell r="C337">
            <v>2011</v>
          </cell>
          <cell r="D337">
            <v>120</v>
          </cell>
          <cell r="E337">
            <v>60</v>
          </cell>
          <cell r="F337">
            <v>60</v>
          </cell>
          <cell r="G337">
            <v>60</v>
          </cell>
          <cell r="H337">
            <v>60</v>
          </cell>
          <cell r="I337">
            <v>60</v>
          </cell>
          <cell r="J337">
            <v>60</v>
          </cell>
          <cell r="K337">
            <v>60</v>
          </cell>
          <cell r="L337">
            <v>79</v>
          </cell>
          <cell r="M337">
            <v>208</v>
          </cell>
          <cell r="N337">
            <v>60</v>
          </cell>
        </row>
        <row r="338">
          <cell r="A338" t="str">
            <v>Oregon, 2012</v>
          </cell>
          <cell r="B338" t="str">
            <v>Oregon</v>
          </cell>
          <cell r="C338">
            <v>2012</v>
          </cell>
          <cell r="D338">
            <v>120</v>
          </cell>
          <cell r="E338">
            <v>60</v>
          </cell>
          <cell r="F338">
            <v>60</v>
          </cell>
          <cell r="G338">
            <v>60</v>
          </cell>
          <cell r="H338">
            <v>60</v>
          </cell>
          <cell r="I338">
            <v>60</v>
          </cell>
          <cell r="J338">
            <v>60</v>
          </cell>
          <cell r="K338">
            <v>60</v>
          </cell>
          <cell r="L338">
            <v>77</v>
          </cell>
          <cell r="M338">
            <v>193</v>
          </cell>
          <cell r="N338">
            <v>60</v>
          </cell>
        </row>
        <row r="339">
          <cell r="A339" t="str">
            <v>Oregon, 2013</v>
          </cell>
          <cell r="B339" t="str">
            <v>Oregon</v>
          </cell>
          <cell r="C339">
            <v>2013</v>
          </cell>
          <cell r="D339">
            <v>120</v>
          </cell>
          <cell r="E339">
            <v>60</v>
          </cell>
          <cell r="F339">
            <v>60</v>
          </cell>
          <cell r="G339">
            <v>60</v>
          </cell>
          <cell r="H339">
            <v>60</v>
          </cell>
          <cell r="I339">
            <v>60</v>
          </cell>
          <cell r="J339">
            <v>60</v>
          </cell>
          <cell r="K339">
            <v>60</v>
          </cell>
          <cell r="L339">
            <v>107</v>
          </cell>
          <cell r="M339">
            <v>236</v>
          </cell>
          <cell r="N339">
            <v>60</v>
          </cell>
        </row>
        <row r="340">
          <cell r="A340" t="str">
            <v>Oregon, 2014</v>
          </cell>
          <cell r="B340" t="str">
            <v>Oregon</v>
          </cell>
          <cell r="C340">
            <v>2014</v>
          </cell>
          <cell r="D340">
            <v>120</v>
          </cell>
          <cell r="E340">
            <v>60</v>
          </cell>
          <cell r="F340">
            <v>60</v>
          </cell>
          <cell r="G340">
            <v>60</v>
          </cell>
          <cell r="H340">
            <v>66</v>
          </cell>
          <cell r="I340">
            <v>60</v>
          </cell>
          <cell r="J340">
            <v>77</v>
          </cell>
          <cell r="K340">
            <v>77</v>
          </cell>
          <cell r="L340">
            <v>82</v>
          </cell>
          <cell r="M340">
            <v>186</v>
          </cell>
          <cell r="N340">
            <v>60</v>
          </cell>
        </row>
        <row r="341">
          <cell r="A341" t="str">
            <v>Oregon, 2015</v>
          </cell>
          <cell r="B341" t="str">
            <v>Oregon</v>
          </cell>
          <cell r="C341">
            <v>2015</v>
          </cell>
          <cell r="D341">
            <v>120</v>
          </cell>
          <cell r="E341">
            <v>60</v>
          </cell>
          <cell r="F341">
            <v>60</v>
          </cell>
          <cell r="G341">
            <v>60</v>
          </cell>
          <cell r="H341">
            <v>60</v>
          </cell>
          <cell r="I341">
            <v>60</v>
          </cell>
          <cell r="J341">
            <v>60</v>
          </cell>
          <cell r="K341">
            <v>65</v>
          </cell>
          <cell r="L341">
            <v>93</v>
          </cell>
          <cell r="M341">
            <v>225</v>
          </cell>
          <cell r="N341">
            <v>60</v>
          </cell>
        </row>
        <row r="342">
          <cell r="A342" t="str">
            <v>Oregon, 2016</v>
          </cell>
          <cell r="B342" t="str">
            <v>Oregon</v>
          </cell>
          <cell r="C342">
            <v>2016</v>
          </cell>
          <cell r="D342">
            <v>120</v>
          </cell>
          <cell r="E342">
            <v>60</v>
          </cell>
          <cell r="F342">
            <v>60</v>
          </cell>
          <cell r="G342">
            <v>60</v>
          </cell>
          <cell r="H342">
            <v>60</v>
          </cell>
          <cell r="I342">
            <v>60</v>
          </cell>
          <cell r="J342">
            <v>60</v>
          </cell>
          <cell r="K342">
            <v>85</v>
          </cell>
          <cell r="L342">
            <v>85</v>
          </cell>
          <cell r="M342">
            <v>175</v>
          </cell>
          <cell r="N342">
            <v>60</v>
          </cell>
        </row>
        <row r="343">
          <cell r="A343" t="str">
            <v>Oregon, 2017</v>
          </cell>
          <cell r="B343" t="str">
            <v>Oregon</v>
          </cell>
          <cell r="C343">
            <v>2017</v>
          </cell>
          <cell r="D343">
            <v>120</v>
          </cell>
          <cell r="E343">
            <v>60</v>
          </cell>
          <cell r="F343">
            <v>60</v>
          </cell>
          <cell r="G343">
            <v>60</v>
          </cell>
          <cell r="H343">
            <v>60</v>
          </cell>
          <cell r="I343">
            <v>60</v>
          </cell>
          <cell r="J343">
            <v>71</v>
          </cell>
          <cell r="K343">
            <v>85</v>
          </cell>
          <cell r="L343">
            <v>125</v>
          </cell>
          <cell r="M343">
            <v>264</v>
          </cell>
          <cell r="N343">
            <v>60</v>
          </cell>
        </row>
        <row r="344">
          <cell r="A344" t="str">
            <v>Pennsylvania, 2009</v>
          </cell>
          <cell r="B344" t="str">
            <v>Pennsylvania</v>
          </cell>
          <cell r="C344">
            <v>2009</v>
          </cell>
          <cell r="D344">
            <v>120</v>
          </cell>
          <cell r="E344">
            <v>60</v>
          </cell>
          <cell r="F344">
            <v>60</v>
          </cell>
          <cell r="G344">
            <v>65</v>
          </cell>
          <cell r="H344">
            <v>103</v>
          </cell>
          <cell r="I344">
            <v>60</v>
          </cell>
          <cell r="J344">
            <v>176</v>
          </cell>
          <cell r="K344">
            <v>270</v>
          </cell>
          <cell r="L344">
            <v>686</v>
          </cell>
          <cell r="M344">
            <v>1232</v>
          </cell>
          <cell r="N344">
            <v>60</v>
          </cell>
        </row>
        <row r="345">
          <cell r="A345" t="str">
            <v>Pennsylvania, 2010</v>
          </cell>
          <cell r="B345" t="str">
            <v>Pennsylvania</v>
          </cell>
          <cell r="C345">
            <v>2010</v>
          </cell>
          <cell r="D345">
            <v>120</v>
          </cell>
          <cell r="E345">
            <v>60</v>
          </cell>
          <cell r="F345">
            <v>60</v>
          </cell>
          <cell r="G345">
            <v>60</v>
          </cell>
          <cell r="H345">
            <v>67</v>
          </cell>
          <cell r="I345">
            <v>60</v>
          </cell>
          <cell r="J345">
            <v>135</v>
          </cell>
          <cell r="K345">
            <v>256</v>
          </cell>
          <cell r="L345">
            <v>615</v>
          </cell>
          <cell r="M345">
            <v>1176</v>
          </cell>
          <cell r="N345">
            <v>60</v>
          </cell>
        </row>
        <row r="346">
          <cell r="A346" t="str">
            <v>Pennsylvania, 2011</v>
          </cell>
          <cell r="B346" t="str">
            <v>Pennsylvania</v>
          </cell>
          <cell r="C346">
            <v>2011</v>
          </cell>
          <cell r="D346">
            <v>120</v>
          </cell>
          <cell r="E346">
            <v>60</v>
          </cell>
          <cell r="F346">
            <v>60</v>
          </cell>
          <cell r="G346">
            <v>60</v>
          </cell>
          <cell r="H346">
            <v>82</v>
          </cell>
          <cell r="I346">
            <v>60</v>
          </cell>
          <cell r="J346">
            <v>175</v>
          </cell>
          <cell r="K346">
            <v>312</v>
          </cell>
          <cell r="L346">
            <v>691</v>
          </cell>
          <cell r="M346">
            <v>1423</v>
          </cell>
          <cell r="N346">
            <v>60</v>
          </cell>
        </row>
        <row r="347">
          <cell r="A347" t="str">
            <v>Pennsylvania, 2012</v>
          </cell>
          <cell r="B347" t="str">
            <v>Pennsylvania</v>
          </cell>
          <cell r="C347">
            <v>2012</v>
          </cell>
          <cell r="D347">
            <v>120</v>
          </cell>
          <cell r="E347">
            <v>60</v>
          </cell>
          <cell r="F347">
            <v>60</v>
          </cell>
          <cell r="G347">
            <v>60</v>
          </cell>
          <cell r="H347">
            <v>60</v>
          </cell>
          <cell r="I347">
            <v>60</v>
          </cell>
          <cell r="J347">
            <v>108</v>
          </cell>
          <cell r="K347">
            <v>258</v>
          </cell>
          <cell r="L347">
            <v>646</v>
          </cell>
          <cell r="M347">
            <v>1208</v>
          </cell>
          <cell r="N347">
            <v>60</v>
          </cell>
        </row>
        <row r="348">
          <cell r="A348" t="str">
            <v>Pennsylvania, 2013</v>
          </cell>
          <cell r="B348" t="str">
            <v>Pennsylvania</v>
          </cell>
          <cell r="C348">
            <v>2013</v>
          </cell>
          <cell r="D348">
            <v>120</v>
          </cell>
          <cell r="E348">
            <v>60</v>
          </cell>
          <cell r="F348">
            <v>60</v>
          </cell>
          <cell r="G348">
            <v>60</v>
          </cell>
          <cell r="H348">
            <v>74</v>
          </cell>
          <cell r="I348">
            <v>60</v>
          </cell>
          <cell r="J348">
            <v>186</v>
          </cell>
          <cell r="K348">
            <v>302</v>
          </cell>
          <cell r="L348">
            <v>708</v>
          </cell>
          <cell r="M348">
            <v>1526</v>
          </cell>
          <cell r="N348">
            <v>60</v>
          </cell>
        </row>
        <row r="349">
          <cell r="A349" t="str">
            <v>Pennsylvania, 2014</v>
          </cell>
          <cell r="B349" t="str">
            <v>Pennsylvania</v>
          </cell>
          <cell r="C349">
            <v>2014</v>
          </cell>
          <cell r="D349">
            <v>120</v>
          </cell>
          <cell r="E349">
            <v>60</v>
          </cell>
          <cell r="F349">
            <v>60</v>
          </cell>
          <cell r="G349">
            <v>60</v>
          </cell>
          <cell r="H349">
            <v>99</v>
          </cell>
          <cell r="I349">
            <v>60</v>
          </cell>
          <cell r="J349">
            <v>215</v>
          </cell>
          <cell r="K349">
            <v>320</v>
          </cell>
          <cell r="L349">
            <v>611</v>
          </cell>
          <cell r="M349">
            <v>1232</v>
          </cell>
          <cell r="N349">
            <v>60</v>
          </cell>
        </row>
        <row r="350">
          <cell r="A350" t="str">
            <v>Pennsylvania, 2015</v>
          </cell>
          <cell r="B350" t="str">
            <v>Pennsylvania</v>
          </cell>
          <cell r="C350">
            <v>2015</v>
          </cell>
          <cell r="D350">
            <v>120</v>
          </cell>
          <cell r="E350">
            <v>60</v>
          </cell>
          <cell r="F350">
            <v>60</v>
          </cell>
          <cell r="G350">
            <v>60</v>
          </cell>
          <cell r="H350">
            <v>83</v>
          </cell>
          <cell r="I350">
            <v>60</v>
          </cell>
          <cell r="J350">
            <v>198</v>
          </cell>
          <cell r="K350">
            <v>355</v>
          </cell>
          <cell r="L350">
            <v>697</v>
          </cell>
          <cell r="M350">
            <v>1508</v>
          </cell>
          <cell r="N350">
            <v>60</v>
          </cell>
        </row>
        <row r="351">
          <cell r="A351" t="str">
            <v>Pennsylvania, 2016</v>
          </cell>
          <cell r="B351" t="str">
            <v>Pennsylvania</v>
          </cell>
          <cell r="C351">
            <v>2016</v>
          </cell>
          <cell r="D351">
            <v>120</v>
          </cell>
          <cell r="E351">
            <v>60</v>
          </cell>
          <cell r="F351">
            <v>60</v>
          </cell>
          <cell r="G351">
            <v>60</v>
          </cell>
          <cell r="H351">
            <v>82</v>
          </cell>
          <cell r="I351">
            <v>60</v>
          </cell>
          <cell r="J351">
            <v>151</v>
          </cell>
          <cell r="K351">
            <v>356</v>
          </cell>
          <cell r="L351">
            <v>624</v>
          </cell>
          <cell r="M351">
            <v>1191</v>
          </cell>
          <cell r="N351">
            <v>60</v>
          </cell>
        </row>
        <row r="352">
          <cell r="A352" t="str">
            <v>Pennsylvania, 2017</v>
          </cell>
          <cell r="B352" t="str">
            <v>Pennsylvania</v>
          </cell>
          <cell r="C352">
            <v>2017</v>
          </cell>
          <cell r="D352">
            <v>120</v>
          </cell>
          <cell r="E352">
            <v>60</v>
          </cell>
          <cell r="F352">
            <v>60</v>
          </cell>
          <cell r="G352">
            <v>60</v>
          </cell>
          <cell r="H352">
            <v>75</v>
          </cell>
          <cell r="I352">
            <v>60</v>
          </cell>
          <cell r="J352">
            <v>199</v>
          </cell>
          <cell r="K352">
            <v>360</v>
          </cell>
          <cell r="L352">
            <v>611</v>
          </cell>
          <cell r="M352">
            <v>1422</v>
          </cell>
          <cell r="N352">
            <v>60</v>
          </cell>
        </row>
        <row r="353">
          <cell r="A353" t="str">
            <v>Rhode Island, 2009</v>
          </cell>
          <cell r="B353" t="str">
            <v>Rhode Island</v>
          </cell>
          <cell r="C353">
            <v>2009</v>
          </cell>
          <cell r="D353">
            <v>120</v>
          </cell>
          <cell r="E353">
            <v>60</v>
          </cell>
          <cell r="F353">
            <v>60</v>
          </cell>
          <cell r="G353">
            <v>60</v>
          </cell>
          <cell r="H353">
            <v>60</v>
          </cell>
          <cell r="I353">
            <v>60</v>
          </cell>
          <cell r="J353">
            <v>60</v>
          </cell>
          <cell r="K353">
            <v>60</v>
          </cell>
          <cell r="L353">
            <v>67</v>
          </cell>
          <cell r="M353">
            <v>98</v>
          </cell>
          <cell r="N353">
            <v>60</v>
          </cell>
        </row>
        <row r="354">
          <cell r="A354" t="str">
            <v>Rhode Island, 2010</v>
          </cell>
          <cell r="B354" t="str">
            <v>Rhode Island</v>
          </cell>
          <cell r="C354">
            <v>2010</v>
          </cell>
          <cell r="D354">
            <v>120</v>
          </cell>
          <cell r="E354">
            <v>60</v>
          </cell>
          <cell r="F354">
            <v>60</v>
          </cell>
          <cell r="G354">
            <v>60</v>
          </cell>
          <cell r="H354">
            <v>60</v>
          </cell>
          <cell r="I354">
            <v>60</v>
          </cell>
          <cell r="J354">
            <v>60</v>
          </cell>
          <cell r="K354">
            <v>60</v>
          </cell>
          <cell r="L354">
            <v>65</v>
          </cell>
          <cell r="M354">
            <v>110</v>
          </cell>
          <cell r="N354">
            <v>60</v>
          </cell>
        </row>
        <row r="355">
          <cell r="A355" t="str">
            <v>Rhode Island, 2011</v>
          </cell>
          <cell r="B355" t="str">
            <v>Rhode Island</v>
          </cell>
          <cell r="C355">
            <v>2011</v>
          </cell>
          <cell r="D355">
            <v>120</v>
          </cell>
          <cell r="E355">
            <v>60</v>
          </cell>
          <cell r="F355">
            <v>60</v>
          </cell>
          <cell r="G355">
            <v>60</v>
          </cell>
          <cell r="H355">
            <v>60</v>
          </cell>
          <cell r="I355">
            <v>60</v>
          </cell>
          <cell r="J355">
            <v>60</v>
          </cell>
          <cell r="K355">
            <v>60</v>
          </cell>
          <cell r="L355">
            <v>60</v>
          </cell>
          <cell r="M355">
            <v>126</v>
          </cell>
          <cell r="N355">
            <v>60</v>
          </cell>
        </row>
        <row r="356">
          <cell r="A356" t="str">
            <v>Rhode Island, 2012</v>
          </cell>
          <cell r="B356" t="str">
            <v>Rhode Island</v>
          </cell>
          <cell r="C356">
            <v>2012</v>
          </cell>
          <cell r="D356">
            <v>120</v>
          </cell>
          <cell r="E356">
            <v>60</v>
          </cell>
          <cell r="F356">
            <v>60</v>
          </cell>
          <cell r="G356">
            <v>60</v>
          </cell>
          <cell r="H356">
            <v>60</v>
          </cell>
          <cell r="I356">
            <v>60</v>
          </cell>
          <cell r="J356">
            <v>60</v>
          </cell>
          <cell r="K356">
            <v>60</v>
          </cell>
          <cell r="L356">
            <v>60</v>
          </cell>
          <cell r="M356">
            <v>76</v>
          </cell>
          <cell r="N356">
            <v>60</v>
          </cell>
        </row>
        <row r="357">
          <cell r="A357" t="str">
            <v>Rhode Island, 2013</v>
          </cell>
          <cell r="B357" t="str">
            <v>Rhode Island</v>
          </cell>
          <cell r="C357">
            <v>2013</v>
          </cell>
          <cell r="D357">
            <v>120</v>
          </cell>
          <cell r="E357">
            <v>60</v>
          </cell>
          <cell r="F357">
            <v>60</v>
          </cell>
          <cell r="G357">
            <v>60</v>
          </cell>
          <cell r="H357">
            <v>60</v>
          </cell>
          <cell r="I357">
            <v>60</v>
          </cell>
          <cell r="J357">
            <v>60</v>
          </cell>
          <cell r="K357">
            <v>60</v>
          </cell>
          <cell r="L357">
            <v>65</v>
          </cell>
          <cell r="M357">
            <v>101</v>
          </cell>
          <cell r="N357">
            <v>60</v>
          </cell>
        </row>
        <row r="358">
          <cell r="A358" t="str">
            <v>Rhode Island, 2014</v>
          </cell>
          <cell r="B358" t="str">
            <v>Rhode Island</v>
          </cell>
          <cell r="C358">
            <v>2014</v>
          </cell>
          <cell r="D358">
            <v>120</v>
          </cell>
          <cell r="E358">
            <v>60</v>
          </cell>
          <cell r="F358">
            <v>60</v>
          </cell>
          <cell r="G358">
            <v>60</v>
          </cell>
          <cell r="H358">
            <v>60</v>
          </cell>
          <cell r="I358">
            <v>60</v>
          </cell>
          <cell r="J358">
            <v>60</v>
          </cell>
          <cell r="K358">
            <v>60</v>
          </cell>
          <cell r="L358">
            <v>60</v>
          </cell>
          <cell r="M358">
            <v>96</v>
          </cell>
          <cell r="N358">
            <v>60</v>
          </cell>
        </row>
        <row r="359">
          <cell r="A359" t="str">
            <v>Rhode Island, 2015</v>
          </cell>
          <cell r="B359" t="str">
            <v>Rhode Island</v>
          </cell>
          <cell r="C359">
            <v>2015</v>
          </cell>
          <cell r="D359">
            <v>120</v>
          </cell>
          <cell r="E359">
            <v>60</v>
          </cell>
          <cell r="F359">
            <v>60</v>
          </cell>
          <cell r="G359">
            <v>60</v>
          </cell>
          <cell r="H359">
            <v>60</v>
          </cell>
          <cell r="I359">
            <v>60</v>
          </cell>
          <cell r="J359">
            <v>60</v>
          </cell>
          <cell r="K359">
            <v>60</v>
          </cell>
          <cell r="L359">
            <v>60</v>
          </cell>
          <cell r="M359">
            <v>150</v>
          </cell>
          <cell r="N359">
            <v>60</v>
          </cell>
        </row>
        <row r="360">
          <cell r="A360" t="str">
            <v>Rhode Island, 2016</v>
          </cell>
          <cell r="B360" t="str">
            <v>Rhode Island</v>
          </cell>
          <cell r="C360">
            <v>2016</v>
          </cell>
          <cell r="D360">
            <v>120</v>
          </cell>
          <cell r="E360">
            <v>60</v>
          </cell>
          <cell r="F360">
            <v>60</v>
          </cell>
          <cell r="G360">
            <v>60</v>
          </cell>
          <cell r="H360">
            <v>60</v>
          </cell>
          <cell r="I360">
            <v>60</v>
          </cell>
          <cell r="J360">
            <v>60</v>
          </cell>
          <cell r="K360">
            <v>60</v>
          </cell>
          <cell r="L360">
            <v>60</v>
          </cell>
          <cell r="M360">
            <v>71</v>
          </cell>
          <cell r="N360">
            <v>60</v>
          </cell>
        </row>
        <row r="361">
          <cell r="A361" t="str">
            <v>Rhode Island, 2017</v>
          </cell>
          <cell r="B361" t="str">
            <v>Rhode Island</v>
          </cell>
          <cell r="C361">
            <v>2017</v>
          </cell>
          <cell r="D361">
            <v>120</v>
          </cell>
          <cell r="E361">
            <v>60</v>
          </cell>
          <cell r="F361">
            <v>60</v>
          </cell>
          <cell r="G361">
            <v>60</v>
          </cell>
          <cell r="H361">
            <v>60</v>
          </cell>
          <cell r="I361">
            <v>60</v>
          </cell>
          <cell r="J361">
            <v>60</v>
          </cell>
          <cell r="K361">
            <v>60</v>
          </cell>
          <cell r="L361">
            <v>60</v>
          </cell>
          <cell r="M361">
            <v>109</v>
          </cell>
          <cell r="N361">
            <v>60</v>
          </cell>
        </row>
        <row r="362">
          <cell r="A362" t="str">
            <v>South Carolina, 2009</v>
          </cell>
          <cell r="B362" t="str">
            <v>South Carolina</v>
          </cell>
          <cell r="C362">
            <v>2009</v>
          </cell>
          <cell r="D362">
            <v>120</v>
          </cell>
          <cell r="E362">
            <v>60</v>
          </cell>
          <cell r="F362">
            <v>60</v>
          </cell>
          <cell r="G362">
            <v>60</v>
          </cell>
          <cell r="H362">
            <v>65</v>
          </cell>
          <cell r="I362">
            <v>60</v>
          </cell>
          <cell r="J362">
            <v>67</v>
          </cell>
          <cell r="K362">
            <v>87</v>
          </cell>
          <cell r="L362">
            <v>197</v>
          </cell>
          <cell r="M362">
            <v>296</v>
          </cell>
          <cell r="N362">
            <v>60</v>
          </cell>
        </row>
        <row r="363">
          <cell r="A363" t="str">
            <v>South Carolina, 2010</v>
          </cell>
          <cell r="B363" t="str">
            <v>South Carolina</v>
          </cell>
          <cell r="C363">
            <v>2010</v>
          </cell>
          <cell r="D363">
            <v>120</v>
          </cell>
          <cell r="E363">
            <v>60</v>
          </cell>
          <cell r="F363">
            <v>60</v>
          </cell>
          <cell r="G363">
            <v>60</v>
          </cell>
          <cell r="H363">
            <v>60</v>
          </cell>
          <cell r="I363">
            <v>60</v>
          </cell>
          <cell r="J363">
            <v>60</v>
          </cell>
          <cell r="K363">
            <v>77</v>
          </cell>
          <cell r="L363">
            <v>208</v>
          </cell>
          <cell r="M363">
            <v>327</v>
          </cell>
          <cell r="N363">
            <v>60</v>
          </cell>
        </row>
        <row r="364">
          <cell r="A364" t="str">
            <v>South Carolina, 2011</v>
          </cell>
          <cell r="B364" t="str">
            <v>South Carolina</v>
          </cell>
          <cell r="C364">
            <v>2011</v>
          </cell>
          <cell r="D364">
            <v>120</v>
          </cell>
          <cell r="E364">
            <v>60</v>
          </cell>
          <cell r="F364">
            <v>60</v>
          </cell>
          <cell r="G364">
            <v>60</v>
          </cell>
          <cell r="H364">
            <v>60</v>
          </cell>
          <cell r="I364">
            <v>60</v>
          </cell>
          <cell r="J364">
            <v>65</v>
          </cell>
          <cell r="K364">
            <v>96</v>
          </cell>
          <cell r="L364">
            <v>212</v>
          </cell>
          <cell r="M364">
            <v>313</v>
          </cell>
          <cell r="N364">
            <v>60</v>
          </cell>
        </row>
        <row r="365">
          <cell r="A365" t="str">
            <v>South Carolina, 2012</v>
          </cell>
          <cell r="B365" t="str">
            <v>South Carolina</v>
          </cell>
          <cell r="C365">
            <v>2012</v>
          </cell>
          <cell r="D365">
            <v>120</v>
          </cell>
          <cell r="E365">
            <v>60</v>
          </cell>
          <cell r="F365">
            <v>60</v>
          </cell>
          <cell r="G365">
            <v>60</v>
          </cell>
          <cell r="H365">
            <v>66</v>
          </cell>
          <cell r="I365">
            <v>60</v>
          </cell>
          <cell r="J365">
            <v>69</v>
          </cell>
          <cell r="K365">
            <v>84</v>
          </cell>
          <cell r="L365">
            <v>207</v>
          </cell>
          <cell r="M365">
            <v>287</v>
          </cell>
          <cell r="N365">
            <v>60</v>
          </cell>
        </row>
        <row r="366">
          <cell r="A366" t="str">
            <v>South Carolina, 2013</v>
          </cell>
          <cell r="B366" t="str">
            <v>South Carolina</v>
          </cell>
          <cell r="C366">
            <v>2013</v>
          </cell>
          <cell r="D366">
            <v>120</v>
          </cell>
          <cell r="E366">
            <v>60</v>
          </cell>
          <cell r="F366">
            <v>60</v>
          </cell>
          <cell r="G366">
            <v>60</v>
          </cell>
          <cell r="H366">
            <v>60</v>
          </cell>
          <cell r="I366">
            <v>60</v>
          </cell>
          <cell r="J366">
            <v>72</v>
          </cell>
          <cell r="K366">
            <v>119</v>
          </cell>
          <cell r="L366">
            <v>181</v>
          </cell>
          <cell r="M366">
            <v>282</v>
          </cell>
          <cell r="N366">
            <v>60</v>
          </cell>
        </row>
        <row r="367">
          <cell r="A367" t="str">
            <v>South Carolina, 2014</v>
          </cell>
          <cell r="B367" t="str">
            <v>South Carolina</v>
          </cell>
          <cell r="C367">
            <v>2014</v>
          </cell>
          <cell r="D367">
            <v>120</v>
          </cell>
          <cell r="E367">
            <v>60</v>
          </cell>
          <cell r="F367">
            <v>60</v>
          </cell>
          <cell r="G367">
            <v>60</v>
          </cell>
          <cell r="H367">
            <v>66</v>
          </cell>
          <cell r="I367">
            <v>60</v>
          </cell>
          <cell r="J367">
            <v>92</v>
          </cell>
          <cell r="K367">
            <v>118</v>
          </cell>
          <cell r="L367">
            <v>175</v>
          </cell>
          <cell r="M367">
            <v>256</v>
          </cell>
          <cell r="N367">
            <v>60</v>
          </cell>
        </row>
        <row r="368">
          <cell r="A368" t="str">
            <v>South Carolina, 2015</v>
          </cell>
          <cell r="B368" t="str">
            <v>South Carolina</v>
          </cell>
          <cell r="C368">
            <v>2015</v>
          </cell>
          <cell r="D368">
            <v>120</v>
          </cell>
          <cell r="E368">
            <v>60</v>
          </cell>
          <cell r="F368">
            <v>60</v>
          </cell>
          <cell r="G368">
            <v>60</v>
          </cell>
          <cell r="H368">
            <v>60</v>
          </cell>
          <cell r="I368">
            <v>60</v>
          </cell>
          <cell r="J368">
            <v>79</v>
          </cell>
          <cell r="K368">
            <v>135</v>
          </cell>
          <cell r="L368">
            <v>221</v>
          </cell>
          <cell r="M368">
            <v>328</v>
          </cell>
          <cell r="N368">
            <v>60</v>
          </cell>
        </row>
        <row r="369">
          <cell r="A369" t="str">
            <v>South Carolina, 2016</v>
          </cell>
          <cell r="B369" t="str">
            <v>South Carolina</v>
          </cell>
          <cell r="C369">
            <v>2016</v>
          </cell>
          <cell r="D369">
            <v>120</v>
          </cell>
          <cell r="E369">
            <v>60</v>
          </cell>
          <cell r="F369">
            <v>60</v>
          </cell>
          <cell r="G369">
            <v>60</v>
          </cell>
          <cell r="H369">
            <v>67</v>
          </cell>
          <cell r="I369">
            <v>60</v>
          </cell>
          <cell r="J369">
            <v>82</v>
          </cell>
          <cell r="K369">
            <v>109</v>
          </cell>
          <cell r="L369">
            <v>161</v>
          </cell>
          <cell r="M369">
            <v>244</v>
          </cell>
          <cell r="N369">
            <v>60</v>
          </cell>
        </row>
        <row r="370">
          <cell r="A370" t="str">
            <v>South Carolina, 2017</v>
          </cell>
          <cell r="B370" t="str">
            <v>South Carolina</v>
          </cell>
          <cell r="C370">
            <v>2017</v>
          </cell>
          <cell r="D370">
            <v>120</v>
          </cell>
          <cell r="E370">
            <v>60</v>
          </cell>
          <cell r="F370">
            <v>60</v>
          </cell>
          <cell r="G370">
            <v>60</v>
          </cell>
          <cell r="H370">
            <v>60</v>
          </cell>
          <cell r="I370">
            <v>60</v>
          </cell>
          <cell r="J370">
            <v>76</v>
          </cell>
          <cell r="K370">
            <v>111</v>
          </cell>
          <cell r="L370">
            <v>207</v>
          </cell>
          <cell r="M370">
            <v>251</v>
          </cell>
          <cell r="N370">
            <v>60</v>
          </cell>
        </row>
        <row r="371">
          <cell r="A371" t="str">
            <v>South Dakota, 2009</v>
          </cell>
          <cell r="B371" t="str">
            <v>South Dakota</v>
          </cell>
          <cell r="C371">
            <v>2009</v>
          </cell>
          <cell r="D371">
            <v>120</v>
          </cell>
          <cell r="E371">
            <v>60</v>
          </cell>
          <cell r="F371">
            <v>60</v>
          </cell>
          <cell r="G371">
            <v>60</v>
          </cell>
          <cell r="H371">
            <v>60</v>
          </cell>
          <cell r="I371">
            <v>60</v>
          </cell>
          <cell r="J371">
            <v>60</v>
          </cell>
          <cell r="K371">
            <v>60</v>
          </cell>
          <cell r="L371">
            <v>60</v>
          </cell>
          <cell r="M371">
            <v>75</v>
          </cell>
          <cell r="N371">
            <v>60</v>
          </cell>
        </row>
        <row r="372">
          <cell r="A372" t="str">
            <v>South Dakota, 2010</v>
          </cell>
          <cell r="B372" t="str">
            <v>South Dakota</v>
          </cell>
          <cell r="C372">
            <v>2010</v>
          </cell>
          <cell r="D372">
            <v>120</v>
          </cell>
          <cell r="E372">
            <v>60</v>
          </cell>
          <cell r="F372">
            <v>60</v>
          </cell>
          <cell r="G372">
            <v>60</v>
          </cell>
          <cell r="H372">
            <v>60</v>
          </cell>
          <cell r="I372">
            <v>60</v>
          </cell>
          <cell r="J372">
            <v>60</v>
          </cell>
          <cell r="K372">
            <v>60</v>
          </cell>
          <cell r="L372">
            <v>60</v>
          </cell>
          <cell r="M372">
            <v>87</v>
          </cell>
          <cell r="N372">
            <v>60</v>
          </cell>
        </row>
        <row r="373">
          <cell r="A373" t="str">
            <v>South Dakota, 2011</v>
          </cell>
          <cell r="B373" t="str">
            <v>South Dakota</v>
          </cell>
          <cell r="C373">
            <v>2011</v>
          </cell>
          <cell r="D373">
            <v>120</v>
          </cell>
          <cell r="E373">
            <v>60</v>
          </cell>
          <cell r="F373">
            <v>60</v>
          </cell>
          <cell r="G373">
            <v>60</v>
          </cell>
          <cell r="H373">
            <v>60</v>
          </cell>
          <cell r="I373">
            <v>60</v>
          </cell>
          <cell r="J373">
            <v>60</v>
          </cell>
          <cell r="K373">
            <v>60</v>
          </cell>
          <cell r="L373">
            <v>60</v>
          </cell>
          <cell r="M373">
            <v>85</v>
          </cell>
          <cell r="N373">
            <v>60</v>
          </cell>
        </row>
        <row r="374">
          <cell r="A374" t="str">
            <v>South Dakota, 2012</v>
          </cell>
          <cell r="B374" t="str">
            <v>South Dakota</v>
          </cell>
          <cell r="C374">
            <v>2012</v>
          </cell>
          <cell r="D374">
            <v>120</v>
          </cell>
          <cell r="E374">
            <v>60</v>
          </cell>
          <cell r="F374">
            <v>60</v>
          </cell>
          <cell r="G374">
            <v>60</v>
          </cell>
          <cell r="H374">
            <v>60</v>
          </cell>
          <cell r="I374">
            <v>60</v>
          </cell>
          <cell r="J374">
            <v>60</v>
          </cell>
          <cell r="K374">
            <v>60</v>
          </cell>
          <cell r="L374">
            <v>60</v>
          </cell>
          <cell r="M374">
            <v>105</v>
          </cell>
          <cell r="N374">
            <v>60</v>
          </cell>
        </row>
        <row r="375">
          <cell r="A375" t="str">
            <v>South Dakota, 2013</v>
          </cell>
          <cell r="B375" t="str">
            <v>South Dakota</v>
          </cell>
          <cell r="C375">
            <v>2013</v>
          </cell>
          <cell r="D375">
            <v>120</v>
          </cell>
          <cell r="E375">
            <v>60</v>
          </cell>
          <cell r="F375">
            <v>60</v>
          </cell>
          <cell r="G375">
            <v>60</v>
          </cell>
          <cell r="H375">
            <v>60</v>
          </cell>
          <cell r="I375">
            <v>60</v>
          </cell>
          <cell r="J375">
            <v>60</v>
          </cell>
          <cell r="K375">
            <v>60</v>
          </cell>
          <cell r="L375">
            <v>60</v>
          </cell>
          <cell r="M375">
            <v>107</v>
          </cell>
          <cell r="N375">
            <v>60</v>
          </cell>
        </row>
        <row r="376">
          <cell r="A376" t="str">
            <v>South Dakota, 2014</v>
          </cell>
          <cell r="B376" t="str">
            <v>South Dakota</v>
          </cell>
          <cell r="C376">
            <v>2014</v>
          </cell>
          <cell r="D376">
            <v>120</v>
          </cell>
          <cell r="E376">
            <v>60</v>
          </cell>
          <cell r="F376">
            <v>60</v>
          </cell>
          <cell r="G376">
            <v>60</v>
          </cell>
          <cell r="H376">
            <v>60</v>
          </cell>
          <cell r="I376">
            <v>60</v>
          </cell>
          <cell r="J376">
            <v>60</v>
          </cell>
          <cell r="K376">
            <v>60</v>
          </cell>
          <cell r="L376">
            <v>60</v>
          </cell>
          <cell r="M376">
            <v>99</v>
          </cell>
          <cell r="N376">
            <v>60</v>
          </cell>
        </row>
        <row r="377">
          <cell r="A377" t="str">
            <v>South Dakota, 2015</v>
          </cell>
          <cell r="B377" t="str">
            <v>South Dakota</v>
          </cell>
          <cell r="C377">
            <v>2015</v>
          </cell>
          <cell r="D377">
            <v>120</v>
          </cell>
          <cell r="E377">
            <v>60</v>
          </cell>
          <cell r="F377">
            <v>60</v>
          </cell>
          <cell r="G377">
            <v>60</v>
          </cell>
          <cell r="H377">
            <v>60</v>
          </cell>
          <cell r="I377">
            <v>60</v>
          </cell>
          <cell r="J377">
            <v>60</v>
          </cell>
          <cell r="K377">
            <v>60</v>
          </cell>
          <cell r="L377">
            <v>60</v>
          </cell>
          <cell r="M377">
            <v>117</v>
          </cell>
          <cell r="N377">
            <v>60</v>
          </cell>
        </row>
        <row r="378">
          <cell r="A378" t="str">
            <v>South Dakota, 2016</v>
          </cell>
          <cell r="B378" t="str">
            <v>South Dakota</v>
          </cell>
          <cell r="C378">
            <v>2016</v>
          </cell>
          <cell r="D378">
            <v>120</v>
          </cell>
          <cell r="E378">
            <v>60</v>
          </cell>
          <cell r="F378">
            <v>60</v>
          </cell>
          <cell r="G378">
            <v>60</v>
          </cell>
          <cell r="H378">
            <v>60</v>
          </cell>
          <cell r="I378">
            <v>60</v>
          </cell>
          <cell r="J378">
            <v>60</v>
          </cell>
          <cell r="K378">
            <v>60</v>
          </cell>
          <cell r="L378">
            <v>66</v>
          </cell>
          <cell r="M378">
            <v>94</v>
          </cell>
          <cell r="N378">
            <v>60</v>
          </cell>
        </row>
        <row r="379">
          <cell r="A379" t="str">
            <v>South Dakota, 2017</v>
          </cell>
          <cell r="B379" t="str">
            <v>South Dakota</v>
          </cell>
          <cell r="C379">
            <v>2017</v>
          </cell>
          <cell r="D379">
            <v>120</v>
          </cell>
          <cell r="E379">
            <v>60</v>
          </cell>
          <cell r="F379">
            <v>60</v>
          </cell>
          <cell r="G379">
            <v>60</v>
          </cell>
          <cell r="H379">
            <v>60</v>
          </cell>
          <cell r="I379">
            <v>60</v>
          </cell>
          <cell r="J379">
            <v>60</v>
          </cell>
          <cell r="K379">
            <v>60</v>
          </cell>
          <cell r="L379">
            <v>60</v>
          </cell>
          <cell r="M379">
            <v>100</v>
          </cell>
          <cell r="N379">
            <v>60</v>
          </cell>
        </row>
        <row r="380">
          <cell r="A380" t="str">
            <v>Tennessee, 2009</v>
          </cell>
          <cell r="B380" t="str">
            <v>Tennessee</v>
          </cell>
          <cell r="C380">
            <v>2009</v>
          </cell>
          <cell r="D380">
            <v>120</v>
          </cell>
          <cell r="E380">
            <v>60</v>
          </cell>
          <cell r="F380">
            <v>60</v>
          </cell>
          <cell r="G380">
            <v>60</v>
          </cell>
          <cell r="H380">
            <v>66</v>
          </cell>
          <cell r="I380">
            <v>60</v>
          </cell>
          <cell r="J380">
            <v>129</v>
          </cell>
          <cell r="K380">
            <v>165</v>
          </cell>
          <cell r="L380">
            <v>378</v>
          </cell>
          <cell r="M380">
            <v>554</v>
          </cell>
          <cell r="N380">
            <v>60</v>
          </cell>
        </row>
        <row r="381">
          <cell r="A381" t="str">
            <v>Tennessee, 2010</v>
          </cell>
          <cell r="B381" t="str">
            <v>Tennessee</v>
          </cell>
          <cell r="C381">
            <v>2010</v>
          </cell>
          <cell r="D381">
            <v>120</v>
          </cell>
          <cell r="E381">
            <v>60</v>
          </cell>
          <cell r="F381">
            <v>60</v>
          </cell>
          <cell r="G381">
            <v>60</v>
          </cell>
          <cell r="H381">
            <v>60</v>
          </cell>
          <cell r="I381">
            <v>60</v>
          </cell>
          <cell r="J381">
            <v>125</v>
          </cell>
          <cell r="K381">
            <v>209</v>
          </cell>
          <cell r="L381">
            <v>373</v>
          </cell>
          <cell r="M381">
            <v>535</v>
          </cell>
          <cell r="N381">
            <v>60</v>
          </cell>
        </row>
        <row r="382">
          <cell r="A382" t="str">
            <v>Tennessee, 2011</v>
          </cell>
          <cell r="B382" t="str">
            <v>Tennessee</v>
          </cell>
          <cell r="C382">
            <v>2011</v>
          </cell>
          <cell r="D382">
            <v>120</v>
          </cell>
          <cell r="E382">
            <v>60</v>
          </cell>
          <cell r="F382">
            <v>60</v>
          </cell>
          <cell r="G382">
            <v>60</v>
          </cell>
          <cell r="H382">
            <v>77</v>
          </cell>
          <cell r="I382">
            <v>60</v>
          </cell>
          <cell r="J382">
            <v>117</v>
          </cell>
          <cell r="K382">
            <v>236</v>
          </cell>
          <cell r="L382">
            <v>406</v>
          </cell>
          <cell r="M382">
            <v>550</v>
          </cell>
          <cell r="N382">
            <v>60</v>
          </cell>
        </row>
        <row r="383">
          <cell r="A383" t="str">
            <v>Tennessee, 2012</v>
          </cell>
          <cell r="B383" t="str">
            <v>Tennessee</v>
          </cell>
          <cell r="C383">
            <v>2012</v>
          </cell>
          <cell r="D383">
            <v>120</v>
          </cell>
          <cell r="E383">
            <v>60</v>
          </cell>
          <cell r="F383">
            <v>60</v>
          </cell>
          <cell r="G383">
            <v>60</v>
          </cell>
          <cell r="H383">
            <v>60</v>
          </cell>
          <cell r="I383">
            <v>60</v>
          </cell>
          <cell r="J383">
            <v>118</v>
          </cell>
          <cell r="K383">
            <v>216</v>
          </cell>
          <cell r="L383">
            <v>355</v>
          </cell>
          <cell r="M383">
            <v>630</v>
          </cell>
          <cell r="N383">
            <v>60</v>
          </cell>
        </row>
        <row r="384">
          <cell r="A384" t="str">
            <v>Tennessee, 2013</v>
          </cell>
          <cell r="B384" t="str">
            <v>Tennessee</v>
          </cell>
          <cell r="C384">
            <v>2013</v>
          </cell>
          <cell r="D384">
            <v>120</v>
          </cell>
          <cell r="E384">
            <v>60</v>
          </cell>
          <cell r="F384">
            <v>60</v>
          </cell>
          <cell r="G384">
            <v>68</v>
          </cell>
          <cell r="H384">
            <v>75</v>
          </cell>
          <cell r="I384">
            <v>60</v>
          </cell>
          <cell r="J384">
            <v>152</v>
          </cell>
          <cell r="K384">
            <v>252</v>
          </cell>
          <cell r="L384">
            <v>411</v>
          </cell>
          <cell r="M384">
            <v>597</v>
          </cell>
          <cell r="N384">
            <v>60</v>
          </cell>
        </row>
        <row r="385">
          <cell r="A385" t="str">
            <v>Tennessee, 2014</v>
          </cell>
          <cell r="B385" t="str">
            <v>Tennessee</v>
          </cell>
          <cell r="C385">
            <v>2014</v>
          </cell>
          <cell r="D385">
            <v>120</v>
          </cell>
          <cell r="E385">
            <v>60</v>
          </cell>
          <cell r="F385">
            <v>60</v>
          </cell>
          <cell r="G385">
            <v>71</v>
          </cell>
          <cell r="H385">
            <v>104</v>
          </cell>
          <cell r="I385">
            <v>60</v>
          </cell>
          <cell r="J385">
            <v>172</v>
          </cell>
          <cell r="K385">
            <v>257</v>
          </cell>
          <cell r="L385">
            <v>409</v>
          </cell>
          <cell r="M385">
            <v>582</v>
          </cell>
          <cell r="N385">
            <v>60</v>
          </cell>
        </row>
        <row r="386">
          <cell r="A386" t="str">
            <v>Tennessee, 2015</v>
          </cell>
          <cell r="B386" t="str">
            <v>Tennessee</v>
          </cell>
          <cell r="C386">
            <v>2015</v>
          </cell>
          <cell r="D386">
            <v>120</v>
          </cell>
          <cell r="E386">
            <v>60</v>
          </cell>
          <cell r="F386">
            <v>60</v>
          </cell>
          <cell r="G386">
            <v>60</v>
          </cell>
          <cell r="H386">
            <v>77</v>
          </cell>
          <cell r="I386">
            <v>60</v>
          </cell>
          <cell r="J386">
            <v>120</v>
          </cell>
          <cell r="K386">
            <v>308</v>
          </cell>
          <cell r="L386">
            <v>485</v>
          </cell>
          <cell r="M386">
            <v>645</v>
          </cell>
          <cell r="N386">
            <v>60</v>
          </cell>
        </row>
        <row r="387">
          <cell r="A387" t="str">
            <v>Tennessee, 2016</v>
          </cell>
          <cell r="B387" t="str">
            <v>Tennessee</v>
          </cell>
          <cell r="C387">
            <v>2016</v>
          </cell>
          <cell r="D387">
            <v>120</v>
          </cell>
          <cell r="E387">
            <v>60</v>
          </cell>
          <cell r="F387">
            <v>60</v>
          </cell>
          <cell r="G387">
            <v>60</v>
          </cell>
          <cell r="H387">
            <v>82</v>
          </cell>
          <cell r="I387">
            <v>60</v>
          </cell>
          <cell r="J387">
            <v>183</v>
          </cell>
          <cell r="K387">
            <v>281</v>
          </cell>
          <cell r="L387">
            <v>412</v>
          </cell>
          <cell r="M387">
            <v>519</v>
          </cell>
          <cell r="N387">
            <v>60</v>
          </cell>
        </row>
        <row r="388">
          <cell r="A388" t="str">
            <v>Tennessee, 2017</v>
          </cell>
          <cell r="B388" t="str">
            <v>Tennessee</v>
          </cell>
          <cell r="C388">
            <v>2017</v>
          </cell>
          <cell r="D388">
            <v>120</v>
          </cell>
          <cell r="E388">
            <v>60</v>
          </cell>
          <cell r="F388">
            <v>60</v>
          </cell>
          <cell r="G388">
            <v>60</v>
          </cell>
          <cell r="H388">
            <v>88</v>
          </cell>
          <cell r="I388">
            <v>60</v>
          </cell>
          <cell r="J388">
            <v>167</v>
          </cell>
          <cell r="K388">
            <v>337</v>
          </cell>
          <cell r="L388">
            <v>439</v>
          </cell>
          <cell r="M388">
            <v>545</v>
          </cell>
          <cell r="N388">
            <v>60</v>
          </cell>
        </row>
        <row r="389">
          <cell r="A389" t="str">
            <v>Texas, 2009</v>
          </cell>
          <cell r="B389" t="str">
            <v>Texas</v>
          </cell>
          <cell r="C389">
            <v>2009</v>
          </cell>
          <cell r="D389">
            <v>120</v>
          </cell>
          <cell r="E389">
            <v>60</v>
          </cell>
          <cell r="F389">
            <v>82</v>
          </cell>
          <cell r="G389">
            <v>121</v>
          </cell>
          <cell r="H389">
            <v>226</v>
          </cell>
          <cell r="I389">
            <v>60</v>
          </cell>
          <cell r="J389">
            <v>317</v>
          </cell>
          <cell r="K389">
            <v>415</v>
          </cell>
          <cell r="L389">
            <v>852</v>
          </cell>
          <cell r="M389">
            <v>1245</v>
          </cell>
          <cell r="N389">
            <v>60</v>
          </cell>
        </row>
        <row r="390">
          <cell r="A390" t="str">
            <v>Texas, 2010</v>
          </cell>
          <cell r="B390" t="str">
            <v>Texas</v>
          </cell>
          <cell r="C390">
            <v>2010</v>
          </cell>
          <cell r="D390">
            <v>120</v>
          </cell>
          <cell r="E390">
            <v>60</v>
          </cell>
          <cell r="F390">
            <v>60</v>
          </cell>
          <cell r="G390">
            <v>72</v>
          </cell>
          <cell r="H390">
            <v>151</v>
          </cell>
          <cell r="I390">
            <v>60</v>
          </cell>
          <cell r="J390">
            <v>266</v>
          </cell>
          <cell r="K390">
            <v>390</v>
          </cell>
          <cell r="L390">
            <v>826</v>
          </cell>
          <cell r="M390">
            <v>1219</v>
          </cell>
          <cell r="N390">
            <v>60</v>
          </cell>
        </row>
        <row r="391">
          <cell r="A391" t="str">
            <v>Texas, 2011</v>
          </cell>
          <cell r="B391" t="str">
            <v>Texas</v>
          </cell>
          <cell r="C391">
            <v>2011</v>
          </cell>
          <cell r="D391">
            <v>120</v>
          </cell>
          <cell r="E391">
            <v>60</v>
          </cell>
          <cell r="F391">
            <v>60</v>
          </cell>
          <cell r="G391">
            <v>69</v>
          </cell>
          <cell r="H391">
            <v>136</v>
          </cell>
          <cell r="I391">
            <v>60</v>
          </cell>
          <cell r="J391">
            <v>280</v>
          </cell>
          <cell r="K391">
            <v>405</v>
          </cell>
          <cell r="L391">
            <v>803</v>
          </cell>
          <cell r="M391">
            <v>1265</v>
          </cell>
          <cell r="N391">
            <v>60</v>
          </cell>
        </row>
        <row r="392">
          <cell r="A392" t="str">
            <v>Texas, 2012</v>
          </cell>
          <cell r="B392" t="str">
            <v>Texas</v>
          </cell>
          <cell r="C392">
            <v>2012</v>
          </cell>
          <cell r="D392">
            <v>120</v>
          </cell>
          <cell r="E392">
            <v>60</v>
          </cell>
          <cell r="F392">
            <v>60</v>
          </cell>
          <cell r="G392">
            <v>74</v>
          </cell>
          <cell r="H392">
            <v>131</v>
          </cell>
          <cell r="I392">
            <v>60</v>
          </cell>
          <cell r="J392">
            <v>255</v>
          </cell>
          <cell r="K392">
            <v>440</v>
          </cell>
          <cell r="L392">
            <v>784</v>
          </cell>
          <cell r="M392">
            <v>1211</v>
          </cell>
          <cell r="N392">
            <v>60</v>
          </cell>
        </row>
        <row r="393">
          <cell r="A393" t="str">
            <v>Texas, 2013</v>
          </cell>
          <cell r="B393" t="str">
            <v>Texas</v>
          </cell>
          <cell r="C393">
            <v>2013</v>
          </cell>
          <cell r="D393">
            <v>120</v>
          </cell>
          <cell r="E393">
            <v>60</v>
          </cell>
          <cell r="F393">
            <v>70</v>
          </cell>
          <cell r="G393">
            <v>92</v>
          </cell>
          <cell r="H393">
            <v>185</v>
          </cell>
          <cell r="I393">
            <v>60</v>
          </cell>
          <cell r="J393">
            <v>365</v>
          </cell>
          <cell r="K393">
            <v>490</v>
          </cell>
          <cell r="L393">
            <v>841</v>
          </cell>
          <cell r="M393">
            <v>1277</v>
          </cell>
          <cell r="N393">
            <v>60</v>
          </cell>
        </row>
        <row r="394">
          <cell r="A394" t="str">
            <v>Texas, 2014</v>
          </cell>
          <cell r="B394" t="str">
            <v>Texas</v>
          </cell>
          <cell r="C394">
            <v>2014</v>
          </cell>
          <cell r="D394">
            <v>120</v>
          </cell>
          <cell r="E394">
            <v>60</v>
          </cell>
          <cell r="F394">
            <v>90</v>
          </cell>
          <cell r="G394">
            <v>116</v>
          </cell>
          <cell r="H394">
            <v>205</v>
          </cell>
          <cell r="I394">
            <v>60</v>
          </cell>
          <cell r="J394">
            <v>458</v>
          </cell>
          <cell r="K394">
            <v>533</v>
          </cell>
          <cell r="L394">
            <v>829</v>
          </cell>
          <cell r="M394">
            <v>1190</v>
          </cell>
          <cell r="N394">
            <v>60</v>
          </cell>
        </row>
        <row r="395">
          <cell r="A395" t="str">
            <v>Texas, 2015</v>
          </cell>
          <cell r="B395" t="str">
            <v>Texas</v>
          </cell>
          <cell r="C395">
            <v>2015</v>
          </cell>
          <cell r="D395">
            <v>120</v>
          </cell>
          <cell r="E395">
            <v>60</v>
          </cell>
          <cell r="F395">
            <v>65</v>
          </cell>
          <cell r="G395">
            <v>65</v>
          </cell>
          <cell r="H395">
            <v>162</v>
          </cell>
          <cell r="I395">
            <v>60</v>
          </cell>
          <cell r="J395">
            <v>318</v>
          </cell>
          <cell r="K395">
            <v>496</v>
          </cell>
          <cell r="L395">
            <v>826</v>
          </cell>
          <cell r="M395">
            <v>1253</v>
          </cell>
          <cell r="N395">
            <v>60</v>
          </cell>
        </row>
        <row r="396">
          <cell r="A396" t="str">
            <v>Texas, 2016</v>
          </cell>
          <cell r="B396" t="str">
            <v>Texas</v>
          </cell>
          <cell r="C396">
            <v>2016</v>
          </cell>
          <cell r="D396">
            <v>120</v>
          </cell>
          <cell r="E396">
            <v>60</v>
          </cell>
          <cell r="F396">
            <v>60</v>
          </cell>
          <cell r="G396">
            <v>74</v>
          </cell>
          <cell r="H396">
            <v>120</v>
          </cell>
          <cell r="I396">
            <v>60</v>
          </cell>
          <cell r="J396">
            <v>320</v>
          </cell>
          <cell r="K396">
            <v>518</v>
          </cell>
          <cell r="L396">
            <v>716</v>
          </cell>
          <cell r="M396">
            <v>1026</v>
          </cell>
          <cell r="N396">
            <v>60</v>
          </cell>
        </row>
        <row r="397">
          <cell r="A397" t="str">
            <v>Texas, 2017</v>
          </cell>
          <cell r="B397" t="str">
            <v>Texas</v>
          </cell>
          <cell r="C397">
            <v>2017</v>
          </cell>
          <cell r="D397">
            <v>120</v>
          </cell>
          <cell r="E397">
            <v>60</v>
          </cell>
          <cell r="F397">
            <v>60</v>
          </cell>
          <cell r="G397">
            <v>71</v>
          </cell>
          <cell r="H397">
            <v>167</v>
          </cell>
          <cell r="I397">
            <v>60</v>
          </cell>
          <cell r="J397">
            <v>326</v>
          </cell>
          <cell r="K397">
            <v>518</v>
          </cell>
          <cell r="L397">
            <v>741</v>
          </cell>
          <cell r="M397">
            <v>1031</v>
          </cell>
          <cell r="N397">
            <v>60</v>
          </cell>
        </row>
        <row r="398">
          <cell r="A398" t="str">
            <v>Utah, 2009</v>
          </cell>
          <cell r="B398" t="str">
            <v>Utah</v>
          </cell>
          <cell r="C398">
            <v>2009</v>
          </cell>
          <cell r="D398">
            <v>120</v>
          </cell>
          <cell r="E398">
            <v>60</v>
          </cell>
          <cell r="F398">
            <v>60</v>
          </cell>
          <cell r="G398">
            <v>60</v>
          </cell>
          <cell r="H398">
            <v>60</v>
          </cell>
          <cell r="I398">
            <v>60</v>
          </cell>
          <cell r="J398">
            <v>60</v>
          </cell>
          <cell r="K398">
            <v>60</v>
          </cell>
          <cell r="L398">
            <v>72</v>
          </cell>
          <cell r="M398">
            <v>118</v>
          </cell>
          <cell r="N398">
            <v>60</v>
          </cell>
        </row>
        <row r="399">
          <cell r="A399" t="str">
            <v>Utah, 2010</v>
          </cell>
          <cell r="B399" t="str">
            <v>Utah</v>
          </cell>
          <cell r="C399">
            <v>2010</v>
          </cell>
          <cell r="D399">
            <v>120</v>
          </cell>
          <cell r="E399">
            <v>60</v>
          </cell>
          <cell r="F399">
            <v>60</v>
          </cell>
          <cell r="G399">
            <v>60</v>
          </cell>
          <cell r="H399">
            <v>60</v>
          </cell>
          <cell r="I399">
            <v>60</v>
          </cell>
          <cell r="J399">
            <v>60</v>
          </cell>
          <cell r="K399">
            <v>60</v>
          </cell>
          <cell r="L399">
            <v>81</v>
          </cell>
          <cell r="M399">
            <v>152</v>
          </cell>
          <cell r="N399">
            <v>60</v>
          </cell>
        </row>
        <row r="400">
          <cell r="A400" t="str">
            <v>Utah, 2011</v>
          </cell>
          <cell r="B400" t="str">
            <v>Utah</v>
          </cell>
          <cell r="C400">
            <v>2011</v>
          </cell>
          <cell r="D400">
            <v>120</v>
          </cell>
          <cell r="E400">
            <v>60</v>
          </cell>
          <cell r="F400">
            <v>60</v>
          </cell>
          <cell r="G400">
            <v>60</v>
          </cell>
          <cell r="H400">
            <v>60</v>
          </cell>
          <cell r="I400">
            <v>60</v>
          </cell>
          <cell r="J400">
            <v>60</v>
          </cell>
          <cell r="K400">
            <v>60</v>
          </cell>
          <cell r="L400">
            <v>81</v>
          </cell>
          <cell r="M400">
            <v>155</v>
          </cell>
          <cell r="N400">
            <v>60</v>
          </cell>
        </row>
        <row r="401">
          <cell r="A401" t="str">
            <v>Utah, 2012</v>
          </cell>
          <cell r="B401" t="str">
            <v>Utah</v>
          </cell>
          <cell r="C401">
            <v>2012</v>
          </cell>
          <cell r="D401">
            <v>120</v>
          </cell>
          <cell r="E401">
            <v>60</v>
          </cell>
          <cell r="F401">
            <v>60</v>
          </cell>
          <cell r="G401">
            <v>60</v>
          </cell>
          <cell r="H401">
            <v>60</v>
          </cell>
          <cell r="I401">
            <v>60</v>
          </cell>
          <cell r="J401">
            <v>60</v>
          </cell>
          <cell r="K401">
            <v>60</v>
          </cell>
          <cell r="L401">
            <v>79</v>
          </cell>
          <cell r="M401">
            <v>143</v>
          </cell>
          <cell r="N401">
            <v>60</v>
          </cell>
        </row>
        <row r="402">
          <cell r="A402" t="str">
            <v>Utah, 2013</v>
          </cell>
          <cell r="B402" t="str">
            <v>Utah</v>
          </cell>
          <cell r="C402">
            <v>2013</v>
          </cell>
          <cell r="D402">
            <v>120</v>
          </cell>
          <cell r="E402">
            <v>60</v>
          </cell>
          <cell r="F402">
            <v>60</v>
          </cell>
          <cell r="G402">
            <v>60</v>
          </cell>
          <cell r="H402">
            <v>60</v>
          </cell>
          <cell r="I402">
            <v>60</v>
          </cell>
          <cell r="J402">
            <v>60</v>
          </cell>
          <cell r="K402">
            <v>60</v>
          </cell>
          <cell r="L402">
            <v>108</v>
          </cell>
          <cell r="M402">
            <v>177</v>
          </cell>
          <cell r="N402">
            <v>60</v>
          </cell>
        </row>
        <row r="403">
          <cell r="A403" t="str">
            <v>Utah, 2014</v>
          </cell>
          <cell r="B403" t="str">
            <v>Utah</v>
          </cell>
          <cell r="C403">
            <v>2014</v>
          </cell>
          <cell r="D403">
            <v>120</v>
          </cell>
          <cell r="E403">
            <v>60</v>
          </cell>
          <cell r="F403">
            <v>60</v>
          </cell>
          <cell r="G403">
            <v>60</v>
          </cell>
          <cell r="H403">
            <v>60</v>
          </cell>
          <cell r="I403">
            <v>60</v>
          </cell>
          <cell r="J403">
            <v>60</v>
          </cell>
          <cell r="K403">
            <v>60</v>
          </cell>
          <cell r="L403">
            <v>94</v>
          </cell>
          <cell r="M403">
            <v>147</v>
          </cell>
          <cell r="N403">
            <v>60</v>
          </cell>
        </row>
        <row r="404">
          <cell r="A404" t="str">
            <v>Utah, 2015</v>
          </cell>
          <cell r="B404" t="str">
            <v>Utah</v>
          </cell>
          <cell r="C404">
            <v>2015</v>
          </cell>
          <cell r="D404">
            <v>120</v>
          </cell>
          <cell r="E404">
            <v>60</v>
          </cell>
          <cell r="F404">
            <v>60</v>
          </cell>
          <cell r="G404">
            <v>60</v>
          </cell>
          <cell r="H404">
            <v>60</v>
          </cell>
          <cell r="I404">
            <v>60</v>
          </cell>
          <cell r="J404">
            <v>60</v>
          </cell>
          <cell r="K404">
            <v>60</v>
          </cell>
          <cell r="L404">
            <v>79</v>
          </cell>
          <cell r="M404">
            <v>161</v>
          </cell>
          <cell r="N404">
            <v>60</v>
          </cell>
        </row>
        <row r="405">
          <cell r="A405" t="str">
            <v>Utah, 2016</v>
          </cell>
          <cell r="B405" t="str">
            <v>Utah</v>
          </cell>
          <cell r="C405">
            <v>2016</v>
          </cell>
          <cell r="D405">
            <v>120</v>
          </cell>
          <cell r="E405">
            <v>60</v>
          </cell>
          <cell r="F405">
            <v>60</v>
          </cell>
          <cell r="G405">
            <v>60</v>
          </cell>
          <cell r="H405">
            <v>60</v>
          </cell>
          <cell r="I405">
            <v>60</v>
          </cell>
          <cell r="J405">
            <v>60</v>
          </cell>
          <cell r="K405">
            <v>60</v>
          </cell>
          <cell r="L405">
            <v>83</v>
          </cell>
          <cell r="M405">
            <v>160</v>
          </cell>
          <cell r="N405">
            <v>60</v>
          </cell>
        </row>
        <row r="406">
          <cell r="A406" t="str">
            <v>Utah, 2017</v>
          </cell>
          <cell r="B406" t="str">
            <v>Utah</v>
          </cell>
          <cell r="C406">
            <v>2017</v>
          </cell>
          <cell r="D406">
            <v>120</v>
          </cell>
          <cell r="E406">
            <v>60</v>
          </cell>
          <cell r="F406">
            <v>60</v>
          </cell>
          <cell r="G406">
            <v>60</v>
          </cell>
          <cell r="H406">
            <v>60</v>
          </cell>
          <cell r="I406">
            <v>60</v>
          </cell>
          <cell r="J406">
            <v>60</v>
          </cell>
          <cell r="K406">
            <v>60</v>
          </cell>
          <cell r="L406">
            <v>87</v>
          </cell>
          <cell r="M406">
            <v>107</v>
          </cell>
          <cell r="N406">
            <v>60</v>
          </cell>
        </row>
        <row r="407">
          <cell r="A407" t="str">
            <v>Vermont, 2009</v>
          </cell>
          <cell r="B407" t="str">
            <v>Vermont</v>
          </cell>
          <cell r="C407">
            <v>2009</v>
          </cell>
          <cell r="D407">
            <v>120</v>
          </cell>
          <cell r="E407">
            <v>60</v>
          </cell>
          <cell r="F407">
            <v>60</v>
          </cell>
          <cell r="G407">
            <v>60</v>
          </cell>
          <cell r="H407">
            <v>60</v>
          </cell>
          <cell r="I407">
            <v>60</v>
          </cell>
          <cell r="J407">
            <v>60</v>
          </cell>
          <cell r="K407">
            <v>60</v>
          </cell>
          <cell r="L407">
            <v>60</v>
          </cell>
          <cell r="M407">
            <v>60</v>
          </cell>
          <cell r="N407">
            <v>60</v>
          </cell>
        </row>
        <row r="408">
          <cell r="A408" t="str">
            <v>Vermont, 2010</v>
          </cell>
          <cell r="B408" t="str">
            <v>Vermont</v>
          </cell>
          <cell r="C408">
            <v>2010</v>
          </cell>
          <cell r="D408">
            <v>120</v>
          </cell>
          <cell r="E408">
            <v>60</v>
          </cell>
          <cell r="F408">
            <v>60</v>
          </cell>
          <cell r="G408">
            <v>60</v>
          </cell>
          <cell r="H408">
            <v>60</v>
          </cell>
          <cell r="I408">
            <v>60</v>
          </cell>
          <cell r="J408">
            <v>60</v>
          </cell>
          <cell r="K408">
            <v>60</v>
          </cell>
          <cell r="L408">
            <v>60</v>
          </cell>
          <cell r="M408">
            <v>60</v>
          </cell>
          <cell r="N408">
            <v>60</v>
          </cell>
        </row>
        <row r="409">
          <cell r="A409" t="str">
            <v>Vermont, 2011</v>
          </cell>
          <cell r="B409" t="str">
            <v>Vermont</v>
          </cell>
          <cell r="C409">
            <v>2011</v>
          </cell>
          <cell r="D409">
            <v>120</v>
          </cell>
          <cell r="E409">
            <v>60</v>
          </cell>
          <cell r="F409">
            <v>60</v>
          </cell>
          <cell r="G409">
            <v>60</v>
          </cell>
          <cell r="H409">
            <v>60</v>
          </cell>
          <cell r="I409">
            <v>60</v>
          </cell>
          <cell r="J409">
            <v>60</v>
          </cell>
          <cell r="K409">
            <v>60</v>
          </cell>
          <cell r="L409">
            <v>60</v>
          </cell>
          <cell r="M409">
            <v>60</v>
          </cell>
          <cell r="N409">
            <v>60</v>
          </cell>
        </row>
        <row r="410">
          <cell r="A410" t="str">
            <v>Vermont, 2012</v>
          </cell>
          <cell r="B410" t="str">
            <v>Vermont</v>
          </cell>
          <cell r="C410">
            <v>2012</v>
          </cell>
          <cell r="D410">
            <v>120</v>
          </cell>
          <cell r="E410">
            <v>60</v>
          </cell>
          <cell r="F410">
            <v>60</v>
          </cell>
          <cell r="G410">
            <v>60</v>
          </cell>
          <cell r="H410">
            <v>60</v>
          </cell>
          <cell r="I410">
            <v>60</v>
          </cell>
          <cell r="J410">
            <v>60</v>
          </cell>
          <cell r="K410">
            <v>60</v>
          </cell>
          <cell r="L410">
            <v>60</v>
          </cell>
          <cell r="M410">
            <v>60</v>
          </cell>
          <cell r="N410">
            <v>60</v>
          </cell>
        </row>
        <row r="411">
          <cell r="A411" t="str">
            <v>Vermont, 2013</v>
          </cell>
          <cell r="B411" t="str">
            <v>Vermont</v>
          </cell>
          <cell r="C411">
            <v>2013</v>
          </cell>
          <cell r="D411">
            <v>120</v>
          </cell>
          <cell r="E411">
            <v>60</v>
          </cell>
          <cell r="F411">
            <v>60</v>
          </cell>
          <cell r="G411">
            <v>60</v>
          </cell>
          <cell r="H411">
            <v>60</v>
          </cell>
          <cell r="I411">
            <v>60</v>
          </cell>
          <cell r="J411">
            <v>60</v>
          </cell>
          <cell r="K411">
            <v>60</v>
          </cell>
          <cell r="L411">
            <v>60</v>
          </cell>
          <cell r="M411">
            <v>60</v>
          </cell>
          <cell r="N411">
            <v>60</v>
          </cell>
        </row>
        <row r="412">
          <cell r="A412" t="str">
            <v>Vermont, 2014</v>
          </cell>
          <cell r="B412" t="str">
            <v>Vermont</v>
          </cell>
          <cell r="C412">
            <v>2014</v>
          </cell>
          <cell r="D412">
            <v>120</v>
          </cell>
          <cell r="E412">
            <v>60</v>
          </cell>
          <cell r="F412">
            <v>60</v>
          </cell>
          <cell r="G412">
            <v>60</v>
          </cell>
          <cell r="H412">
            <v>60</v>
          </cell>
          <cell r="I412">
            <v>60</v>
          </cell>
          <cell r="J412">
            <v>60</v>
          </cell>
          <cell r="K412">
            <v>60</v>
          </cell>
          <cell r="L412">
            <v>60</v>
          </cell>
          <cell r="M412">
            <v>60</v>
          </cell>
          <cell r="N412">
            <v>60</v>
          </cell>
        </row>
        <row r="413">
          <cell r="A413" t="str">
            <v>Vermont, 2015</v>
          </cell>
          <cell r="B413" t="str">
            <v>Vermont</v>
          </cell>
          <cell r="C413">
            <v>2015</v>
          </cell>
          <cell r="D413">
            <v>120</v>
          </cell>
          <cell r="E413">
            <v>60</v>
          </cell>
          <cell r="F413">
            <v>60</v>
          </cell>
          <cell r="G413">
            <v>60</v>
          </cell>
          <cell r="H413">
            <v>60</v>
          </cell>
          <cell r="I413">
            <v>60</v>
          </cell>
          <cell r="J413">
            <v>60</v>
          </cell>
          <cell r="K413">
            <v>60</v>
          </cell>
          <cell r="L413">
            <v>60</v>
          </cell>
          <cell r="M413">
            <v>75</v>
          </cell>
          <cell r="N413">
            <v>60</v>
          </cell>
        </row>
        <row r="414">
          <cell r="A414" t="str">
            <v>Vermont, 2016</v>
          </cell>
          <cell r="B414" t="str">
            <v>Vermont</v>
          </cell>
          <cell r="C414">
            <v>2016</v>
          </cell>
          <cell r="D414">
            <v>120</v>
          </cell>
          <cell r="E414">
            <v>60</v>
          </cell>
          <cell r="F414">
            <v>60</v>
          </cell>
          <cell r="G414">
            <v>60</v>
          </cell>
          <cell r="H414">
            <v>60</v>
          </cell>
          <cell r="I414">
            <v>60</v>
          </cell>
          <cell r="J414">
            <v>60</v>
          </cell>
          <cell r="K414">
            <v>60</v>
          </cell>
          <cell r="L414">
            <v>60</v>
          </cell>
          <cell r="M414">
            <v>60</v>
          </cell>
          <cell r="N414">
            <v>60</v>
          </cell>
        </row>
        <row r="415">
          <cell r="A415" t="str">
            <v>Vermont, 2017</v>
          </cell>
          <cell r="B415" t="str">
            <v>Vermont</v>
          </cell>
          <cell r="C415">
            <v>2017</v>
          </cell>
          <cell r="D415">
            <v>120</v>
          </cell>
          <cell r="E415">
            <v>60</v>
          </cell>
          <cell r="F415">
            <v>60</v>
          </cell>
          <cell r="G415">
            <v>60</v>
          </cell>
          <cell r="H415">
            <v>60</v>
          </cell>
          <cell r="I415">
            <v>60</v>
          </cell>
          <cell r="J415">
            <v>60</v>
          </cell>
          <cell r="K415">
            <v>60</v>
          </cell>
          <cell r="L415">
            <v>60</v>
          </cell>
          <cell r="M415">
            <v>60</v>
          </cell>
          <cell r="N415">
            <v>60</v>
          </cell>
        </row>
        <row r="416">
          <cell r="A416" t="str">
            <v>Virginia, 2009</v>
          </cell>
          <cell r="B416" t="str">
            <v>Virginia</v>
          </cell>
          <cell r="C416">
            <v>2009</v>
          </cell>
          <cell r="D416">
            <v>120</v>
          </cell>
          <cell r="E416">
            <v>60</v>
          </cell>
          <cell r="F416">
            <v>60</v>
          </cell>
          <cell r="G416">
            <v>60</v>
          </cell>
          <cell r="H416">
            <v>65</v>
          </cell>
          <cell r="I416">
            <v>60</v>
          </cell>
          <cell r="J416">
            <v>79</v>
          </cell>
          <cell r="K416">
            <v>130</v>
          </cell>
          <cell r="L416">
            <v>351</v>
          </cell>
          <cell r="M416">
            <v>550</v>
          </cell>
          <cell r="N416">
            <v>60</v>
          </cell>
        </row>
        <row r="417">
          <cell r="A417" t="str">
            <v>Virginia, 2010</v>
          </cell>
          <cell r="B417" t="str">
            <v>Virginia</v>
          </cell>
          <cell r="C417">
            <v>2010</v>
          </cell>
          <cell r="D417">
            <v>120</v>
          </cell>
          <cell r="E417">
            <v>60</v>
          </cell>
          <cell r="F417">
            <v>60</v>
          </cell>
          <cell r="G417">
            <v>60</v>
          </cell>
          <cell r="H417">
            <v>60</v>
          </cell>
          <cell r="I417">
            <v>60</v>
          </cell>
          <cell r="J417">
            <v>60</v>
          </cell>
          <cell r="K417">
            <v>133</v>
          </cell>
          <cell r="L417">
            <v>329</v>
          </cell>
          <cell r="M417">
            <v>581</v>
          </cell>
          <cell r="N417">
            <v>60</v>
          </cell>
        </row>
        <row r="418">
          <cell r="A418" t="str">
            <v>Virginia, 2011</v>
          </cell>
          <cell r="B418" t="str">
            <v>Virginia</v>
          </cell>
          <cell r="C418">
            <v>2011</v>
          </cell>
          <cell r="D418">
            <v>120</v>
          </cell>
          <cell r="E418">
            <v>60</v>
          </cell>
          <cell r="F418">
            <v>60</v>
          </cell>
          <cell r="G418">
            <v>60</v>
          </cell>
          <cell r="H418">
            <v>74</v>
          </cell>
          <cell r="I418">
            <v>60</v>
          </cell>
          <cell r="J418">
            <v>92</v>
          </cell>
          <cell r="K418">
            <v>197</v>
          </cell>
          <cell r="L418">
            <v>346</v>
          </cell>
          <cell r="M418">
            <v>661</v>
          </cell>
          <cell r="N418">
            <v>60</v>
          </cell>
        </row>
        <row r="419">
          <cell r="A419" t="str">
            <v>Virginia, 2012</v>
          </cell>
          <cell r="B419" t="str">
            <v>Virginia</v>
          </cell>
          <cell r="C419">
            <v>2012</v>
          </cell>
          <cell r="D419">
            <v>120</v>
          </cell>
          <cell r="E419">
            <v>60</v>
          </cell>
          <cell r="F419">
            <v>60</v>
          </cell>
          <cell r="G419">
            <v>60</v>
          </cell>
          <cell r="H419">
            <v>60</v>
          </cell>
          <cell r="I419">
            <v>60</v>
          </cell>
          <cell r="J419">
            <v>70</v>
          </cell>
          <cell r="K419">
            <v>138</v>
          </cell>
          <cell r="L419">
            <v>330</v>
          </cell>
          <cell r="M419">
            <v>643</v>
          </cell>
          <cell r="N419">
            <v>60</v>
          </cell>
        </row>
        <row r="420">
          <cell r="A420" t="str">
            <v>Virginia, 2013</v>
          </cell>
          <cell r="B420" t="str">
            <v>Virginia</v>
          </cell>
          <cell r="C420">
            <v>2013</v>
          </cell>
          <cell r="D420">
            <v>120</v>
          </cell>
          <cell r="E420">
            <v>60</v>
          </cell>
          <cell r="F420">
            <v>60</v>
          </cell>
          <cell r="G420">
            <v>60</v>
          </cell>
          <cell r="H420">
            <v>65</v>
          </cell>
          <cell r="I420">
            <v>60</v>
          </cell>
          <cell r="J420">
            <v>81</v>
          </cell>
          <cell r="K420">
            <v>200</v>
          </cell>
          <cell r="L420">
            <v>382</v>
          </cell>
          <cell r="M420">
            <v>649</v>
          </cell>
          <cell r="N420">
            <v>60</v>
          </cell>
        </row>
        <row r="421">
          <cell r="A421" t="str">
            <v>Virginia, 2014</v>
          </cell>
          <cell r="B421" t="str">
            <v>Virginia</v>
          </cell>
          <cell r="C421">
            <v>2014</v>
          </cell>
          <cell r="D421">
            <v>120</v>
          </cell>
          <cell r="E421">
            <v>60</v>
          </cell>
          <cell r="F421">
            <v>60</v>
          </cell>
          <cell r="G421">
            <v>66</v>
          </cell>
          <cell r="H421">
            <v>79</v>
          </cell>
          <cell r="I421">
            <v>60</v>
          </cell>
          <cell r="J421">
            <v>124</v>
          </cell>
          <cell r="K421">
            <v>237</v>
          </cell>
          <cell r="L421">
            <v>372</v>
          </cell>
          <cell r="M421">
            <v>620</v>
          </cell>
          <cell r="N421">
            <v>60</v>
          </cell>
        </row>
        <row r="422">
          <cell r="A422" t="str">
            <v>Virginia, 2015</v>
          </cell>
          <cell r="B422" t="str">
            <v>Virginia</v>
          </cell>
          <cell r="C422">
            <v>2015</v>
          </cell>
          <cell r="D422">
            <v>120</v>
          </cell>
          <cell r="E422">
            <v>60</v>
          </cell>
          <cell r="F422">
            <v>60</v>
          </cell>
          <cell r="G422">
            <v>60</v>
          </cell>
          <cell r="H422">
            <v>60</v>
          </cell>
          <cell r="I422">
            <v>60</v>
          </cell>
          <cell r="J422">
            <v>121</v>
          </cell>
          <cell r="K422">
            <v>224</v>
          </cell>
          <cell r="L422">
            <v>350</v>
          </cell>
          <cell r="M422">
            <v>632</v>
          </cell>
          <cell r="N422">
            <v>60</v>
          </cell>
        </row>
        <row r="423">
          <cell r="A423" t="str">
            <v>Virginia, 2016</v>
          </cell>
          <cell r="B423" t="str">
            <v>Virginia</v>
          </cell>
          <cell r="C423">
            <v>2016</v>
          </cell>
          <cell r="D423">
            <v>120</v>
          </cell>
          <cell r="E423">
            <v>60</v>
          </cell>
          <cell r="F423">
            <v>60</v>
          </cell>
          <cell r="G423">
            <v>60</v>
          </cell>
          <cell r="H423">
            <v>60</v>
          </cell>
          <cell r="I423">
            <v>60</v>
          </cell>
          <cell r="J423">
            <v>110</v>
          </cell>
          <cell r="K423">
            <v>193</v>
          </cell>
          <cell r="L423">
            <v>295</v>
          </cell>
          <cell r="M423">
            <v>494</v>
          </cell>
          <cell r="N423">
            <v>60</v>
          </cell>
        </row>
        <row r="424">
          <cell r="A424" t="str">
            <v>Virginia, 2017</v>
          </cell>
          <cell r="B424" t="str">
            <v>Virginia</v>
          </cell>
          <cell r="C424">
            <v>2017</v>
          </cell>
          <cell r="D424">
            <v>120</v>
          </cell>
          <cell r="E424">
            <v>60</v>
          </cell>
          <cell r="F424">
            <v>60</v>
          </cell>
          <cell r="G424">
            <v>60</v>
          </cell>
          <cell r="H424">
            <v>68</v>
          </cell>
          <cell r="I424">
            <v>60</v>
          </cell>
          <cell r="J424">
            <v>107</v>
          </cell>
          <cell r="K424">
            <v>211</v>
          </cell>
          <cell r="L424">
            <v>315</v>
          </cell>
          <cell r="M424">
            <v>511</v>
          </cell>
          <cell r="N424">
            <v>60</v>
          </cell>
        </row>
        <row r="425">
          <cell r="A425" t="str">
            <v>Washington, 2009</v>
          </cell>
          <cell r="B425" t="str">
            <v>Washington</v>
          </cell>
          <cell r="C425">
            <v>2009</v>
          </cell>
          <cell r="D425">
            <v>120</v>
          </cell>
          <cell r="E425">
            <v>60</v>
          </cell>
          <cell r="F425">
            <v>60</v>
          </cell>
          <cell r="G425">
            <v>60</v>
          </cell>
          <cell r="H425">
            <v>83</v>
          </cell>
          <cell r="I425">
            <v>60</v>
          </cell>
          <cell r="J425">
            <v>73</v>
          </cell>
          <cell r="K425">
            <v>76</v>
          </cell>
          <cell r="L425">
            <v>154</v>
          </cell>
          <cell r="M425">
            <v>320</v>
          </cell>
          <cell r="N425">
            <v>60</v>
          </cell>
        </row>
        <row r="426">
          <cell r="A426" t="str">
            <v>Washington, 2010</v>
          </cell>
          <cell r="B426" t="str">
            <v>Washington</v>
          </cell>
          <cell r="C426">
            <v>2010</v>
          </cell>
          <cell r="D426">
            <v>120</v>
          </cell>
          <cell r="E426">
            <v>60</v>
          </cell>
          <cell r="F426">
            <v>60</v>
          </cell>
          <cell r="G426">
            <v>60</v>
          </cell>
          <cell r="H426">
            <v>60</v>
          </cell>
          <cell r="I426">
            <v>60</v>
          </cell>
          <cell r="J426">
            <v>66</v>
          </cell>
          <cell r="K426">
            <v>60</v>
          </cell>
          <cell r="L426">
            <v>122</v>
          </cell>
          <cell r="M426">
            <v>298</v>
          </cell>
          <cell r="N426">
            <v>60</v>
          </cell>
        </row>
        <row r="427">
          <cell r="A427" t="str">
            <v>Washington, 2011</v>
          </cell>
          <cell r="B427" t="str">
            <v>Washington</v>
          </cell>
          <cell r="C427">
            <v>2011</v>
          </cell>
          <cell r="D427">
            <v>120</v>
          </cell>
          <cell r="E427">
            <v>60</v>
          </cell>
          <cell r="F427">
            <v>60</v>
          </cell>
          <cell r="G427">
            <v>60</v>
          </cell>
          <cell r="H427">
            <v>60</v>
          </cell>
          <cell r="I427">
            <v>60</v>
          </cell>
          <cell r="J427">
            <v>67</v>
          </cell>
          <cell r="K427">
            <v>86</v>
          </cell>
          <cell r="L427">
            <v>168</v>
          </cell>
          <cell r="M427">
            <v>365</v>
          </cell>
          <cell r="N427">
            <v>60</v>
          </cell>
        </row>
        <row r="428">
          <cell r="A428" t="str">
            <v>Washington, 2012</v>
          </cell>
          <cell r="B428" t="str">
            <v>Washington</v>
          </cell>
          <cell r="C428">
            <v>2012</v>
          </cell>
          <cell r="D428">
            <v>120</v>
          </cell>
          <cell r="E428">
            <v>60</v>
          </cell>
          <cell r="F428">
            <v>60</v>
          </cell>
          <cell r="G428">
            <v>60</v>
          </cell>
          <cell r="H428">
            <v>60</v>
          </cell>
          <cell r="I428">
            <v>60</v>
          </cell>
          <cell r="J428">
            <v>60</v>
          </cell>
          <cell r="K428">
            <v>65</v>
          </cell>
          <cell r="L428">
            <v>165</v>
          </cell>
          <cell r="M428">
            <v>356</v>
          </cell>
          <cell r="N428">
            <v>60</v>
          </cell>
        </row>
        <row r="429">
          <cell r="A429" t="str">
            <v>Washington, 2013</v>
          </cell>
          <cell r="B429" t="str">
            <v>Washington</v>
          </cell>
          <cell r="C429">
            <v>2013</v>
          </cell>
          <cell r="D429">
            <v>120</v>
          </cell>
          <cell r="E429">
            <v>60</v>
          </cell>
          <cell r="F429">
            <v>60</v>
          </cell>
          <cell r="G429">
            <v>60</v>
          </cell>
          <cell r="H429">
            <v>60</v>
          </cell>
          <cell r="I429">
            <v>60</v>
          </cell>
          <cell r="J429">
            <v>65</v>
          </cell>
          <cell r="K429">
            <v>72</v>
          </cell>
          <cell r="L429">
            <v>168</v>
          </cell>
          <cell r="M429">
            <v>416</v>
          </cell>
          <cell r="N429">
            <v>60</v>
          </cell>
        </row>
        <row r="430">
          <cell r="A430" t="str">
            <v>Washington, 2014</v>
          </cell>
          <cell r="B430" t="str">
            <v>Washington</v>
          </cell>
          <cell r="C430">
            <v>2014</v>
          </cell>
          <cell r="D430">
            <v>120</v>
          </cell>
          <cell r="E430">
            <v>60</v>
          </cell>
          <cell r="F430">
            <v>60</v>
          </cell>
          <cell r="G430">
            <v>66</v>
          </cell>
          <cell r="H430">
            <v>69</v>
          </cell>
          <cell r="I430">
            <v>60</v>
          </cell>
          <cell r="J430">
            <v>80</v>
          </cell>
          <cell r="K430">
            <v>87</v>
          </cell>
          <cell r="L430">
            <v>148</v>
          </cell>
          <cell r="M430">
            <v>329</v>
          </cell>
          <cell r="N430">
            <v>60</v>
          </cell>
        </row>
        <row r="431">
          <cell r="A431" t="str">
            <v>Washington, 2015</v>
          </cell>
          <cell r="B431" t="str">
            <v>Washington</v>
          </cell>
          <cell r="C431">
            <v>2015</v>
          </cell>
          <cell r="D431">
            <v>120</v>
          </cell>
          <cell r="E431">
            <v>60</v>
          </cell>
          <cell r="F431">
            <v>60</v>
          </cell>
          <cell r="G431">
            <v>60</v>
          </cell>
          <cell r="H431">
            <v>60</v>
          </cell>
          <cell r="I431">
            <v>60</v>
          </cell>
          <cell r="J431">
            <v>60</v>
          </cell>
          <cell r="K431">
            <v>110</v>
          </cell>
          <cell r="L431">
            <v>170</v>
          </cell>
          <cell r="M431">
            <v>436</v>
          </cell>
          <cell r="N431">
            <v>60</v>
          </cell>
        </row>
        <row r="432">
          <cell r="A432" t="str">
            <v>Washington, 2016</v>
          </cell>
          <cell r="B432" t="str">
            <v>Washington</v>
          </cell>
          <cell r="C432">
            <v>2016</v>
          </cell>
          <cell r="D432">
            <v>120</v>
          </cell>
          <cell r="E432">
            <v>60</v>
          </cell>
          <cell r="F432">
            <v>60</v>
          </cell>
          <cell r="G432">
            <v>60</v>
          </cell>
          <cell r="H432">
            <v>60</v>
          </cell>
          <cell r="I432">
            <v>60</v>
          </cell>
          <cell r="J432">
            <v>84</v>
          </cell>
          <cell r="K432">
            <v>106</v>
          </cell>
          <cell r="L432">
            <v>178</v>
          </cell>
          <cell r="M432">
            <v>365</v>
          </cell>
          <cell r="N432">
            <v>60</v>
          </cell>
        </row>
        <row r="433">
          <cell r="A433" t="str">
            <v>Washington, 2017</v>
          </cell>
          <cell r="B433" t="str">
            <v>Washington</v>
          </cell>
          <cell r="C433">
            <v>2017</v>
          </cell>
          <cell r="D433">
            <v>120</v>
          </cell>
          <cell r="E433">
            <v>60</v>
          </cell>
          <cell r="F433">
            <v>60</v>
          </cell>
          <cell r="G433">
            <v>60</v>
          </cell>
          <cell r="H433">
            <v>65</v>
          </cell>
          <cell r="I433">
            <v>60</v>
          </cell>
          <cell r="J433">
            <v>87</v>
          </cell>
          <cell r="K433">
            <v>145</v>
          </cell>
          <cell r="L433">
            <v>239</v>
          </cell>
          <cell r="M433">
            <v>488</v>
          </cell>
          <cell r="N433">
            <v>60</v>
          </cell>
        </row>
        <row r="434">
          <cell r="A434" t="str">
            <v>West Virginia, 2009</v>
          </cell>
          <cell r="B434" t="str">
            <v>West Virginia</v>
          </cell>
          <cell r="C434">
            <v>2009</v>
          </cell>
          <cell r="D434">
            <v>120</v>
          </cell>
          <cell r="E434">
            <v>60</v>
          </cell>
          <cell r="F434">
            <v>60</v>
          </cell>
          <cell r="G434">
            <v>60</v>
          </cell>
          <cell r="H434">
            <v>65</v>
          </cell>
          <cell r="I434">
            <v>60</v>
          </cell>
          <cell r="J434">
            <v>60</v>
          </cell>
          <cell r="K434">
            <v>65</v>
          </cell>
          <cell r="L434">
            <v>119</v>
          </cell>
          <cell r="M434">
            <v>174</v>
          </cell>
          <cell r="N434">
            <v>60</v>
          </cell>
        </row>
        <row r="435">
          <cell r="A435" t="str">
            <v>West Virginia, 2010</v>
          </cell>
          <cell r="B435" t="str">
            <v>West Virginia</v>
          </cell>
          <cell r="C435">
            <v>2010</v>
          </cell>
          <cell r="D435">
            <v>120</v>
          </cell>
          <cell r="E435">
            <v>60</v>
          </cell>
          <cell r="F435">
            <v>60</v>
          </cell>
          <cell r="G435">
            <v>60</v>
          </cell>
          <cell r="H435">
            <v>60</v>
          </cell>
          <cell r="I435">
            <v>60</v>
          </cell>
          <cell r="J435">
            <v>60</v>
          </cell>
          <cell r="K435">
            <v>60</v>
          </cell>
          <cell r="L435">
            <v>123</v>
          </cell>
          <cell r="M435">
            <v>186</v>
          </cell>
          <cell r="N435">
            <v>60</v>
          </cell>
        </row>
        <row r="436">
          <cell r="A436" t="str">
            <v>West Virginia, 2011</v>
          </cell>
          <cell r="B436" t="str">
            <v>West Virginia</v>
          </cell>
          <cell r="C436">
            <v>2011</v>
          </cell>
          <cell r="D436">
            <v>120</v>
          </cell>
          <cell r="E436">
            <v>60</v>
          </cell>
          <cell r="F436">
            <v>60</v>
          </cell>
          <cell r="G436">
            <v>60</v>
          </cell>
          <cell r="H436">
            <v>60</v>
          </cell>
          <cell r="I436">
            <v>60</v>
          </cell>
          <cell r="J436">
            <v>60</v>
          </cell>
          <cell r="K436">
            <v>68</v>
          </cell>
          <cell r="L436">
            <v>116</v>
          </cell>
          <cell r="M436">
            <v>164</v>
          </cell>
          <cell r="N436">
            <v>60</v>
          </cell>
        </row>
        <row r="437">
          <cell r="A437" t="str">
            <v>West Virginia, 2012</v>
          </cell>
          <cell r="B437" t="str">
            <v>West Virginia</v>
          </cell>
          <cell r="C437">
            <v>2012</v>
          </cell>
          <cell r="D437">
            <v>120</v>
          </cell>
          <cell r="E437">
            <v>60</v>
          </cell>
          <cell r="F437">
            <v>60</v>
          </cell>
          <cell r="G437">
            <v>60</v>
          </cell>
          <cell r="H437">
            <v>60</v>
          </cell>
          <cell r="I437">
            <v>60</v>
          </cell>
          <cell r="J437">
            <v>60</v>
          </cell>
          <cell r="K437">
            <v>60</v>
          </cell>
          <cell r="L437">
            <v>118</v>
          </cell>
          <cell r="M437">
            <v>175</v>
          </cell>
          <cell r="N437">
            <v>60</v>
          </cell>
        </row>
        <row r="438">
          <cell r="A438" t="str">
            <v>West Virginia, 2013</v>
          </cell>
          <cell r="B438" t="str">
            <v>West Virginia</v>
          </cell>
          <cell r="C438">
            <v>2013</v>
          </cell>
          <cell r="D438">
            <v>120</v>
          </cell>
          <cell r="E438">
            <v>60</v>
          </cell>
          <cell r="F438">
            <v>60</v>
          </cell>
          <cell r="G438">
            <v>60</v>
          </cell>
          <cell r="H438">
            <v>60</v>
          </cell>
          <cell r="I438">
            <v>60</v>
          </cell>
          <cell r="J438">
            <v>60</v>
          </cell>
          <cell r="K438">
            <v>82</v>
          </cell>
          <cell r="L438">
            <v>123</v>
          </cell>
          <cell r="M438">
            <v>199</v>
          </cell>
          <cell r="N438">
            <v>60</v>
          </cell>
        </row>
        <row r="439">
          <cell r="A439" t="str">
            <v>West Virginia, 2014</v>
          </cell>
          <cell r="B439" t="str">
            <v>West Virginia</v>
          </cell>
          <cell r="C439">
            <v>2014</v>
          </cell>
          <cell r="D439">
            <v>120</v>
          </cell>
          <cell r="E439">
            <v>60</v>
          </cell>
          <cell r="F439">
            <v>60</v>
          </cell>
          <cell r="G439">
            <v>60</v>
          </cell>
          <cell r="H439">
            <v>60</v>
          </cell>
          <cell r="I439">
            <v>60</v>
          </cell>
          <cell r="J439">
            <v>73</v>
          </cell>
          <cell r="K439">
            <v>77</v>
          </cell>
          <cell r="L439">
            <v>92</v>
          </cell>
          <cell r="M439">
            <v>184</v>
          </cell>
          <cell r="N439">
            <v>60</v>
          </cell>
        </row>
        <row r="440">
          <cell r="A440" t="str">
            <v>West Virginia, 2015</v>
          </cell>
          <cell r="B440" t="str">
            <v>West Virginia</v>
          </cell>
          <cell r="C440">
            <v>2015</v>
          </cell>
          <cell r="D440">
            <v>120</v>
          </cell>
          <cell r="E440">
            <v>60</v>
          </cell>
          <cell r="F440">
            <v>60</v>
          </cell>
          <cell r="G440">
            <v>60</v>
          </cell>
          <cell r="H440">
            <v>60</v>
          </cell>
          <cell r="I440">
            <v>60</v>
          </cell>
          <cell r="J440">
            <v>60</v>
          </cell>
          <cell r="K440">
            <v>85</v>
          </cell>
          <cell r="L440">
            <v>118</v>
          </cell>
          <cell r="M440">
            <v>212</v>
          </cell>
          <cell r="N440">
            <v>60</v>
          </cell>
        </row>
        <row r="441">
          <cell r="A441" t="str">
            <v>West Virginia, 2016</v>
          </cell>
          <cell r="B441" t="str">
            <v>West Virginia</v>
          </cell>
          <cell r="C441">
            <v>2016</v>
          </cell>
          <cell r="D441">
            <v>120</v>
          </cell>
          <cell r="E441">
            <v>60</v>
          </cell>
          <cell r="F441">
            <v>60</v>
          </cell>
          <cell r="G441">
            <v>60</v>
          </cell>
          <cell r="H441">
            <v>60</v>
          </cell>
          <cell r="I441">
            <v>60</v>
          </cell>
          <cell r="J441">
            <v>60</v>
          </cell>
          <cell r="K441">
            <v>68</v>
          </cell>
          <cell r="L441">
            <v>91</v>
          </cell>
          <cell r="M441">
            <v>158</v>
          </cell>
          <cell r="N441">
            <v>60</v>
          </cell>
        </row>
        <row r="442">
          <cell r="A442" t="str">
            <v>West Virginia, 2017</v>
          </cell>
          <cell r="B442" t="str">
            <v>West Virginia</v>
          </cell>
          <cell r="C442">
            <v>2017</v>
          </cell>
          <cell r="D442">
            <v>120</v>
          </cell>
          <cell r="E442">
            <v>60</v>
          </cell>
          <cell r="F442">
            <v>60</v>
          </cell>
          <cell r="G442">
            <v>60</v>
          </cell>
          <cell r="H442">
            <v>60</v>
          </cell>
          <cell r="I442">
            <v>60</v>
          </cell>
          <cell r="J442">
            <v>60</v>
          </cell>
          <cell r="K442">
            <v>78</v>
          </cell>
          <cell r="L442">
            <v>126</v>
          </cell>
          <cell r="M442">
            <v>170</v>
          </cell>
          <cell r="N442">
            <v>60</v>
          </cell>
        </row>
        <row r="443">
          <cell r="A443" t="str">
            <v>Wisconsin, 2009</v>
          </cell>
          <cell r="B443" t="str">
            <v>Wisconsin</v>
          </cell>
          <cell r="C443">
            <v>2009</v>
          </cell>
          <cell r="D443">
            <v>120</v>
          </cell>
          <cell r="E443">
            <v>60</v>
          </cell>
          <cell r="F443">
            <v>60</v>
          </cell>
          <cell r="G443">
            <v>60</v>
          </cell>
          <cell r="H443">
            <v>72</v>
          </cell>
          <cell r="I443">
            <v>60</v>
          </cell>
          <cell r="J443">
            <v>60</v>
          </cell>
          <cell r="K443">
            <v>75</v>
          </cell>
          <cell r="L443">
            <v>234</v>
          </cell>
          <cell r="M443">
            <v>514</v>
          </cell>
          <cell r="N443">
            <v>60</v>
          </cell>
        </row>
        <row r="444">
          <cell r="A444" t="str">
            <v>Wisconsin, 2010</v>
          </cell>
          <cell r="B444" t="str">
            <v>Wisconsin</v>
          </cell>
          <cell r="C444">
            <v>2010</v>
          </cell>
          <cell r="D444">
            <v>120</v>
          </cell>
          <cell r="E444">
            <v>60</v>
          </cell>
          <cell r="F444">
            <v>60</v>
          </cell>
          <cell r="G444">
            <v>60</v>
          </cell>
          <cell r="H444">
            <v>60</v>
          </cell>
          <cell r="I444">
            <v>60</v>
          </cell>
          <cell r="J444">
            <v>60</v>
          </cell>
          <cell r="K444">
            <v>60</v>
          </cell>
          <cell r="L444">
            <v>225</v>
          </cell>
          <cell r="M444">
            <v>501</v>
          </cell>
          <cell r="N444">
            <v>60</v>
          </cell>
        </row>
        <row r="445">
          <cell r="A445" t="str">
            <v>Wisconsin, 2011</v>
          </cell>
          <cell r="B445" t="str">
            <v>Wisconsin</v>
          </cell>
          <cell r="C445">
            <v>2011</v>
          </cell>
          <cell r="D445">
            <v>120</v>
          </cell>
          <cell r="E445">
            <v>60</v>
          </cell>
          <cell r="F445">
            <v>60</v>
          </cell>
          <cell r="G445">
            <v>60</v>
          </cell>
          <cell r="H445">
            <v>60</v>
          </cell>
          <cell r="I445">
            <v>60</v>
          </cell>
          <cell r="J445">
            <v>60</v>
          </cell>
          <cell r="K445">
            <v>78</v>
          </cell>
          <cell r="L445">
            <v>241</v>
          </cell>
          <cell r="M445">
            <v>532</v>
          </cell>
          <cell r="N445">
            <v>60</v>
          </cell>
        </row>
        <row r="446">
          <cell r="A446" t="str">
            <v>Wisconsin, 2012</v>
          </cell>
          <cell r="B446" t="str">
            <v>Wisconsin</v>
          </cell>
          <cell r="C446">
            <v>2012</v>
          </cell>
          <cell r="D446">
            <v>120</v>
          </cell>
          <cell r="E446">
            <v>60</v>
          </cell>
          <cell r="F446">
            <v>60</v>
          </cell>
          <cell r="G446">
            <v>60</v>
          </cell>
          <cell r="H446">
            <v>60</v>
          </cell>
          <cell r="I446">
            <v>60</v>
          </cell>
          <cell r="J446">
            <v>60</v>
          </cell>
          <cell r="K446">
            <v>82</v>
          </cell>
          <cell r="L446">
            <v>257</v>
          </cell>
          <cell r="M446">
            <v>546</v>
          </cell>
          <cell r="N446">
            <v>60</v>
          </cell>
        </row>
        <row r="447">
          <cell r="A447" t="str">
            <v>Wisconsin, 2013</v>
          </cell>
          <cell r="B447" t="str">
            <v>Wisconsin</v>
          </cell>
          <cell r="C447">
            <v>2013</v>
          </cell>
          <cell r="D447">
            <v>120</v>
          </cell>
          <cell r="E447">
            <v>60</v>
          </cell>
          <cell r="F447">
            <v>60</v>
          </cell>
          <cell r="G447">
            <v>60</v>
          </cell>
          <cell r="H447">
            <v>60</v>
          </cell>
          <cell r="I447">
            <v>60</v>
          </cell>
          <cell r="J447">
            <v>74</v>
          </cell>
          <cell r="K447">
            <v>105</v>
          </cell>
          <cell r="L447">
            <v>233</v>
          </cell>
          <cell r="M447">
            <v>642</v>
          </cell>
          <cell r="N447">
            <v>60</v>
          </cell>
        </row>
        <row r="448">
          <cell r="A448" t="str">
            <v>Wisconsin, 2014</v>
          </cell>
          <cell r="B448" t="str">
            <v>Wisconsin</v>
          </cell>
          <cell r="C448">
            <v>2014</v>
          </cell>
          <cell r="D448">
            <v>120</v>
          </cell>
          <cell r="E448">
            <v>60</v>
          </cell>
          <cell r="F448">
            <v>60</v>
          </cell>
          <cell r="G448">
            <v>60</v>
          </cell>
          <cell r="H448">
            <v>69</v>
          </cell>
          <cell r="I448">
            <v>60</v>
          </cell>
          <cell r="J448">
            <v>76</v>
          </cell>
          <cell r="K448">
            <v>84</v>
          </cell>
          <cell r="L448">
            <v>198</v>
          </cell>
          <cell r="M448">
            <v>560</v>
          </cell>
          <cell r="N448">
            <v>60</v>
          </cell>
        </row>
        <row r="449">
          <cell r="A449" t="str">
            <v>Wisconsin, 2015</v>
          </cell>
          <cell r="B449" t="str">
            <v>Wisconsin</v>
          </cell>
          <cell r="C449">
            <v>2015</v>
          </cell>
          <cell r="D449">
            <v>120</v>
          </cell>
          <cell r="E449">
            <v>60</v>
          </cell>
          <cell r="F449">
            <v>60</v>
          </cell>
          <cell r="G449">
            <v>60</v>
          </cell>
          <cell r="H449">
            <v>60</v>
          </cell>
          <cell r="I449">
            <v>60</v>
          </cell>
          <cell r="J449">
            <v>60</v>
          </cell>
          <cell r="K449">
            <v>92</v>
          </cell>
          <cell r="L449">
            <v>243</v>
          </cell>
          <cell r="M449">
            <v>595</v>
          </cell>
          <cell r="N449">
            <v>60</v>
          </cell>
        </row>
        <row r="450">
          <cell r="A450" t="str">
            <v>Wisconsin, 2016</v>
          </cell>
          <cell r="B450" t="str">
            <v>Wisconsin</v>
          </cell>
          <cell r="C450">
            <v>2016</v>
          </cell>
          <cell r="D450">
            <v>120</v>
          </cell>
          <cell r="E450">
            <v>60</v>
          </cell>
          <cell r="F450">
            <v>60</v>
          </cell>
          <cell r="G450">
            <v>60</v>
          </cell>
          <cell r="H450">
            <v>60</v>
          </cell>
          <cell r="I450">
            <v>60</v>
          </cell>
          <cell r="J450">
            <v>85</v>
          </cell>
          <cell r="K450">
            <v>85</v>
          </cell>
          <cell r="L450">
            <v>163</v>
          </cell>
          <cell r="M450">
            <v>471</v>
          </cell>
          <cell r="N450">
            <v>60</v>
          </cell>
        </row>
        <row r="451">
          <cell r="A451" t="str">
            <v>Wisconsin, 2017</v>
          </cell>
          <cell r="B451" t="str">
            <v>Wisconsin</v>
          </cell>
          <cell r="C451">
            <v>2017</v>
          </cell>
          <cell r="D451">
            <v>120</v>
          </cell>
          <cell r="E451">
            <v>60</v>
          </cell>
          <cell r="F451">
            <v>60</v>
          </cell>
          <cell r="G451">
            <v>60</v>
          </cell>
          <cell r="H451">
            <v>60</v>
          </cell>
          <cell r="I451">
            <v>60</v>
          </cell>
          <cell r="J451">
            <v>73</v>
          </cell>
          <cell r="K451">
            <v>125</v>
          </cell>
          <cell r="L451">
            <v>190</v>
          </cell>
          <cell r="M451">
            <v>521</v>
          </cell>
          <cell r="N451">
            <v>60</v>
          </cell>
        </row>
        <row r="452">
          <cell r="A452" t="str">
            <v>Wyoming, 2009</v>
          </cell>
          <cell r="B452" t="str">
            <v>Wyoming</v>
          </cell>
          <cell r="C452">
            <v>2009</v>
          </cell>
          <cell r="D452">
            <v>120</v>
          </cell>
          <cell r="E452">
            <v>60</v>
          </cell>
          <cell r="F452">
            <v>60</v>
          </cell>
          <cell r="G452">
            <v>60</v>
          </cell>
          <cell r="H452">
            <v>60</v>
          </cell>
          <cell r="I452">
            <v>60</v>
          </cell>
          <cell r="J452">
            <v>60</v>
          </cell>
          <cell r="K452">
            <v>60</v>
          </cell>
          <cell r="L452">
            <v>60</v>
          </cell>
          <cell r="M452">
            <v>65</v>
          </cell>
          <cell r="N452">
            <v>60</v>
          </cell>
        </row>
        <row r="453">
          <cell r="A453" t="str">
            <v>Wyoming, 2010</v>
          </cell>
          <cell r="B453" t="str">
            <v>Wyoming</v>
          </cell>
          <cell r="C453">
            <v>2010</v>
          </cell>
          <cell r="D453">
            <v>120</v>
          </cell>
          <cell r="E453">
            <v>60</v>
          </cell>
          <cell r="F453">
            <v>60</v>
          </cell>
          <cell r="G453">
            <v>60</v>
          </cell>
          <cell r="H453">
            <v>60</v>
          </cell>
          <cell r="I453">
            <v>60</v>
          </cell>
          <cell r="J453">
            <v>60</v>
          </cell>
          <cell r="K453">
            <v>60</v>
          </cell>
          <cell r="L453">
            <v>60</v>
          </cell>
          <cell r="M453">
            <v>65</v>
          </cell>
          <cell r="N453">
            <v>60</v>
          </cell>
        </row>
        <row r="454">
          <cell r="A454" t="str">
            <v>Wyoming, 2011</v>
          </cell>
          <cell r="B454" t="str">
            <v>Wyoming</v>
          </cell>
          <cell r="C454">
            <v>2011</v>
          </cell>
          <cell r="D454">
            <v>120</v>
          </cell>
          <cell r="E454">
            <v>60</v>
          </cell>
          <cell r="F454">
            <v>60</v>
          </cell>
          <cell r="G454">
            <v>60</v>
          </cell>
          <cell r="H454">
            <v>60</v>
          </cell>
          <cell r="I454">
            <v>60</v>
          </cell>
          <cell r="J454">
            <v>60</v>
          </cell>
          <cell r="K454">
            <v>60</v>
          </cell>
          <cell r="L454">
            <v>60</v>
          </cell>
          <cell r="M454">
            <v>72</v>
          </cell>
          <cell r="N454">
            <v>60</v>
          </cell>
        </row>
        <row r="455">
          <cell r="A455" t="str">
            <v>Wyoming, 2012</v>
          </cell>
          <cell r="B455" t="str">
            <v>Wyoming</v>
          </cell>
          <cell r="C455">
            <v>2012</v>
          </cell>
          <cell r="D455">
            <v>120</v>
          </cell>
          <cell r="E455">
            <v>60</v>
          </cell>
          <cell r="F455">
            <v>60</v>
          </cell>
          <cell r="G455">
            <v>60</v>
          </cell>
          <cell r="H455">
            <v>60</v>
          </cell>
          <cell r="I455">
            <v>60</v>
          </cell>
          <cell r="J455">
            <v>60</v>
          </cell>
          <cell r="K455">
            <v>60</v>
          </cell>
          <cell r="L455">
            <v>60</v>
          </cell>
          <cell r="M455">
            <v>60</v>
          </cell>
          <cell r="N455">
            <v>60</v>
          </cell>
        </row>
        <row r="456">
          <cell r="A456" t="str">
            <v>Wyoming, 2013</v>
          </cell>
          <cell r="B456" t="str">
            <v>Wyoming</v>
          </cell>
          <cell r="C456">
            <v>2013</v>
          </cell>
          <cell r="D456">
            <v>120</v>
          </cell>
          <cell r="E456">
            <v>60</v>
          </cell>
          <cell r="F456">
            <v>60</v>
          </cell>
          <cell r="G456">
            <v>60</v>
          </cell>
          <cell r="H456">
            <v>60</v>
          </cell>
          <cell r="I456">
            <v>60</v>
          </cell>
          <cell r="J456">
            <v>60</v>
          </cell>
          <cell r="K456">
            <v>60</v>
          </cell>
          <cell r="L456">
            <v>60</v>
          </cell>
          <cell r="M456">
            <v>67</v>
          </cell>
          <cell r="N456">
            <v>60</v>
          </cell>
        </row>
        <row r="457">
          <cell r="A457" t="str">
            <v>Wyoming, 2014</v>
          </cell>
          <cell r="B457" t="str">
            <v>Wyoming</v>
          </cell>
          <cell r="C457">
            <v>2014</v>
          </cell>
          <cell r="D457">
            <v>120</v>
          </cell>
          <cell r="E457">
            <v>60</v>
          </cell>
          <cell r="F457">
            <v>60</v>
          </cell>
          <cell r="G457">
            <v>60</v>
          </cell>
          <cell r="H457">
            <v>60</v>
          </cell>
          <cell r="I457">
            <v>60</v>
          </cell>
          <cell r="J457">
            <v>60</v>
          </cell>
          <cell r="K457">
            <v>60</v>
          </cell>
          <cell r="L457">
            <v>60</v>
          </cell>
          <cell r="M457">
            <v>60</v>
          </cell>
          <cell r="N457">
            <v>60</v>
          </cell>
        </row>
        <row r="458">
          <cell r="A458" t="str">
            <v>Wyoming, 2015</v>
          </cell>
          <cell r="B458" t="str">
            <v>Wyoming</v>
          </cell>
          <cell r="C458">
            <v>2015</v>
          </cell>
          <cell r="D458">
            <v>120</v>
          </cell>
          <cell r="E458">
            <v>60</v>
          </cell>
          <cell r="F458">
            <v>60</v>
          </cell>
          <cell r="G458">
            <v>60</v>
          </cell>
          <cell r="H458">
            <v>60</v>
          </cell>
          <cell r="I458">
            <v>60</v>
          </cell>
          <cell r="J458">
            <v>60</v>
          </cell>
          <cell r="K458">
            <v>60</v>
          </cell>
          <cell r="L458">
            <v>60</v>
          </cell>
          <cell r="M458">
            <v>60</v>
          </cell>
          <cell r="N458">
            <v>60</v>
          </cell>
        </row>
        <row r="459">
          <cell r="A459" t="str">
            <v>Wyoming, 2016</v>
          </cell>
          <cell r="B459" t="str">
            <v>Wyoming</v>
          </cell>
          <cell r="C459">
            <v>2016</v>
          </cell>
          <cell r="D459">
            <v>120</v>
          </cell>
          <cell r="E459">
            <v>60</v>
          </cell>
          <cell r="F459">
            <v>60</v>
          </cell>
          <cell r="G459">
            <v>60</v>
          </cell>
          <cell r="H459">
            <v>60</v>
          </cell>
          <cell r="I459">
            <v>60</v>
          </cell>
          <cell r="J459">
            <v>60</v>
          </cell>
          <cell r="K459">
            <v>60</v>
          </cell>
          <cell r="L459">
            <v>60</v>
          </cell>
          <cell r="M459">
            <v>60</v>
          </cell>
          <cell r="N459">
            <v>60</v>
          </cell>
        </row>
        <row r="460">
          <cell r="A460" t="str">
            <v>Wyoming, 2017</v>
          </cell>
          <cell r="B460" t="str">
            <v>Wyoming</v>
          </cell>
          <cell r="C460">
            <v>2017</v>
          </cell>
          <cell r="D460">
            <v>120</v>
          </cell>
          <cell r="E460">
            <v>60</v>
          </cell>
          <cell r="F460">
            <v>60</v>
          </cell>
          <cell r="G460">
            <v>60</v>
          </cell>
          <cell r="H460">
            <v>60</v>
          </cell>
          <cell r="I460">
            <v>60</v>
          </cell>
          <cell r="J460">
            <v>60</v>
          </cell>
          <cell r="K460">
            <v>60</v>
          </cell>
          <cell r="L460">
            <v>60</v>
          </cell>
          <cell r="M460">
            <v>72</v>
          </cell>
          <cell r="N460">
            <v>60</v>
          </cell>
        </row>
      </sheetData>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 Kane" refreshedDate="45696.861262268518" createdVersion="8" refreshedVersion="8" minRefreshableVersion="3" recordCount="459" xr:uid="{8C77E607-D22F-44D9-8F63-82DF07C7A928}">
  <cacheSource type="worksheet">
    <worksheetSource name="StudyDataS"/>
  </cacheSource>
  <cacheFields count="23">
    <cacheField name="Combined Key" numFmtId="0">
      <sharedItems/>
    </cacheField>
    <cacheField name="State" numFmtId="0">
      <sharedItems/>
    </cacheField>
    <cacheField name="Year" numFmtId="0">
      <sharedItems containsSemiMixedTypes="0" containsString="0" containsNumber="1" containsInteger="1" minValue="2009" maxValue="2017"/>
    </cacheField>
    <cacheField name="Total population" numFmtId="3">
      <sharedItems containsSemiMixedTypes="0" containsString="0" containsNumber="1" containsInteger="1" minValue="490521" maxValue="38563005" count="459">
        <n v="38563005"/>
        <n v="38522413"/>
        <n v="38395332"/>
        <n v="38025622"/>
        <n v="37571998"/>
        <n v="37285733"/>
        <n v="36968289"/>
        <n v="36388689"/>
        <n v="36308527"/>
        <n v="26462523"/>
        <n v="26031451"/>
        <n v="25610269"/>
        <n v="25416969"/>
        <n v="25228527"/>
        <n v="24742428"/>
        <n v="24558399"/>
        <n v="24014946"/>
        <n v="23721521"/>
        <n v="20175758"/>
        <n v="19862072"/>
        <n v="19682278"/>
        <n v="19650679"/>
        <n v="19540557"/>
        <n v="19502525"/>
        <n v="19427678"/>
        <n v="19423896"/>
        <n v="19265983"/>
        <n v="19229752"/>
        <n v="19219350"/>
        <n v="19158210"/>
        <n v="19138467"/>
        <n v="18717422"/>
        <n v="18614258"/>
        <n v="18587840"/>
        <n v="18499452"/>
        <n v="18222420"/>
        <n v="12785043"/>
        <n v="12745947"/>
        <n v="12699105"/>
        <n v="12695252"/>
        <n v="12694655"/>
        <n v="12620508"/>
        <n v="12612513"/>
        <n v="12597899"/>
        <n v="12582295"/>
        <n v="12580258"/>
        <n v="12558572"/>
        <n v="12554832"/>
        <n v="12516596"/>
        <n v="12515391"/>
        <n v="12509280"/>
        <n v="12505573"/>
        <n v="12493561"/>
        <n v="12417301"/>
        <n v="11448785"/>
        <n v="11439057"/>
        <n v="11423910"/>
        <n v="11418643"/>
        <n v="11411147"/>
        <n v="11160701"/>
        <n v="11150887"/>
        <n v="11150145"/>
        <n v="10950600"/>
        <n v="10008213"/>
        <n v="9937373"/>
        <n v="9862116"/>
        <n v="9857670"/>
        <n v="9778692"/>
        <n v="9750015"/>
        <n v="9712226"/>
        <n v="9637114"/>
        <n v="9630032"/>
        <n v="9626361"/>
        <n v="9606083"/>
        <n v="9590802"/>
        <n v="9583666"/>
        <n v="9578273"/>
        <n v="9550757"/>
        <n v="9497667"/>
        <n v="9486397"/>
        <n v="9478325"/>
        <n v="9452654"/>
        <n v="9449909"/>
        <n v="9439599"/>
        <n v="9411405"/>
        <n v="9334402"/>
        <n v="9277834"/>
        <n v="9228859"/>
        <n v="9104855"/>
        <n v="8979738"/>
        <n v="8960557"/>
        <n v="8904413"/>
        <n v="8874374"/>
        <n v="8850952"/>
        <n v="8832406"/>
        <n v="8793888"/>
        <n v="8753064"/>
        <n v="8721577"/>
        <n v="8650548"/>
        <n v="7945624"/>
        <n v="7858495"/>
        <n v="7833844"/>
        <n v="7752831"/>
        <n v="7678761"/>
        <n v="7641756"/>
        <n v="7607567"/>
        <n v="7511879"/>
        <n v="7437512"/>
        <n v="6976375"/>
        <n v="6963268"/>
        <n v="6894869"/>
        <n v="6778158"/>
        <n v="6771732"/>
        <n v="6742401"/>
        <n v="6741921"/>
        <n v="6707582"/>
        <n v="6688538"/>
        <n v="6666917"/>
        <n v="6657196"/>
        <n v="6628098"/>
        <n v="6605043"/>
        <n v="6544424"/>
        <n v="6541242"/>
        <n v="6523723"/>
        <n v="6522731"/>
        <n v="6511988"/>
        <n v="6511176"/>
        <n v="6509100"/>
        <n v="6476856"/>
        <n v="6470992"/>
        <n v="6465755"/>
        <n v="6426240"/>
        <n v="6416963"/>
        <n v="6410186"/>
        <n v="6342469"/>
        <n v="6324865"/>
        <n v="6296816"/>
        <n v="6295459"/>
        <n v="6257657"/>
        <n v="6246652"/>
        <n v="6231987"/>
        <n v="6228563"/>
        <n v="6223260"/>
        <n v="6207592"/>
        <n v="6195837"/>
        <n v="6158334"/>
        <n v="6148835"/>
        <n v="6144855"/>
        <n v="6137920"/>
        <n v="6122183"/>
        <n v="6076034"/>
        <n v="6056214"/>
        <n v="6010567"/>
        <n v="5930148"/>
        <n v="5921207"/>
        <n v="5886846"/>
        <n v="5878659"/>
        <n v="5801682"/>
        <n v="5785496"/>
        <n v="5784755"/>
        <n v="5777577"/>
        <n v="5773126"/>
        <n v="5769992"/>
        <n v="5750906"/>
        <n v="5731790"/>
        <n v="5703658"/>
        <n v="5696384"/>
        <n v="5637418"/>
        <n v="5599420"/>
        <n v="5583015"/>
        <n v="5568992"/>
        <n v="5559645"/>
        <n v="5551257"/>
        <n v="5548036"/>
        <n v="5527204"/>
        <n v="5494993"/>
        <n v="5444586"/>
        <n v="5438085"/>
        <n v="5429786"/>
        <n v="5423610"/>
        <n v="5296497"/>
        <n v="5228533"/>
        <n v="5225189"/>
        <n v="5195428"/>
        <n v="5192492"/>
        <n v="5168946"/>
        <n v="5167393"/>
        <n v="5151270"/>
        <n v="5150296"/>
        <n v="5066888"/>
        <n v="5049758"/>
        <n v="5039568"/>
        <n v="5031800"/>
        <n v="4941466"/>
        <n v="4926905"/>
        <n v="4917956"/>
        <n v="4846649"/>
        <n v="4843211"/>
        <n v="4750734"/>
        <n v="4735974"/>
        <n v="4731552"/>
        <n v="4724744"/>
        <n v="4690668"/>
        <n v="4643557"/>
        <n v="4633360"/>
        <n v="4629937"/>
        <n v="4593341"/>
        <n v="4561172"/>
        <n v="4550723"/>
        <n v="4543805"/>
        <n v="4529479"/>
        <n v="4506075"/>
        <n v="4484261"/>
        <n v="4470686"/>
        <n v="4465332"/>
        <n v="4461249"/>
        <n v="4421853"/>
        <n v="4411546"/>
        <n v="4392118"/>
        <n v="4389964"/>
        <n v="4386451"/>
        <n v="4386090"/>
        <n v="4365242"/>
        <n v="4336750"/>
        <n v="4325940"/>
        <n v="4238868"/>
        <n v="4188969"/>
        <n v="4139395"/>
        <n v="4095114"/>
        <n v="4079475"/>
        <n v="4058257"/>
        <n v="4032267"/>
        <n v="4028763"/>
        <n v="3967316"/>
        <n v="3917871"/>
        <n v="3889371"/>
        <n v="3795375"/>
        <n v="3777831"/>
        <n v="3766332"/>
        <n v="3754561"/>
        <n v="3745417"/>
        <n v="3700201"/>
        <n v="3694697"/>
        <n v="3683908"/>
        <n v="3657767"/>
        <n v="3651309"/>
        <n v="3615153"/>
        <n v="3594478"/>
        <n v="3593222"/>
        <n v="3592053"/>
        <n v="3588570"/>
        <n v="3585543"/>
        <n v="3585355"/>
        <n v="3583561"/>
        <n v="3572213"/>
        <n v="3565277"/>
        <n v="3558172"/>
        <n v="3556790"/>
        <n v="3545837"/>
        <n v="3517847"/>
        <n v="3494487"/>
        <n v="2960615"/>
        <n v="2939403"/>
        <n v="2922240"/>
        <n v="2898743"/>
        <n v="2887710"/>
        <n v="2876836"/>
        <n v="2869335"/>
        <n v="2860431"/>
        <n v="2850866"/>
        <n v="2839845"/>
        <n v="2838143"/>
        <n v="2832822"/>
        <n v="2827543"/>
        <n v="2821915"/>
        <n v="2821637"/>
        <n v="2818364"/>
        <n v="2812703"/>
        <n v="2810919"/>
        <n v="2804554"/>
        <n v="2802853"/>
        <n v="2787856"/>
        <n v="2786183"/>
        <n v="2781980"/>
        <n v="2773776"/>
        <n v="2767816"/>
        <n v="2765788"/>
        <n v="2753252"/>
        <n v="2753090"/>
        <n v="2747187"/>
        <n v="2746115"/>
        <n v="2741881"/>
        <n v="2739882"/>
        <n v="2734347"/>
        <n v="2734051"/>
        <n v="2728504"/>
        <n v="2728338"/>
        <n v="2724670"/>
        <n v="2723656"/>
        <n v="2715451"/>
        <n v="2713827"/>
        <n v="2710163"/>
        <n v="2684563"/>
        <n v="2670889"/>
        <n v="2669454"/>
        <n v="2667325"/>
        <n v="2661806"/>
        <n v="2655575"/>
        <n v="2635122"/>
        <n v="2633331"/>
        <n v="2632280"/>
        <n v="2626356"/>
        <n v="2604519"/>
        <n v="2534911"/>
        <n v="2359802"/>
        <n v="2022695"/>
        <n v="2011766"/>
        <n v="2004994"/>
        <n v="2000639"/>
        <n v="1986823"/>
        <n v="1983544"/>
        <n v="1982961"/>
        <n v="1964860"/>
        <n v="1938776"/>
        <n v="1795084"/>
        <n v="1772884"/>
        <n v="1771937"/>
        <n v="1738913"/>
        <n v="1736643"/>
        <n v="1736362"/>
        <n v="1724851"/>
        <n v="1715461"/>
        <n v="1710460"/>
        <n v="1705683"/>
        <n v="1704944"/>
        <n v="1685021"/>
        <n v="1667899"/>
        <n v="1664880"/>
        <n v="1649653"/>
        <n v="1647510"/>
        <n v="1555888"/>
        <n v="1551162"/>
        <n v="1536462"/>
        <n v="1533895"/>
        <n v="1528820"/>
        <n v="1500717"/>
        <n v="1497693"/>
        <n v="1488444"/>
        <n v="1478648"/>
        <n v="1478073"/>
        <n v="1446420"/>
        <n v="1421652"/>
        <n v="1413673"/>
        <n v="1406214"/>
        <n v="1391072"/>
        <n v="1376298"/>
        <n v="1362730"/>
        <n v="1346554"/>
        <n v="1333591"/>
        <n v="1332079"/>
        <n v="1328662"/>
        <n v="1328659"/>
        <n v="1328320"/>
        <n v="1327665"/>
        <n v="1327503"/>
        <n v="1319171"/>
        <n v="1317474"/>
        <n v="1316380"/>
        <n v="1315419"/>
        <n v="1313939"/>
        <n v="1311652"/>
        <n v="1293779"/>
        <n v="1280241"/>
        <n v="1277778"/>
        <n v="1263167"/>
        <n v="1255682"/>
        <n v="1244818"/>
        <n v="1242505"/>
        <n v="1057381"/>
        <n v="1056389"/>
        <n v="1056138"/>
        <n v="1054491"/>
        <n v="1053959"/>
        <n v="1053712"/>
        <n v="1053252"/>
        <n v="1052471"/>
        <n v="1051695"/>
        <n v="949246"/>
        <n v="946754"/>
        <n v="943732"/>
        <n v="937916"/>
        <n v="937821"/>
        <n v="934695"/>
        <n v="926454"/>
        <n v="921227"/>
        <n v="917060"/>
        <n v="916440"/>
        <n v="908446"/>
        <n v="900131"/>
        <n v="892285"/>
        <n v="890856"/>
        <n v="886659"/>
        <n v="881278"/>
        <n v="863832"/>
        <n v="805701"/>
        <n v="786961"/>
        <n v="765593"/>
        <n v="730007"/>
        <n v="720961"/>
        <n v="716817"/>
        <n v="701012"/>
        <n v="699838"/>
        <n v="696784"/>
        <n v="696506"/>
        <n v="689833"/>
        <n v="683142"/>
        <n v="679711"/>
        <n v="677855"/>
        <n v="673832"/>
        <n v="672391"/>
        <n v="665600"/>
        <n v="664838"/>
        <n v="659009"/>
        <n v="651686"/>
        <n v="650708"/>
        <n v="647484"/>
        <n v="644817"/>
        <n v="636807"/>
        <n v="633736"/>
        <n v="627310"/>
        <n v="627037"/>
        <n v="624954"/>
        <n v="620738"/>
        <n v="620414"/>
        <n v="619371"/>
        <n v="614109"/>
        <n v="605759"/>
        <n v="597394"/>
        <n v="593955"/>
        <n v="588763"/>
        <n v="588433"/>
        <n v="584400"/>
        <n v="572962"/>
        <n v="568000"/>
        <n v="566849"/>
        <n v="560719"/>
        <n v="557784"/>
        <n v="556597"/>
        <n v="542494"/>
        <n v="541920"/>
        <n v="539266"/>
        <n v="532969"/>
        <n v="532428"/>
        <n v="519426"/>
        <n v="511039"/>
        <n v="501971"/>
        <n v="501580"/>
        <n v="500216"/>
        <n v="490521"/>
      </sharedItems>
    </cacheField>
    <cacheField name="Male Total population" numFmtId="3">
      <sharedItems containsSemiMixedTypes="0" containsString="0" containsNumber="1" containsInteger="1" minValue="246339" maxValue="19149385"/>
    </cacheField>
    <cacheField name="%Male Population" numFmtId="9">
      <sharedItems containsSemiMixedTypes="0" containsString="0" containsNumber="1" minValue="0.47162888553157284" maxValue="0.52163640135292788"/>
    </cacheField>
    <cacheField name="Female Total population" numFmtId="3">
      <sharedItems containsSemiMixedTypes="0" containsString="0" containsNumber="1" containsInteger="1" minValue="241786" maxValue="19413621"/>
    </cacheField>
    <cacheField name="% Female population" numFmtId="9">
      <sharedItems containsSemiMixedTypes="0" containsString="0" containsNumber="1" minValue="0.47836654107407411" maxValue="0.52837111446842722"/>
    </cacheField>
    <cacheField name="Population 85+ years" numFmtId="3">
      <sharedItems containsSemiMixedTypes="0" containsString="0" containsNumber="1" containsInteger="1" minValue="4236" maxValue="680993" count="458">
        <n v="673571"/>
        <n v="680993"/>
        <n v="659321"/>
        <n v="650707"/>
        <n v="626696"/>
        <n v="613671"/>
        <n v="581946"/>
        <n v="555581"/>
        <n v="543486"/>
        <n v="344377"/>
        <n v="336300"/>
        <n v="323659"/>
        <n v="321095"/>
        <n v="314583"/>
        <n v="305910"/>
        <n v="297580"/>
        <n v="286373"/>
        <n v="293282"/>
        <n v="520524"/>
        <n v="514243"/>
        <n v="433804"/>
        <n v="424865"/>
        <n v="414173"/>
        <n v="410066"/>
        <n v="400137"/>
        <n v="365860"/>
        <n v="493015"/>
        <n v="366737"/>
        <n v="376007"/>
        <n v="385210"/>
        <n v="475978"/>
        <n v="456260"/>
        <n v="443967"/>
        <n v="429397"/>
        <n v="412590"/>
        <n v="427459"/>
        <n v="220660"/>
        <n v="323833"/>
        <n v="224425"/>
        <n v="321298"/>
        <n v="232382"/>
        <n v="303548"/>
        <n v="240782"/>
        <n v="224669"/>
        <n v="307542"/>
        <n v="233380"/>
        <n v="233727"/>
        <n v="286517"/>
        <n v="284780"/>
        <n v="233286"/>
        <n v="313612"/>
        <n v="292628"/>
        <n v="239896"/>
        <n v="309149"/>
        <n v="212187"/>
        <n v="215896"/>
        <n v="221281"/>
        <n v="238053"/>
        <n v="229033"/>
        <n v="241850"/>
        <n v="228330"/>
        <n v="243255"/>
        <n v="235148"/>
        <n v="173824"/>
        <n v="178490"/>
        <n v="162244"/>
        <n v="182934"/>
        <n v="187879"/>
        <n v="197129"/>
        <n v="190520"/>
        <n v="196103"/>
        <n v="118824"/>
        <n v="196665"/>
        <n v="155756"/>
        <n v="117183"/>
        <n v="119701"/>
        <n v="119810"/>
        <n v="196893"/>
        <n v="112366"/>
        <n v="147458"/>
        <n v="115190"/>
        <n v="110113"/>
        <n v="113170"/>
        <n v="151983"/>
        <n v="108740"/>
        <n v="140169"/>
        <n v="137573"/>
        <n v="134211"/>
        <n v="144833"/>
        <n v="132098"/>
        <n v="198172"/>
        <n v="191628"/>
        <n v="188711"/>
        <n v="193400"/>
        <n v="184444"/>
        <n v="177904"/>
        <n v="172164"/>
        <n v="166423"/>
        <n v="161660"/>
        <n v="131483"/>
        <n v="125813"/>
        <n v="128355"/>
        <n v="113679"/>
        <n v="111360"/>
        <n v="116930"/>
        <n v="118260"/>
        <n v="106781"/>
        <n v="110486"/>
        <n v="123557"/>
        <n v="123983"/>
        <n v="123232"/>
        <n v="117389"/>
        <n v="154837"/>
        <n v="123325"/>
        <n v="155006"/>
        <n v="113590"/>
        <n v="153647"/>
        <n v="119075"/>
        <n v="151054"/>
        <n v="111316"/>
        <n v="148496"/>
        <n v="144509"/>
        <n v="106969"/>
        <n v="112942"/>
        <n v="119069"/>
        <n v="141669"/>
        <n v="136977"/>
        <n v="115584"/>
        <n v="137726"/>
        <n v="106947"/>
        <n v="103099"/>
        <n v="123264"/>
        <n v="107898"/>
        <n v="103884"/>
        <n v="108382"/>
        <n v="96577"/>
        <n v="105881"/>
        <n v="112538"/>
        <n v="96550"/>
        <n v="94393"/>
        <n v="102597"/>
        <n v="115193"/>
        <n v="97093"/>
        <n v="116858"/>
        <n v="107664"/>
        <n v="100935"/>
        <n v="100463"/>
        <n v="95450"/>
        <n v="93003"/>
        <n v="104100"/>
        <n v="112014"/>
        <n v="94567"/>
        <n v="95104"/>
        <n v="105615"/>
        <n v="106981"/>
        <n v="103250"/>
        <n v="105820"/>
        <n v="100635"/>
        <n v="98030"/>
        <n v="108414"/>
        <n v="114616"/>
        <n v="110362"/>
        <n v="113212"/>
        <n v="107910"/>
        <n v="107559"/>
        <n v="92688"/>
        <n v="89219"/>
        <n v="84369"/>
        <n v="108929"/>
        <n v="109643"/>
        <n v="109809"/>
        <n v="107121"/>
        <n v="112369"/>
        <n v="117645"/>
        <n v="109284"/>
        <n v="114736"/>
        <n v="117455"/>
        <n v="117526"/>
        <n v="109218"/>
        <n v="115833"/>
        <n v="82959"/>
        <n v="98443"/>
        <n v="75966"/>
        <n v="106341"/>
        <n v="103921"/>
        <n v="98753"/>
        <n v="100450"/>
        <n v="102065"/>
        <n v="74327"/>
        <n v="72045"/>
        <n v="95310"/>
        <n v="73572"/>
        <n v="94994"/>
        <n v="68236"/>
        <n v="98386"/>
        <n v="70433"/>
        <n v="65818"/>
        <n v="63182"/>
        <n v="77173"/>
        <n v="80894"/>
        <n v="79076"/>
        <n v="75203"/>
        <n v="73891"/>
        <n v="76983"/>
        <n v="76514"/>
        <n v="73805"/>
        <n v="78740"/>
        <n v="74933"/>
        <n v="71143"/>
        <n v="77513"/>
        <n v="68462"/>
        <n v="74806"/>
        <n v="73678"/>
        <n v="65283"/>
        <n v="65747"/>
        <n v="69580"/>
        <n v="63745"/>
        <n v="65584"/>
        <n v="74147"/>
        <n v="68869"/>
        <n v="65022"/>
        <n v="66026"/>
        <n v="63600"/>
        <n v="69698"/>
        <n v="64959"/>
        <n v="67411"/>
        <n v="69100"/>
        <n v="72428"/>
        <n v="68823"/>
        <n v="67884"/>
        <n v="70757"/>
        <n v="64764"/>
        <n v="68936"/>
        <n v="84506"/>
        <n v="80304"/>
        <n v="69804"/>
        <n v="76936"/>
        <n v="78428"/>
        <n v="76092"/>
        <n v="74219"/>
        <n v="72594"/>
        <n v="61568"/>
        <n v="73084"/>
        <n v="71959"/>
        <n v="62985"/>
        <n v="61174"/>
        <n v="58710"/>
        <n v="90109"/>
        <n v="87960"/>
        <n v="86815"/>
        <n v="87330"/>
        <n v="60731"/>
        <n v="60898"/>
        <n v="86894"/>
        <n v="84752"/>
        <n v="60181"/>
        <n v="84419"/>
        <n v="60381"/>
        <n v="80637"/>
        <n v="56357"/>
        <n v="77310"/>
        <n v="69297"/>
        <n v="69877"/>
        <n v="46624"/>
        <n v="67506"/>
        <n v="33937"/>
        <n v="33117"/>
        <n v="67781"/>
        <n v="67110"/>
        <n v="48881"/>
        <n v="65731"/>
        <n v="51335"/>
        <n v="32751"/>
        <n v="48747"/>
        <n v="37282"/>
        <n v="41357"/>
        <n v="38309"/>
        <n v="48819"/>
        <n v="43739"/>
        <n v="51022"/>
        <n v="48292"/>
        <n v="41661"/>
        <n v="36239"/>
        <n v="57115"/>
        <n v="31744"/>
        <n v="56242"/>
        <n v="57536"/>
        <n v="40469"/>
        <n v="32037"/>
        <n v="43418"/>
        <n v="30176"/>
        <n v="55861"/>
        <n v="49972"/>
        <n v="44624"/>
        <n v="55140"/>
        <n v="56069"/>
        <n v="62424"/>
        <n v="33444"/>
        <n v="55898"/>
        <n v="62575"/>
        <n v="57322"/>
        <n v="35471"/>
        <n v="42920"/>
        <n v="55169"/>
        <n v="32369"/>
        <n v="29633"/>
        <n v="60628"/>
        <n v="28550"/>
        <n v="29333"/>
        <n v="28675"/>
        <n v="29284"/>
        <n v="47469"/>
        <n v="44535"/>
        <n v="28304"/>
        <n v="38979"/>
        <n v="35096"/>
        <n v="32267"/>
        <n v="30638"/>
        <n v="31606"/>
        <n v="33634"/>
        <n v="31808"/>
        <n v="29702"/>
        <n v="31093"/>
        <n v="31944"/>
        <n v="37024"/>
        <n v="34000"/>
        <n v="35082"/>
        <n v="35785"/>
        <n v="36167"/>
        <n v="35813"/>
        <n v="35186"/>
        <n v="34062"/>
        <n v="33599"/>
        <n v="34111"/>
        <n v="34215"/>
        <n v="34620"/>
        <n v="34293"/>
        <n v="32615"/>
        <n v="32711"/>
        <n v="33856"/>
        <n v="32887"/>
        <n v="24574"/>
        <n v="24008"/>
        <n v="32746"/>
        <n v="24160"/>
        <n v="23351"/>
        <n v="24205"/>
        <n v="23462"/>
        <n v="23227"/>
        <n v="24355"/>
        <n v="22954"/>
        <n v="37852"/>
        <n v="37991"/>
        <n v="36782"/>
        <n v="35491"/>
        <n v="32581"/>
        <n v="31783"/>
        <n v="28780"/>
        <n v="27042"/>
        <n v="28283"/>
        <n v="27237"/>
        <n v="29875"/>
        <n v="29664"/>
        <n v="27330"/>
        <n v="27168"/>
        <n v="24949"/>
        <n v="24351"/>
        <n v="26946"/>
        <n v="23772"/>
        <n v="23057"/>
        <n v="29529"/>
        <n v="25895"/>
        <n v="24373"/>
        <n v="29264"/>
        <n v="21962"/>
        <n v="23995"/>
        <n v="29189"/>
        <n v="23556"/>
        <n v="24563"/>
        <n v="27652"/>
        <n v="28941"/>
        <n v="25089"/>
        <n v="28299"/>
        <n v="27808"/>
        <n v="26119"/>
        <n v="27204"/>
        <n v="19836"/>
        <n v="19330"/>
        <n v="18319"/>
        <n v="17813"/>
        <n v="17219"/>
        <n v="17961"/>
        <n v="17790"/>
        <n v="17838"/>
        <n v="17600"/>
        <n v="18412"/>
        <n v="16720"/>
        <n v="16164"/>
        <n v="17962"/>
        <n v="16153"/>
        <n v="17744"/>
        <n v="15623"/>
        <n v="15492"/>
        <n v="16312"/>
        <n v="18564"/>
        <n v="16927"/>
        <n v="17043"/>
        <n v="15198"/>
        <n v="16114"/>
        <n v="16086"/>
        <n v="6814"/>
        <n v="15633"/>
        <n v="6285"/>
        <n v="5165"/>
        <n v="4652"/>
        <n v="5948"/>
        <n v="15394"/>
        <n v="4435"/>
        <n v="11129"/>
        <n v="4236"/>
        <n v="4336"/>
        <n v="10545"/>
        <n v="14518"/>
        <n v="16356"/>
        <n v="10360"/>
        <n v="15062"/>
        <n v="14678"/>
        <n v="10140"/>
        <n v="5102"/>
        <n v="13683"/>
        <n v="11704"/>
        <n v="12843"/>
        <n v="10734"/>
        <n v="9910"/>
        <n v="15286"/>
        <n v="10298"/>
        <n v="13957"/>
        <n v="10098"/>
        <n v="12397"/>
        <n v="10004"/>
        <n v="9351"/>
        <n v="10517"/>
        <n v="13538"/>
        <n v="13115"/>
        <n v="8723"/>
        <n v="13751"/>
        <n v="11293"/>
        <n v="9074"/>
        <n v="8443"/>
        <n v="8427"/>
        <n v="10489"/>
        <n v="7875"/>
        <n v="7891"/>
        <n v="8173"/>
        <n v="11398"/>
        <n v="9991"/>
        <n v="7753"/>
        <n v="8313"/>
      </sharedItems>
    </cacheField>
    <cacheField name="% of population 85+" numFmtId="164">
      <sharedItems containsSemiMixedTypes="0" containsString="0" containsNumber="1" minValue="6.3641826923076924E-3" maxValue="2.7445468951370851E-2"/>
    </cacheField>
    <cacheField name="Flu Deaths 85+ years" numFmtId="3">
      <sharedItems containsSemiMixedTypes="0" containsString="0" containsNumber="1" containsInteger="1" minValue="60" maxValue="3264" count="340">
        <n v="2725"/>
        <n v="2985"/>
        <n v="3017"/>
        <n v="2638"/>
        <n v="3264"/>
        <n v="2938"/>
        <n v="3050"/>
        <n v="2955"/>
        <n v="2856"/>
        <n v="1031"/>
        <n v="1026"/>
        <n v="1190"/>
        <n v="1253"/>
        <n v="1277"/>
        <n v="1211"/>
        <n v="1265"/>
        <n v="1219"/>
        <n v="1245"/>
        <n v="1294"/>
        <n v="1088"/>
        <n v="2166"/>
        <n v="2081"/>
        <n v="2464"/>
        <n v="2244"/>
        <n v="2430"/>
        <n v="2090"/>
        <n v="1097"/>
        <n v="2273"/>
        <n v="2498"/>
        <n v="2208"/>
        <n v="1084"/>
        <n v="1153"/>
        <n v="1055"/>
        <n v="1078"/>
        <n v="962"/>
        <n v="973"/>
        <n v="1154"/>
        <n v="1422"/>
        <n v="1068"/>
        <n v="1191"/>
        <n v="1132"/>
        <n v="1208"/>
        <n v="947"/>
        <n v="1168"/>
        <n v="1526"/>
        <n v="1207"/>
        <n v="1215"/>
        <n v="1176"/>
        <n v="1232"/>
        <n v="1141"/>
        <n v="1423"/>
        <n v="1069"/>
        <n v="1508"/>
        <n v="825"/>
        <n v="893"/>
        <n v="1025"/>
        <n v="1075"/>
        <n v="1053"/>
        <n v="879"/>
        <n v="1054"/>
        <n v="963"/>
        <n v="1136"/>
        <n v="685"/>
        <n v="643"/>
        <n v="813"/>
        <n v="805"/>
        <n v="717"/>
        <n v="829"/>
        <n v="847"/>
        <n v="900"/>
        <n v="499"/>
        <n v="640"/>
        <n v="745"/>
        <n v="531"/>
        <n v="452"/>
        <n v="451"/>
        <n v="784"/>
        <n v="562"/>
        <n v="797"/>
        <n v="528"/>
        <n v="544"/>
        <n v="533"/>
        <n v="740"/>
        <n v="557"/>
        <n v="794"/>
        <n v="709"/>
        <n v="783"/>
        <n v="903"/>
        <n v="697"/>
        <n v="650"/>
        <n v="754"/>
        <n v="633"/>
        <n v="581"/>
        <n v="690"/>
        <n v="571"/>
        <n v="603"/>
        <n v="546"/>
        <n v="605"/>
        <n v="511"/>
        <n v="494"/>
        <n v="632"/>
        <n v="661"/>
        <n v="550"/>
        <n v="649"/>
        <n v="620"/>
        <n v="488"/>
        <n v="365"/>
        <n v="329"/>
        <n v="416"/>
        <n v="791"/>
        <n v="339"/>
        <n v="654"/>
        <n v="356"/>
        <n v="868"/>
        <n v="436"/>
        <n v="720"/>
        <n v="883"/>
        <n v="762"/>
        <n v="298"/>
        <n v="270"/>
        <n v="321"/>
        <n v="838"/>
        <n v="706"/>
        <n v="299"/>
        <n v="703"/>
        <n v="348"/>
        <n v="320"/>
        <n v="456"/>
        <n v="549"/>
        <n v="273"/>
        <n v="537"/>
        <n v="350"/>
        <n v="545"/>
        <n v="532"/>
        <n v="269"/>
        <n v="295"/>
        <n v="645"/>
        <n v="455"/>
        <n v="387"/>
        <n v="472"/>
        <n v="582"/>
        <n v="519"/>
        <n v="630"/>
        <n v="535"/>
        <n v="458"/>
        <n v="480"/>
        <n v="554"/>
        <n v="597"/>
        <n v="518"/>
        <n v="442"/>
        <n v="418"/>
        <n v="440"/>
        <n v="513"/>
        <n v="450"/>
        <n v="492"/>
        <n v="573"/>
        <n v="586"/>
        <n v="568"/>
        <n v="457"/>
        <n v="412"/>
        <n v="398"/>
        <n v="514"/>
        <n v="663"/>
        <n v="566"/>
        <n v="647"/>
        <n v="560"/>
        <n v="501"/>
        <n v="642"/>
        <n v="521"/>
        <n v="471"/>
        <n v="595"/>
        <n v="246"/>
        <n v="355"/>
        <n v="230"/>
        <n v="275"/>
        <n v="420"/>
        <n v="337"/>
        <n v="415"/>
        <n v="307"/>
        <n v="280"/>
        <n v="394"/>
        <n v="286"/>
        <n v="366"/>
        <n v="272"/>
        <n v="377"/>
        <n v="254"/>
        <n v="260"/>
        <n v="266"/>
        <n v="358"/>
        <n v="251"/>
        <n v="244"/>
        <n v="381"/>
        <n v="256"/>
        <n v="375"/>
        <n v="328"/>
        <n v="282"/>
        <n v="289"/>
        <n v="287"/>
        <n v="345"/>
        <n v="253"/>
        <n v="327"/>
        <n v="341"/>
        <n v="292"/>
        <n v="338"/>
        <n v="291"/>
        <n v="313"/>
        <n v="296"/>
        <n v="271"/>
        <n v="344"/>
        <n v="357"/>
        <n v="390"/>
        <n v="386"/>
        <n v="318"/>
        <n v="407"/>
        <n v="374"/>
        <n v="175"/>
        <n v="264"/>
        <n v="186"/>
        <n v="225"/>
        <n v="236"/>
        <n v="227"/>
        <n v="208"/>
        <n v="229"/>
        <n v="211"/>
        <n v="193"/>
        <n v="305"/>
        <n v="389"/>
        <n v="397"/>
        <n v="364"/>
        <n v="326"/>
        <n v="257"/>
        <n v="317"/>
        <n v="206"/>
        <n v="196"/>
        <n v="411"/>
        <n v="342"/>
        <n v="219"/>
        <n v="319"/>
        <n v="107"/>
        <n v="160"/>
        <n v="353"/>
        <n v="263"/>
        <n v="388"/>
        <n v="288"/>
        <n v="161"/>
        <n v="343"/>
        <n v="121"/>
        <n v="222"/>
        <n v="154"/>
        <n v="335"/>
        <n v="240"/>
        <n v="237"/>
        <n v="147"/>
        <n v="360"/>
        <n v="322"/>
        <n v="217"/>
        <n v="177"/>
        <n v="290"/>
        <n v="143"/>
        <n v="268"/>
        <n v="303"/>
        <n v="294"/>
        <n v="122"/>
        <n v="333"/>
        <n v="285"/>
        <n v="171"/>
        <n v="241"/>
        <n v="403"/>
        <n v="137"/>
        <n v="152"/>
        <n v="155"/>
        <n v="116"/>
        <n v="118"/>
        <n v="239"/>
        <n v="150"/>
        <n v="99"/>
        <n v="141"/>
        <n v="153"/>
        <n v="111"/>
        <n v="129"/>
        <n v="132"/>
        <n v="109"/>
        <n v="178"/>
        <n v="174"/>
        <n v="194"/>
        <n v="135"/>
        <n v="149"/>
        <n v="207"/>
        <n v="164"/>
        <n v="199"/>
        <n v="215"/>
        <n v="157"/>
        <n v="158"/>
        <n v="166"/>
        <n v="198"/>
        <n v="184"/>
        <n v="170"/>
        <n v="119"/>
        <n v="91"/>
        <n v="212"/>
        <n v="101"/>
        <n v="103"/>
        <n v="87"/>
        <n v="65"/>
        <n v="104"/>
        <n v="114"/>
        <n v="382"/>
        <n v="224"/>
        <n v="252"/>
        <n v="187"/>
        <n v="139"/>
        <n v="142"/>
        <n v="96"/>
        <n v="125"/>
        <n v="85"/>
        <n v="123"/>
        <n v="105"/>
        <n v="89"/>
        <n v="98"/>
        <n v="83"/>
        <n v="163"/>
        <n v="94"/>
        <n v="110"/>
        <n v="71"/>
        <n v="126"/>
        <n v="76"/>
        <n v="66"/>
        <n v="60"/>
        <n v="77"/>
        <n v="88"/>
        <n v="70"/>
        <n v="84"/>
        <n v="102"/>
        <n v="86"/>
        <n v="75"/>
        <n v="100"/>
        <n v="93"/>
        <n v="117"/>
        <n v="72"/>
        <n v="67"/>
      </sharedItems>
    </cacheField>
    <cacheField name="Total Flu Deaths" numFmtId="3">
      <sharedItems containsSemiMixedTypes="0" containsString="0" containsNumber="1" containsInteger="1" minValue="720" maxValue="6812" count="351">
        <n v="6233"/>
        <n v="6617"/>
        <n v="6463"/>
        <n v="6251"/>
        <n v="6812"/>
        <n v="6117"/>
        <n v="6451"/>
        <n v="6162"/>
        <n v="6596"/>
        <n v="3214"/>
        <n v="3134"/>
        <n v="3721"/>
        <n v="3485"/>
        <n v="3620"/>
        <n v="3255"/>
        <n v="3318"/>
        <n v="3284"/>
        <n v="3558"/>
        <n v="3365"/>
        <n v="3107"/>
        <n v="4832"/>
        <n v="4822"/>
        <n v="5188"/>
        <n v="5021"/>
        <n v="5202"/>
        <n v="4799"/>
        <n v="3006"/>
        <n v="4952"/>
        <n v="5212"/>
        <n v="4727"/>
        <n v="3024"/>
        <n v="2977"/>
        <n v="2671"/>
        <n v="2761"/>
        <n v="2579"/>
        <n v="2674"/>
        <n v="2713"/>
        <n v="3087"/>
        <n v="2555"/>
        <n v="2824"/>
        <n v="2666"/>
        <n v="2700"/>
        <n v="2516"/>
        <n v="2751"/>
        <n v="3216"/>
        <n v="2787"/>
        <n v="2829"/>
        <n v="2669"/>
        <n v="2892"/>
        <n v="2686"/>
        <n v="2897"/>
        <n v="3103"/>
        <n v="2726"/>
        <n v="3261"/>
        <n v="2355"/>
        <n v="2319"/>
        <n v="2611"/>
        <n v="2782"/>
        <n v="2556"/>
        <n v="2490"/>
        <n v="2729"/>
        <n v="2599"/>
        <n v="2801"/>
        <n v="1940"/>
        <n v="1851"/>
        <n v="2408"/>
        <n v="2092"/>
        <n v="1932"/>
        <n v="2211"/>
        <n v="2247"/>
        <n v="2256"/>
        <n v="1812"/>
        <n v="1999"/>
        <n v="2224"/>
        <n v="1818"/>
        <n v="1766"/>
        <n v="1755"/>
        <n v="2157"/>
        <n v="1798"/>
        <n v="2263"/>
        <n v="1805"/>
        <n v="1740"/>
        <n v="2248"/>
        <n v="1780"/>
        <n v="2262"/>
        <n v="1942"/>
        <n v="2057"/>
        <n v="2471"/>
        <n v="1718"/>
        <n v="1808"/>
        <n v="1604"/>
        <n v="1609"/>
        <n v="1744"/>
        <n v="1525"/>
        <n v="1592"/>
        <n v="1505"/>
        <n v="1673"/>
        <n v="1632"/>
        <n v="1572"/>
        <n v="1807"/>
        <n v="1790"/>
        <n v="1595"/>
        <n v="1797"/>
        <n v="1858"/>
        <n v="1583"/>
        <n v="1661"/>
        <n v="1444"/>
        <n v="1213"/>
        <n v="1139"/>
        <n v="1201"/>
        <n v="1865"/>
        <n v="1256"/>
        <n v="1663"/>
        <n v="1126"/>
        <n v="1941"/>
        <n v="1772"/>
        <n v="1166"/>
        <n v="1962"/>
        <n v="1757"/>
        <n v="1026"/>
        <n v="1183"/>
        <n v="1728"/>
        <n v="1277"/>
        <n v="1698"/>
        <n v="1178"/>
        <n v="1469"/>
        <n v="1544"/>
        <n v="1103"/>
        <n v="1516"/>
        <n v="1373"/>
        <n v="1996"/>
        <n v="1492"/>
        <n v="1107"/>
        <n v="1156"/>
        <n v="2055"/>
        <n v="1427"/>
        <n v="1806"/>
        <n v="1342"/>
        <n v="1336"/>
        <n v="1955"/>
        <n v="1897"/>
        <n v="1799"/>
        <n v="1722"/>
        <n v="1362"/>
        <n v="1433"/>
        <n v="1712"/>
        <n v="1915"/>
        <n v="1553"/>
        <n v="1387"/>
        <n v="1385"/>
        <n v="1411"/>
        <n v="1483"/>
        <n v="1338"/>
        <n v="1542"/>
        <n v="1608"/>
        <n v="1697"/>
        <n v="1580"/>
        <n v="1558"/>
        <n v="1422"/>
        <n v="1314"/>
        <n v="1304"/>
        <n v="1375"/>
        <n v="1715"/>
        <n v="1662"/>
        <n v="1705"/>
        <n v="1425"/>
        <n v="1407"/>
        <n v="1326"/>
        <n v="1534"/>
        <n v="1389"/>
        <n v="1284"/>
        <n v="1391"/>
        <n v="1470"/>
        <n v="996"/>
        <n v="1069"/>
        <n v="956"/>
        <n v="979"/>
        <n v="1187"/>
        <n v="1070"/>
        <n v="1065"/>
        <n v="1177"/>
        <n v="1012"/>
        <n v="1121"/>
        <n v="1117"/>
        <n v="1018"/>
        <n v="990"/>
        <n v="995"/>
        <n v="1045"/>
        <n v="1311"/>
        <n v="1125"/>
        <n v="1083"/>
        <n v="1321"/>
        <n v="1334"/>
        <n v="1396"/>
        <n v="1300"/>
        <n v="1127"/>
        <n v="1243"/>
        <n v="1134"/>
        <n v="1370"/>
        <n v="1133"/>
        <n v="1397"/>
        <n v="1095"/>
        <n v="1152"/>
        <n v="1226"/>
        <n v="1220"/>
        <n v="1268"/>
        <n v="1231"/>
        <n v="1487"/>
        <n v="1144"/>
        <n v="1182"/>
        <n v="1132"/>
        <n v="1173"/>
        <n v="1260"/>
        <n v="1363"/>
        <n v="1269"/>
        <n v="1365"/>
        <n v="1302"/>
        <n v="1335"/>
        <n v="1274"/>
        <n v="1320"/>
        <n v="885"/>
        <n v="1025"/>
        <n v="1308"/>
        <n v="908"/>
        <n v="923"/>
        <n v="943"/>
        <n v="906"/>
        <n v="887"/>
        <n v="997"/>
        <n v="929"/>
        <n v="870"/>
        <n v="1131"/>
        <n v="1164"/>
        <n v="1137"/>
        <n v="1158"/>
        <n v="1024"/>
        <n v="1224"/>
        <n v="1118"/>
        <n v="1092"/>
        <n v="1050"/>
        <n v="1038"/>
        <n v="1154"/>
        <n v="958"/>
        <n v="1241"/>
        <n v="1146"/>
        <n v="1138"/>
        <n v="1123"/>
        <n v="999"/>
        <n v="1054"/>
        <n v="794"/>
        <n v="843"/>
        <n v="1087"/>
        <n v="1062"/>
        <n v="1098"/>
        <n v="840"/>
        <n v="1159"/>
        <n v="954"/>
        <n v="981"/>
        <n v="1017"/>
        <n v="1194"/>
        <n v="1141"/>
        <n v="1102"/>
        <n v="841"/>
        <n v="1059"/>
        <n v="1029"/>
        <n v="822"/>
        <n v="1096"/>
        <n v="1186"/>
        <n v="1101"/>
        <n v="1027"/>
        <n v="992"/>
        <n v="891"/>
        <n v="1060"/>
        <n v="1153"/>
        <n v="914"/>
        <n v="833"/>
        <n v="836"/>
        <n v="868"/>
        <n v="790"/>
        <n v="1061"/>
        <n v="901"/>
        <n v="1161"/>
        <n v="800"/>
        <n v="826"/>
        <n v="827"/>
        <n v="783"/>
        <n v="799"/>
        <n v="802"/>
        <n v="792"/>
        <n v="795"/>
        <n v="847"/>
        <n v="909"/>
        <n v="903"/>
        <n v="854"/>
        <n v="809"/>
        <n v="873"/>
        <n v="888"/>
        <n v="944"/>
        <n v="893"/>
        <n v="828"/>
        <n v="857"/>
        <n v="786"/>
        <n v="751"/>
        <n v="955"/>
        <n v="761"/>
        <n v="768"/>
        <n v="747"/>
        <n v="725"/>
        <n v="772"/>
        <n v="1088"/>
        <n v="988"/>
        <n v="1030"/>
        <n v="921"/>
        <n v="949"/>
        <n v="915"/>
        <n v="853"/>
        <n v="811"/>
        <n v="818"/>
        <n v="756"/>
        <n v="785"/>
        <n v="745"/>
        <n v="780"/>
        <n v="771"/>
        <n v="749"/>
        <n v="758"/>
        <n v="850"/>
        <n v="754"/>
        <n v="770"/>
        <n v="788"/>
        <n v="815"/>
        <n v="810"/>
        <n v="765"/>
        <n v="775"/>
        <n v="769"/>
        <n v="731"/>
        <n v="736"/>
        <n v="766"/>
        <n v="726"/>
        <n v="737"/>
        <n v="748"/>
        <n v="720"/>
        <n v="752"/>
        <n v="744"/>
        <n v="746"/>
        <n v="735"/>
        <n v="760"/>
        <n v="767"/>
        <n v="759"/>
        <n v="777"/>
        <n v="732"/>
        <n v="727"/>
      </sharedItems>
    </cacheField>
    <cacheField name="Mort % &lt;5 years" numFmtId="164">
      <sharedItems containsSemiMixedTypes="0" containsString="0" containsNumber="1" minValue="4.4348520237708066E-5" maxValue="4.9513120977058922E-3"/>
    </cacheField>
    <cacheField name="Mort % 5 to 14 years" numFmtId="164">
      <sharedItems containsSemiMixedTypes="0" containsString="0" containsNumber="1" minValue="1.1811139873423951E-5" maxValue="1.1532251864380717E-3"/>
    </cacheField>
    <cacheField name="Mort % 15 to 24 years" numFmtId="164">
      <sharedItems containsSemiMixedTypes="0" containsString="0" containsNumber="1" minValue="1.0724399205750995E-5" maxValue="9.4768764215314631E-4"/>
    </cacheField>
    <cacheField name="Mort % 25 to 34 years" numFmtId="164">
      <sharedItems containsSemiMixedTypes="0" containsString="0" containsNumber="1" minValue="1.0412557683400283E-5" maxValue="1.024555172296028E-3"/>
    </cacheField>
    <cacheField name="Mort %  35 to 44 years" numFmtId="164">
      <sharedItems containsSemiMixedTypes="0" containsString="0" containsNumber="1" minValue="1.1551065528039634E-5" maxValue="1.0543518372080763E-3"/>
    </cacheField>
    <cacheField name="Mort %  45 to 54 years" numFmtId="164">
      <sharedItems containsSemiMixedTypes="0" containsString="0" containsNumber="1" minValue="2.7900571292097776E-5" maxValue="9.5852770145057192E-4"/>
    </cacheField>
    <cacheField name="Mort % 55 to 64 years" numFmtId="164">
      <sharedItems containsSemiMixedTypes="0" containsString="0" containsNumber="1" minValue="6.6899079022678793E-5" maxValue="9.7516577818229102E-4"/>
    </cacheField>
    <cacheField name="Mort %  65 to 74 years" numFmtId="164">
      <sharedItems containsSemiMixedTypes="0" containsString="0" containsNumber="1" minValue="1.4112089066821827E-4" maxValue="1.9679874048806087E-3"/>
    </cacheField>
    <cacheField name="Mort % 75 to 84 years" numFmtId="164">
      <sharedItems containsSemiMixedTypes="0" containsString="0" containsNumber="1" minValue="4.4107512060647828E-4" maxValue="4.1981528127623844E-3"/>
    </cacheField>
    <cacheField name="Mort % 85+ years" numFmtId="164">
      <sharedItems containsSemiMixedTypes="0" containsString="0" containsNumber="1" minValue="2.0708588739261117E-3" maxValue="1.4164305949008499E-2"/>
    </cacheField>
    <cacheField name="Total Mort %" numFmtId="164">
      <sharedItems containsSemiMixedTypes="0" containsString="0" containsNumber="1" minValue="1.2039282789115367E-4" maxValue="1.4678270655078987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9">
  <r>
    <s v="California, 2016"/>
    <s v="California"/>
    <n v="2016"/>
    <x v="0"/>
    <n v="19149385"/>
    <n v="0.49657398327749613"/>
    <n v="19413621"/>
    <n v="0.50342604265409296"/>
    <x v="0"/>
    <n v="1.7466766399558332E-2"/>
    <x v="0"/>
    <x v="0"/>
    <n v="4.8124990224611362E-5"/>
    <n v="1.1843532720522631E-5"/>
    <n v="1.0901572788075423E-5"/>
    <n v="1.0534316325504054E-5"/>
    <n v="1.7279194704101557E-5"/>
    <n v="3.6165217332757514E-5"/>
    <n v="1.1364151905130014E-4"/>
    <n v="3.2735283517411546E-4"/>
    <n v="9.7507163964496275E-4"/>
    <n v="4.0456017257275035E-3"/>
    <n v="1.616315948407029E-4"/>
  </r>
  <r>
    <s v="California, 2017"/>
    <s v="California"/>
    <n v="2017"/>
    <x v="1"/>
    <n v="19133362"/>
    <n v="0.49668129563950214"/>
    <n v="19389051"/>
    <n v="0.50331870436049786"/>
    <x v="1"/>
    <n v="1.7677838613069229E-2"/>
    <x v="1"/>
    <x v="1"/>
    <n v="4.8669023869722758E-5"/>
    <n v="1.1960797290799675E-5"/>
    <n v="1.1150878447619306E-5"/>
    <n v="1.0412557683400283E-5"/>
    <n v="1.481713992156664E-5"/>
    <n v="3.2627618657715305E-5"/>
    <n v="1.1072956252576995E-4"/>
    <n v="3.1977982643176261E-4"/>
    <n v="1.0723820934377612E-3"/>
    <n v="4.3833049678924747E-3"/>
    <n v="1.7177013288342035E-4"/>
  </r>
  <r>
    <s v="California, 2015"/>
    <s v="California"/>
    <n v="2015"/>
    <x v="2"/>
    <n v="19072017"/>
    <n v="0.49672749281084483"/>
    <n v="19323318"/>
    <n v="0.50327258532365338"/>
    <x v="2"/>
    <n v="1.7171905168055324E-2"/>
    <x v="2"/>
    <x v="2"/>
    <n v="4.7766156006653826E-5"/>
    <n v="1.184010412976912E-5"/>
    <n v="1.0768056774938281E-5"/>
    <n v="1.06876467547495E-5"/>
    <n v="1.3333732701172693E-5"/>
    <n v="3.2432844932844933E-5"/>
    <n v="9.9964887616571871E-5"/>
    <n v="3.2472700884199134E-4"/>
    <n v="1.0672877350793243E-3"/>
    <n v="4.5759197720078686E-3"/>
    <n v="1.6832775400926341E-4"/>
  </r>
  <r>
    <s v="California, 2014"/>
    <s v="California"/>
    <n v="2014"/>
    <x v="3"/>
    <n v="18889198"/>
    <n v="0.49674921819819279"/>
    <n v="19136425"/>
    <n v="0.50325080809986489"/>
    <x v="3"/>
    <n v="1.7112330207248155E-2"/>
    <x v="3"/>
    <x v="3"/>
    <n v="4.750571256193557E-5"/>
    <n v="1.182633966311883E-5"/>
    <n v="1.0724399205750995E-5"/>
    <n v="1.4876303536097351E-5"/>
    <n v="2.5934081757386278E-5"/>
    <n v="4.9261742147239146E-5"/>
    <n v="1.3689088494960253E-4"/>
    <n v="3.1449977631203412E-4"/>
    <n v="1.0264033411198415E-3"/>
    <n v="4.0540519773108324E-3"/>
    <n v="1.6438915844690192E-4"/>
  </r>
  <r>
    <s v="California, 2013"/>
    <s v="California"/>
    <n v="2013"/>
    <x v="4"/>
    <n v="18682616"/>
    <n v="0.49724840291964245"/>
    <n v="18889383"/>
    <n v="0.50275162369592374"/>
    <x v="4"/>
    <n v="1.6679868874686941E-2"/>
    <x v="4"/>
    <x v="4"/>
    <n v="4.7613813878395112E-5"/>
    <n v="1.1824624267636969E-5"/>
    <n v="1.0726026882998711E-5"/>
    <n v="1.2190594402300697E-5"/>
    <n v="1.3942345303869543E-5"/>
    <n v="3.4250218703910497E-5"/>
    <n v="1.2010943623843138E-4"/>
    <n v="3.4235360662082106E-4"/>
    <n v="1.1517896236840157E-3"/>
    <n v="5.2082668470837534E-3"/>
    <n v="1.813052369480058E-4"/>
  </r>
  <r>
    <s v="California, 2012"/>
    <s v="California"/>
    <n v="2012"/>
    <x v="5"/>
    <n v="18539359"/>
    <n v="0.49722393817495825"/>
    <n v="18746376"/>
    <n v="0.50277611546486156"/>
    <x v="5"/>
    <n v="1.6458600934571944E-2"/>
    <x v="5"/>
    <x v="5"/>
    <n v="4.729142314867872E-5"/>
    <n v="1.1812260654068497E-5"/>
    <n v="1.0740684783099031E-5"/>
    <n v="1.1243522325700106E-5"/>
    <n v="1.1551065528039634E-5"/>
    <n v="3.1836756455909256E-5"/>
    <n v="1.0191057594316754E-4"/>
    <n v="3.2055959802347643E-4"/>
    <n v="1.0375487676681685E-3"/>
    <n v="4.7875816194671086E-3"/>
    <n v="1.6405738892138718E-4"/>
  </r>
  <r>
    <s v="California, 2011"/>
    <s v="California"/>
    <n v="2011"/>
    <x v="6"/>
    <n v="18386710"/>
    <n v="0.49736437626312646"/>
    <n v="18581580"/>
    <n v="0.50263565078708405"/>
    <x v="6"/>
    <n v="1.5741761811048381E-2"/>
    <x v="6"/>
    <x v="6"/>
    <n v="4.7063105349192552E-5"/>
    <n v="1.1811139873423951E-5"/>
    <n v="1.0797709589841802E-5"/>
    <n v="1.2864288753338803E-5"/>
    <n v="1.6222469991293305E-5"/>
    <n v="4.1535290478784602E-5"/>
    <n v="1.1352569119631277E-4"/>
    <n v="3.0226477854037193E-4"/>
    <n v="1.1713401957304395E-3"/>
    <n v="5.2410361098796108E-3"/>
    <n v="1.7450090806204205E-4"/>
  </r>
  <r>
    <s v="California, 2010"/>
    <s v="California"/>
    <n v="2010"/>
    <x v="7"/>
    <n v="18100624"/>
    <n v="0.49742446066138851"/>
    <n v="18288065"/>
    <n v="0.50257553933861154"/>
    <x v="7"/>
    <n v="1.5267958678038662E-2"/>
    <x v="7"/>
    <x v="7"/>
    <n v="4.7324900824754712E-5"/>
    <n v="1.1835631484200024E-5"/>
    <n v="1.0951321194767239E-5"/>
    <n v="1.1506917095539057E-5"/>
    <n v="1.4675463558822785E-5"/>
    <n v="2.840700936099118E-5"/>
    <n v="9.4083967931037256E-5"/>
    <n v="3.2886891805438307E-4"/>
    <n v="1.1679028636179397E-3"/>
    <n v="5.3187564009568363E-3"/>
    <n v="1.6933833477760082E-4"/>
  </r>
  <r>
    <s v="California, 2009"/>
    <s v="California"/>
    <n v="2009"/>
    <x v="8"/>
    <n v="18158602"/>
    <n v="0.50011948983774523"/>
    <n v="18149925"/>
    <n v="0.49988051016225471"/>
    <x v="8"/>
    <n v="1.4968549949712915E-2"/>
    <x v="8"/>
    <x v="8"/>
    <n v="4.4348520237708066E-5"/>
    <n v="1.2693150697771785E-5"/>
    <n v="1.2501164881273027E-5"/>
    <n v="2.3253400242629383E-5"/>
    <n v="3.4198754941066015E-5"/>
    <n v="6.8321130639677324E-5"/>
    <n v="1.2239506938761761E-4"/>
    <n v="3.448863774752174E-4"/>
    <n v="1.1870700233197835E-3"/>
    <n v="5.254965169295989E-3"/>
    <n v="1.8166531514759605E-4"/>
  </r>
  <r>
    <s v="Texas, 2017"/>
    <s v="Texas"/>
    <n v="2017"/>
    <x v="9"/>
    <n v="13124624"/>
    <n v="0.49597024440942383"/>
    <n v="13337908"/>
    <n v="0.50403009569420121"/>
    <x v="9"/>
    <n v="1.3013762897815903E-2"/>
    <x v="9"/>
    <x v="9"/>
    <n v="6.2754252777267897E-5"/>
    <n v="1.5389208471451478E-5"/>
    <n v="1.577402759035166E-5"/>
    <n v="1.5499806769075613E-5"/>
    <n v="1.9800555419523572E-5"/>
    <n v="4.9411149285579875E-5"/>
    <n v="1.1135302118508307E-4"/>
    <n v="2.8175357332065623E-4"/>
    <n v="8.2253730001298746E-4"/>
    <n v="2.9938120141589013E-3"/>
    <n v="1.2145478343089205E-4"/>
  </r>
  <r>
    <s v="Texas, 2016"/>
    <s v="Texas"/>
    <n v="2016"/>
    <x v="10"/>
    <n v="12904176"/>
    <n v="0.49571481820202801"/>
    <n v="13127281"/>
    <n v="0.50428541228838919"/>
    <x v="10"/>
    <n v="1.2918987881236433E-2"/>
    <x v="10"/>
    <x v="10"/>
    <n v="6.2976621503682301E-5"/>
    <n v="1.5502341757908714E-5"/>
    <n v="1.5883651196078645E-5"/>
    <n v="1.5811143272147721E-5"/>
    <n v="2.0946504608655607E-5"/>
    <n v="3.5821055915175737E-5"/>
    <n v="1.1245601476266334E-4"/>
    <n v="2.9675426455356242E-4"/>
    <n v="8.1955391543027725E-4"/>
    <n v="3.0508474576271187E-3"/>
    <n v="1.2039282789115367E-4"/>
  </r>
  <r>
    <s v="Texas, 2014"/>
    <s v="Texas"/>
    <n v="2014"/>
    <x v="11"/>
    <n v="12706965"/>
    <n v="0.49616679153194371"/>
    <n v="12903313"/>
    <n v="0.50383355988958956"/>
    <x v="11"/>
    <n v="1.2637860227083129E-2"/>
    <x v="11"/>
    <x v="11"/>
    <n v="6.2876406990598923E-5"/>
    <n v="1.5594436528823976E-5"/>
    <n v="1.6027952749595293E-5"/>
    <n v="2.4243482139826708E-5"/>
    <n v="3.3150784916278552E-5"/>
    <n v="6.042876715882213E-5"/>
    <n v="1.6697150510958325E-4"/>
    <n v="3.3248330721707107E-4"/>
    <n v="9.7982668059777697E-4"/>
    <n v="3.6767091290524903E-3"/>
    <n v="1.4529328059771648E-4"/>
  </r>
  <r>
    <s v="Texas, 2015"/>
    <s v="Texas"/>
    <n v="2015"/>
    <x v="12"/>
    <n v="12591402"/>
    <n v="0.49539353020417187"/>
    <n v="12825574"/>
    <n v="0.50460674520238824"/>
    <x v="12"/>
    <n v="1.2633095629931326E-2"/>
    <x v="12"/>
    <x v="12"/>
    <n v="6.3988772103454913E-5"/>
    <n v="1.5798266666842203E-5"/>
    <n v="1.6153075155143555E-5"/>
    <n v="1.7601872189285658E-5"/>
    <n v="1.8773766866785393E-5"/>
    <n v="4.8897497263098417E-5"/>
    <n v="1.1549059350906547E-4"/>
    <n v="3.0246834906554965E-4"/>
    <n v="9.8312032392981513E-4"/>
    <n v="3.902271913296688E-3"/>
    <n v="1.3711312312652228E-4"/>
  </r>
  <r>
    <s v="Texas, 2013"/>
    <s v="Texas"/>
    <n v="2013"/>
    <x v="13"/>
    <n v="12517534"/>
    <n v="0.4961658681063702"/>
    <n v="12711002"/>
    <n v="0.5038344886326499"/>
    <x v="13"/>
    <n v="1.2469336794811683E-2"/>
    <x v="13"/>
    <x v="13"/>
    <n v="6.289894969237172E-5"/>
    <n v="1.5774993900335692E-5"/>
    <n v="1.6169691207407012E-5"/>
    <n v="1.9239130853024583E-5"/>
    <n v="2.6577942561021658E-5"/>
    <n v="5.4747268851112288E-5"/>
    <n v="1.3748241449252981E-4"/>
    <n v="3.2020283869618629E-4"/>
    <n v="1.017753197874941E-3"/>
    <n v="4.0593420496339598E-3"/>
    <n v="1.4348836140928877E-4"/>
  </r>
  <r>
    <s v="Texas, 2012"/>
    <s v="Texas"/>
    <n v="2012"/>
    <x v="14"/>
    <n v="12272136"/>
    <n v="0.49599562338829478"/>
    <n v="12470298"/>
    <n v="0.5040046191101375"/>
    <x v="14"/>
    <n v="1.2363782568145697E-2"/>
    <x v="14"/>
    <x v="14"/>
    <n v="6.3300120111977907E-5"/>
    <n v="1.6110232655924901E-5"/>
    <n v="1.6406092347706347E-5"/>
    <n v="1.6824631260164882E-5"/>
    <n v="2.1643907415553663E-5"/>
    <n v="3.909945887542793E-5"/>
    <n v="9.9583273290477378E-5"/>
    <n v="3.0127164020497425E-4"/>
    <n v="9.7146206279560517E-4"/>
    <n v="3.9586806577097842E-3"/>
    <n v="1.3155539949434228E-4"/>
  </r>
  <r>
    <s v="Texas, 2011"/>
    <s v="Texas"/>
    <n v="2011"/>
    <x v="15"/>
    <n v="12175334"/>
    <n v="0.4957706729986755"/>
    <n v="12383067"/>
    <n v="0.50422940843985797"/>
    <x v="15"/>
    <n v="1.211723940147727E-2"/>
    <x v="15"/>
    <x v="15"/>
    <n v="6.2895488139745395E-5"/>
    <n v="1.6226996204505586E-5"/>
    <n v="1.6452415091142266E-5"/>
    <n v="1.7016951152274487E-5"/>
    <n v="2.0138800112777281E-5"/>
    <n v="4.0584863696033695E-5"/>
    <n v="1.1260088335392991E-4"/>
    <n v="2.864372999359229E-4"/>
    <n v="1.0010334454873088E-3"/>
    <n v="4.2509577256536054E-3"/>
    <n v="1.351065270989367E-4"/>
  </r>
  <r>
    <s v="Texas, 2010"/>
    <s v="Texas"/>
    <n v="2010"/>
    <x v="16"/>
    <n v="11905959"/>
    <n v="0.49577288243746209"/>
    <n v="12108989"/>
    <n v="0.50422720084400774"/>
    <x v="16"/>
    <n v="1.1924782175233706E-2"/>
    <x v="16"/>
    <x v="16"/>
    <n v="6.3632796343235308E-5"/>
    <n v="1.6571916732747186E-5"/>
    <n v="1.6715936890651863E-5"/>
    <n v="1.7402522669686198E-5"/>
    <n v="2.1213244371271846E-5"/>
    <n v="4.5989025982885991E-5"/>
    <n v="1.1224277521527615E-4"/>
    <n v="2.8807034234574943E-4"/>
    <n v="1.047185467195584E-3"/>
    <n v="4.2566862099429762E-3"/>
    <n v="1.3674817340834328E-4"/>
  </r>
  <r>
    <s v="Texas, 2009"/>
    <s v="Texas"/>
    <n v="2009"/>
    <x v="17"/>
    <n v="11832085"/>
    <n v="0.49879116098837001"/>
    <n v="11889436"/>
    <n v="0.50120883901162994"/>
    <x v="17"/>
    <n v="1.2363541106828689E-2"/>
    <x v="17"/>
    <x v="17"/>
    <n v="6.0430902550637318E-5"/>
    <n v="1.6820730541148132E-5"/>
    <n v="1.7100652731914779E-5"/>
    <n v="2.3541814281498085E-5"/>
    <n v="3.5798043415038666E-5"/>
    <n v="7.0847194513793887E-5"/>
    <n v="1.4197801804061378E-4"/>
    <n v="3.2287377891470839E-4"/>
    <n v="1.0525548545386486E-3"/>
    <n v="4.2450610675049951E-3"/>
    <n v="1.4999038215129628E-4"/>
  </r>
  <r>
    <s v="Florida, 2017"/>
    <s v="Florida"/>
    <n v="2017"/>
    <x v="18"/>
    <n v="9857413"/>
    <n v="0.48857708344836415"/>
    <n v="10318347"/>
    <n v="0.5114230156805013"/>
    <x v="18"/>
    <n v="2.5799476778022416E-2"/>
    <x v="18"/>
    <x v="18"/>
    <n v="1.0902232413790597E-4"/>
    <n v="2.6359525475822383E-5"/>
    <n v="2.4184177018502105E-5"/>
    <n v="2.3179071461849953E-5"/>
    <n v="2.4465779510317423E-5"/>
    <n v="3.3202529959810341E-5"/>
    <n v="1.1384909757512807E-4"/>
    <n v="2.3953318880878661E-4"/>
    <n v="6.0663729694161847E-4"/>
    <n v="2.485956459260284E-3"/>
    <n v="1.6678431610847038E-4"/>
  </r>
  <r>
    <s v="Florida, 2016"/>
    <s v="Florida"/>
    <n v="2016"/>
    <x v="19"/>
    <n v="9694326"/>
    <n v="0.48808231084853582"/>
    <n v="10167751"/>
    <n v="0.51191794088753684"/>
    <x v="19"/>
    <n v="2.5890702641698207E-2"/>
    <x v="19"/>
    <x v="19"/>
    <n v="1.1005115544542288E-4"/>
    <n v="2.6589545168103538E-5"/>
    <n v="2.4230167204307156E-5"/>
    <n v="2.3813568336209482E-5"/>
    <n v="3.3006227862619827E-5"/>
    <n v="4.8592746747026158E-5"/>
    <n v="1.0648567728777093E-4"/>
    <n v="2.2683796545127751E-4"/>
    <n v="5.871341404682835E-4"/>
    <n v="2.1157312787923217E-3"/>
    <n v="1.5642879554560068E-4"/>
  </r>
  <r>
    <s v="New York, 2017"/>
    <s v="New York"/>
    <n v="2017"/>
    <x v="20"/>
    <n v="9543928"/>
    <n v="0.48489956294693126"/>
    <n v="10138351"/>
    <n v="0.51510048786019591"/>
    <x v="20"/>
    <n v="2.2040334965292126E-2"/>
    <x v="20"/>
    <x v="20"/>
    <n v="1.0227571999976136E-4"/>
    <n v="2.6178238902608226E-5"/>
    <n v="2.2636145094671905E-5"/>
    <n v="2.0884064205966995E-5"/>
    <n v="2.4240044310801002E-5"/>
    <n v="4.5493718748291691E-5"/>
    <n v="1.3236898749649699E-4"/>
    <n v="3.9524093706497096E-4"/>
    <n v="1.2802377132741685E-3"/>
    <n v="4.9930383306746829E-3"/>
    <n v="2.4550003815615245E-4"/>
  </r>
  <r>
    <s v="New York, 2016"/>
    <s v="New York"/>
    <n v="2016"/>
    <x v="21"/>
    <n v="9530584"/>
    <n v="0.48500023841415352"/>
    <n v="10120095"/>
    <n v="0.51499976158584648"/>
    <x v="21"/>
    <n v="2.1620881395497834E-2"/>
    <x v="21"/>
    <x v="21"/>
    <n v="1.0267502669550695E-4"/>
    <n v="2.593041572939018E-5"/>
    <n v="2.2286233236573938E-5"/>
    <n v="2.1222365826897652E-5"/>
    <n v="2.7202219701127613E-5"/>
    <n v="4.1481652484750981E-5"/>
    <n v="1.5094182075979938E-4"/>
    <n v="4.3582165550775103E-4"/>
    <n v="1.301474349869102E-3"/>
    <n v="4.8980264319254353E-3"/>
    <n v="2.4538592279686619E-4"/>
  </r>
  <r>
    <s v="New York, 2015"/>
    <s v="New York"/>
    <n v="2015"/>
    <x v="22"/>
    <n v="9476276"/>
    <n v="0.48495424158072875"/>
    <n v="10064283"/>
    <n v="0.51504586077049896"/>
    <x v="22"/>
    <n v="2.1195557526840204E-2"/>
    <x v="22"/>
    <x v="22"/>
    <n v="1.024407359000998E-4"/>
    <n v="2.5912117326612305E-5"/>
    <n v="2.214214147721297E-5"/>
    <n v="2.1507002859356031E-5"/>
    <n v="2.3817633146523697E-5"/>
    <n v="5.0367468188121424E-5"/>
    <n v="1.3460277248981172E-4"/>
    <n v="4.0664510573100687E-4"/>
    <n v="1.4213659162541506E-3"/>
    <n v="5.9492048008923807E-3"/>
    <n v="2.6549908480090923E-4"/>
  </r>
  <r>
    <s v="New York, 2014"/>
    <s v="New York"/>
    <n v="2014"/>
    <x v="23"/>
    <n v="9449729"/>
    <n v="0.4845387456239641"/>
    <n v="10052796"/>
    <n v="0.51546125437603596"/>
    <x v="23"/>
    <n v="2.1026303004354565E-2"/>
    <x v="23"/>
    <x v="23"/>
    <n v="1.0293263659375319E-4"/>
    <n v="2.5688494465842009E-5"/>
    <n v="2.1972484589964139E-5"/>
    <n v="2.1811733476612189E-5"/>
    <n v="2.8319697923222152E-5"/>
    <n v="5.8369206812004814E-5"/>
    <n v="1.6394868322992221E-4"/>
    <n v="4.1788209201967509E-4"/>
    <n v="1.3647143831106397E-3"/>
    <n v="5.4722898265157317E-3"/>
    <n v="2.5745384251526403E-4"/>
  </r>
  <r>
    <s v="New York, 2013"/>
    <s v="New York"/>
    <n v="2013"/>
    <x v="24"/>
    <n v="9412134"/>
    <n v="0.48447035204104166"/>
    <n v="10015544"/>
    <n v="0.51552964795895839"/>
    <x v="24"/>
    <n v="2.0596233888578966E-2"/>
    <x v="24"/>
    <x v="24"/>
    <n v="1.0305621802573486E-4"/>
    <n v="2.5529785600860524E-5"/>
    <n v="2.1839576661645991E-5"/>
    <n v="2.2135026613680332E-5"/>
    <n v="2.3367752734903361E-5"/>
    <n v="5.2758050175016037E-5"/>
    <n v="1.4833066550036384E-4"/>
    <n v="4.4721649919486964E-4"/>
    <n v="1.4029565925691757E-3"/>
    <n v="6.072920024891475E-3"/>
    <n v="2.6776231312872282E-4"/>
  </r>
  <r>
    <s v="New York, 2009"/>
    <s v="New York"/>
    <n v="2009"/>
    <x v="25"/>
    <n v="9425099"/>
    <n v="0.48523215939788805"/>
    <n v="9998797"/>
    <n v="0.514767840602112"/>
    <x v="25"/>
    <n v="1.8835562134393635E-2"/>
    <x v="25"/>
    <x v="25"/>
    <n v="9.8448129321462681E-5"/>
    <n v="2.4400678664209246E-5"/>
    <n v="2.2245695550601356E-5"/>
    <n v="2.4931008229150484E-5"/>
    <n v="2.6445912643156132E-5"/>
    <n v="6.765484372251522E-5"/>
    <n v="1.3222400781138754E-4"/>
    <n v="4.0917878430990923E-4"/>
    <n v="1.4065454839122154E-3"/>
    <n v="5.7125676488274206E-3"/>
    <n v="2.4706680884205724E-4"/>
  </r>
  <r>
    <s v="Florida, 2015"/>
    <s v="Florida"/>
    <n v="2015"/>
    <x v="26"/>
    <n v="9408322"/>
    <n v="0.48833853948692885"/>
    <n v="9857664"/>
    <n v="0.51166161622793915"/>
    <x v="26"/>
    <n v="2.5589921884598361E-2"/>
    <x v="26"/>
    <x v="26"/>
    <n v="1.1329144696780162E-4"/>
    <n v="2.7295084428245318E-5"/>
    <n v="2.4622162654827235E-5"/>
    <n v="2.4843630051848654E-5"/>
    <n v="2.5240988336139291E-5"/>
    <n v="3.3739817804983852E-5"/>
    <n v="9.0085017735487872E-5"/>
    <n v="2.2577916851829476E-4"/>
    <n v="6.3580179984820554E-4"/>
    <n v="2.2250844294798332E-3"/>
    <n v="1.5602629774976964E-4"/>
  </r>
  <r>
    <s v="New York, 2010"/>
    <s v="New York"/>
    <n v="2010"/>
    <x v="27"/>
    <n v="9300854"/>
    <n v="0.48366999220790785"/>
    <n v="9928898"/>
    <n v="0.51633000779209215"/>
    <x v="27"/>
    <n v="1.9071332797219641E-2"/>
    <x v="27"/>
    <x v="27"/>
    <n v="1.0341511170555649E-4"/>
    <n v="2.4912122487923848E-5"/>
    <n v="2.1794152774105058E-5"/>
    <n v="2.3018376721055256E-5"/>
    <n v="2.2005557136695587E-5"/>
    <n v="4.9693591429864366E-5"/>
    <n v="1.4870417539429413E-4"/>
    <n v="4.002742988694356E-4"/>
    <n v="1.4365734158070622E-3"/>
    <n v="6.1979020387907414E-3"/>
    <n v="2.575176216521149E-4"/>
  </r>
  <r>
    <s v="New York, 2011"/>
    <s v="New York"/>
    <n v="2011"/>
    <x v="28"/>
    <n v="9298802"/>
    <n v="0.48382499928457517"/>
    <n v="9920549"/>
    <n v="0.51617505274632081"/>
    <x v="28"/>
    <n v="1.9563981091972413E-2"/>
    <x v="28"/>
    <x v="28"/>
    <n v="1.0400614329619736E-4"/>
    <n v="2.5269073517842494E-5"/>
    <n v="2.1894462124222611E-5"/>
    <n v="2.2873760099241621E-5"/>
    <n v="2.4436907851428112E-5"/>
    <n v="5.5737840243355645E-5"/>
    <n v="1.4832882853187422E-4"/>
    <n v="3.9815646046419031E-4"/>
    <n v="1.4522681381762123E-3"/>
    <n v="6.643493339219749E-3"/>
    <n v="2.7118502967061841E-4"/>
  </r>
  <r>
    <s v="New York, 2012"/>
    <s v="New York"/>
    <n v="2012"/>
    <x v="29"/>
    <n v="9269157"/>
    <n v="0.48382166183583958"/>
    <n v="9889056"/>
    <n v="0.51617849475499011"/>
    <x v="29"/>
    <n v="2.0106784506485731E-2"/>
    <x v="29"/>
    <x v="29"/>
    <n v="1.0464903330455485E-4"/>
    <n v="2.5638220775846746E-5"/>
    <n v="2.1925881749334549E-5"/>
    <n v="2.2668069568305507E-5"/>
    <n v="2.3170397808698245E-5"/>
    <n v="4.6536924562934794E-5"/>
    <n v="1.3494778355957967E-4"/>
    <n v="3.7491557033939065E-4"/>
    <n v="1.3447653956376838E-3"/>
    <n v="5.7319384231977362E-3"/>
    <n v="2.4673495070781664E-4"/>
  </r>
  <r>
    <s v="Florida, 2014"/>
    <s v="Florida"/>
    <n v="2014"/>
    <x v="30"/>
    <n v="9344832"/>
    <n v="0.4882748445839471"/>
    <n v="9793636"/>
    <n v="0.51172520766684182"/>
    <x v="30"/>
    <n v="2.4870226021760259E-2"/>
    <x v="30"/>
    <x v="30"/>
    <n v="1.1253467474665631E-4"/>
    <n v="2.712096084140069E-5"/>
    <n v="2.4345738704490208E-5"/>
    <n v="2.8517700265550114E-5"/>
    <n v="3.2185589633732171E-5"/>
    <n v="5.8503825377487655E-5"/>
    <n v="1.1359591349978757E-4"/>
    <n v="2.0792015008833927E-4"/>
    <n v="5.9828236787856745E-4"/>
    <n v="2.2774161831008994E-3"/>
    <n v="1.5800638577792046E-4"/>
  </r>
  <r>
    <s v="Florida, 2013"/>
    <s v="Florida"/>
    <n v="2013"/>
    <x v="31"/>
    <n v="9147015"/>
    <n v="0.48868989543538632"/>
    <n v="9570409"/>
    <n v="0.51131021141693556"/>
    <x v="31"/>
    <n v="2.437622018673298E-2"/>
    <x v="31"/>
    <x v="31"/>
    <n v="1.1354432391924728E-4"/>
    <n v="2.7537171739702131E-5"/>
    <n v="2.462466874690396E-5"/>
    <n v="2.5992783536864047E-5"/>
    <n v="2.8605430572726993E-5"/>
    <n v="5.0224634327458661E-5"/>
    <n v="1.1797732543705718E-4"/>
    <n v="2.1131865666877044E-4"/>
    <n v="5.5974367599940437E-4"/>
    <n v="2.5270678998816462E-3"/>
    <n v="1.590496810939028E-4"/>
  </r>
  <r>
    <s v="Florida, 2012"/>
    <s v="Florida"/>
    <n v="2012"/>
    <x v="32"/>
    <n v="9090213"/>
    <n v="0.48834678234286855"/>
    <n v="9524046"/>
    <n v="0.51165327137939098"/>
    <x v="32"/>
    <n v="2.3850910415016274E-2"/>
    <x v="32"/>
    <x v="32"/>
    <n v="1.1341651174286209E-4"/>
    <n v="2.7582795507130382E-5"/>
    <n v="2.4618909538227215E-5"/>
    <n v="2.6369615873805565E-5"/>
    <n v="2.4957862808292001E-5"/>
    <n v="2.7900571292097776E-5"/>
    <n v="8.2399365999433121E-5"/>
    <n v="1.8775033377837116E-4"/>
    <n v="5.5524555872271534E-4"/>
    <n v="2.3763027432219062E-3"/>
    <n v="1.4349215531449065E-4"/>
  </r>
  <r>
    <s v="Florida, 2011"/>
    <s v="Florida"/>
    <n v="2011"/>
    <x v="33"/>
    <n v="9084438"/>
    <n v="0.48873015907173722"/>
    <n v="9503402"/>
    <n v="0.51126984092826278"/>
    <x v="33"/>
    <n v="2.3100962779967978E-2"/>
    <x v="33"/>
    <x v="33"/>
    <n v="1.117962773702907E-4"/>
    <n v="2.7365433899478552E-5"/>
    <n v="2.4536244531484502E-5"/>
    <n v="2.6501848724797293E-5"/>
    <n v="2.6421067264785433E-5"/>
    <n v="4.0574641147078606E-5"/>
    <n v="8.4781873371902496E-5"/>
    <n v="1.9535859055049901E-4"/>
    <n v="5.7648297725504285E-4"/>
    <n v="2.5104972787420498E-3"/>
    <n v="1.4853796890870592E-4"/>
  </r>
  <r>
    <s v="Florida, 2010"/>
    <s v="Florida"/>
    <n v="2010"/>
    <x v="34"/>
    <n v="9041580"/>
    <n v="0.48874853157812459"/>
    <n v="9457873"/>
    <n v="0.5112515224775307"/>
    <x v="34"/>
    <n v="2.2302822807940471E-2"/>
    <x v="34"/>
    <x v="34"/>
    <n v="1.1103934679253594E-4"/>
    <n v="2.7248315259374444E-5"/>
    <n v="2.4591393504101434E-5"/>
    <n v="2.6704670379802723E-5"/>
    <n v="2.394743060034612E-5"/>
    <n v="3.7524409628463313E-5"/>
    <n v="6.9729893385242367E-5"/>
    <n v="1.8004942172902561E-4"/>
    <n v="5.9641707961799852E-4"/>
    <n v="2.3316124966673937E-3"/>
    <n v="1.3940953494189989E-4"/>
  </r>
  <r>
    <s v="Florida, 2009"/>
    <s v="Florida"/>
    <n v="2009"/>
    <x v="35"/>
    <n v="8953246"/>
    <n v="0.49133133798913647"/>
    <n v="9269174"/>
    <n v="0.50866866201086358"/>
    <x v="35"/>
    <n v="2.3457861250042528E-2"/>
    <x v="35"/>
    <x v="35"/>
    <n v="1.0474110617082228E-4"/>
    <n v="2.7265390404036733E-5"/>
    <n v="2.5557026031108864E-5"/>
    <n v="3.0564282143254792E-5"/>
    <n v="2.8590148311394364E-5"/>
    <n v="6.6396134963814111E-5"/>
    <n v="9.607057028637633E-5"/>
    <n v="1.9201553432717148E-4"/>
    <n v="5.1840109310535127E-4"/>
    <n v="2.2762416980341973E-3"/>
    <n v="1.4674230974810152E-4"/>
  </r>
  <r>
    <s v="Illinois, 2009"/>
    <s v="Illinois"/>
    <n v="2009"/>
    <x v="36"/>
    <n v="6291709"/>
    <n v="0.49211480946915859"/>
    <n v="6493337"/>
    <n v="0.50788542518003266"/>
    <x v="36"/>
    <n v="1.7259230180140965E-2"/>
    <x v="36"/>
    <x v="36"/>
    <n v="1.3445543866647097E-4"/>
    <n v="3.4184255415640667E-5"/>
    <n v="3.2761374339653547E-5"/>
    <n v="3.411531317004607E-5"/>
    <n v="3.9648297573689387E-5"/>
    <n v="5.5101061829873849E-5"/>
    <n v="1.3009856658452158E-4"/>
    <n v="3.3043438929945395E-4"/>
    <n v="1.1032999720896951E-3"/>
    <n v="5.229765249705429E-3"/>
    <n v="2.1220108528379608E-4"/>
  </r>
  <r>
    <s v="Pennsylvania, 2017"/>
    <s v="Pennsylvania"/>
    <n v="2017"/>
    <x v="37"/>
    <n v="6233965"/>
    <n v="0.48909390569410027"/>
    <n v="6511982"/>
    <n v="0.51090609430589973"/>
    <x v="37"/>
    <n v="2.5406743021919045E-2"/>
    <x v="37"/>
    <x v="37"/>
    <n v="1.6914821189196503E-4"/>
    <n v="4.0111563628973384E-5"/>
    <n v="3.5544686780220093E-5"/>
    <n v="3.6517852360757431E-5"/>
    <n v="4.010807790058277E-5"/>
    <n v="4.2530026198496139E-5"/>
    <n v="1.1195385925768402E-4"/>
    <n v="3.0207753826944815E-4"/>
    <n v="9.2979797057516603E-4"/>
    <n v="4.3911522296986409E-3"/>
    <n v="2.4219463645973107E-4"/>
  </r>
  <r>
    <s v="Illinois, 2010"/>
    <s v="Illinois"/>
    <n v="2010"/>
    <x v="38"/>
    <n v="6227320"/>
    <n v="0.4903747153834857"/>
    <n v="6471789"/>
    <n v="0.50962559959934184"/>
    <x v="38"/>
    <n v="1.7672505267103469E-2"/>
    <x v="38"/>
    <x v="38"/>
    <n v="1.421452321527777E-4"/>
    <n v="3.4469624505145451E-5"/>
    <n v="3.3346783202558365E-5"/>
    <n v="3.4239442125356307E-5"/>
    <n v="3.3805673718905824E-5"/>
    <n v="3.7853449828226451E-5"/>
    <n v="1.1041582020551775E-4"/>
    <n v="3.0554067711277669E-4"/>
    <n v="1.1391499308305109E-3"/>
    <n v="4.7588281162972042E-3"/>
    <n v="2.0119528108476935E-4"/>
  </r>
  <r>
    <s v="Pennsylvania, 2016"/>
    <s v="Pennsylvania"/>
    <n v="2016"/>
    <x v="39"/>
    <n v="6209327"/>
    <n v="0.48910624223922455"/>
    <n v="6485925"/>
    <n v="0.51089375776077539"/>
    <x v="39"/>
    <n v="2.5308516916403078E-2"/>
    <x v="39"/>
    <x v="39"/>
    <n v="1.6884880293234088E-4"/>
    <n v="3.996326044256647E-5"/>
    <n v="3.5319339810900256E-5"/>
    <n v="3.685682536191867E-5"/>
    <n v="3.9790357867846939E-5"/>
    <n v="4.5769093805432235E-5"/>
    <n v="8.6418898153325433E-5"/>
    <n v="3.1198322301454666E-4"/>
    <n v="9.5713742284613402E-4"/>
    <n v="3.7068391337636711E-3"/>
    <n v="2.2244536776426337E-4"/>
  </r>
  <r>
    <s v="Illinois, 2012"/>
    <s v="Illinois"/>
    <n v="2012"/>
    <x v="40"/>
    <n v="6225969"/>
    <n v="0.49044018919773713"/>
    <n v="6468690"/>
    <n v="0.50956012589550481"/>
    <x v="40"/>
    <n v="1.8305499440512563E-2"/>
    <x v="40"/>
    <x v="40"/>
    <n v="1.4519302202336155E-4"/>
    <n v="3.4976795810712574E-5"/>
    <n v="3.3711330996388951E-5"/>
    <n v="3.4095325985411744E-5"/>
    <n v="3.4968886433295975E-5"/>
    <n v="4.2483914663976747E-5"/>
    <n v="1.2651112408894894E-4"/>
    <n v="3.4403696747908088E-4"/>
    <n v="1.0687927803908071E-3"/>
    <n v="4.8712895146784171E-3"/>
    <n v="2.1000964579187068E-4"/>
  </r>
  <r>
    <s v="Pennsylvania, 2012"/>
    <s v="Pennsylvania"/>
    <n v="2012"/>
    <x v="41"/>
    <n v="6149753"/>
    <n v="0.48728252460202076"/>
    <n v="6470756"/>
    <n v="0.51271755463409241"/>
    <x v="41"/>
    <n v="2.405196367689795E-2"/>
    <x v="41"/>
    <x v="41"/>
    <n v="1.6607180668134556E-4"/>
    <n v="3.9114856865700442E-5"/>
    <n v="3.4057277529348857E-5"/>
    <n v="3.9647769218264932E-5"/>
    <n v="3.7345599287943905E-5"/>
    <n v="3.139071870620014E-5"/>
    <n v="6.6899079022678793E-5"/>
    <n v="2.6184466521941667E-4"/>
    <n v="9.6316418818379436E-4"/>
    <n v="3.9796012492258224E-3"/>
    <n v="2.1393750552671888E-4"/>
  </r>
  <r>
    <s v="Illinois, 2016"/>
    <s v="Illinois"/>
    <n v="2016"/>
    <x v="42"/>
    <n v="6186362"/>
    <n v="0.49049400385157182"/>
    <n v="6426154"/>
    <n v="0.50950623400744954"/>
    <x v="42"/>
    <n v="1.9090723632950862E-2"/>
    <x v="42"/>
    <x v="42"/>
    <n v="1.5449682315907379E-4"/>
    <n v="3.6446535665668638E-5"/>
    <n v="3.4550111481693044E-5"/>
    <n v="3.4347854461271074E-5"/>
    <n v="3.6563093578972318E-5"/>
    <n v="4.3738338840910998E-5"/>
    <n v="1.3950919277203502E-4"/>
    <n v="3.401999926443245E-4"/>
    <n v="9.9536073675872958E-4"/>
    <n v="3.9330182488724243E-3"/>
    <n v="1.9948443264240838E-4"/>
  </r>
  <r>
    <s v="Illinois, 2011"/>
    <s v="Illinois"/>
    <n v="2011"/>
    <x v="43"/>
    <n v="6176101"/>
    <n v="0.49024849302252699"/>
    <n v="6421800"/>
    <n v="0.5097516657341038"/>
    <x v="43"/>
    <n v="1.7833846739047518E-2"/>
    <x v="43"/>
    <x v="43"/>
    <n v="1.4507278422478545E-4"/>
    <n v="3.4951571684799737E-5"/>
    <n v="3.3729960187403656E-5"/>
    <n v="3.4427812623187017E-5"/>
    <n v="3.4717099039204287E-5"/>
    <n v="4.4293082404819091E-5"/>
    <n v="1.427237514334506E-4"/>
    <n v="3.1297182642289095E-4"/>
    <n v="1.2074191560429879E-3"/>
    <n v="5.1987590633331702E-3"/>
    <n v="2.1836974562186917E-4"/>
  </r>
  <r>
    <s v="Pennsylvania, 2013"/>
    <s v="Pennsylvania"/>
    <n v="2013"/>
    <x v="44"/>
    <n v="6136016"/>
    <n v="0.48767065149879257"/>
    <n v="6446280"/>
    <n v="0.51232942797796432"/>
    <x v="44"/>
    <n v="2.4442440747097411E-2"/>
    <x v="44"/>
    <x v="44"/>
    <n v="1.6782348326030682E-4"/>
    <n v="3.9501387157045667E-5"/>
    <n v="3.4431092194414012E-5"/>
    <n v="3.9044299662396955E-5"/>
    <n v="3.8301115711500675E-5"/>
    <n v="3.9364633536539952E-5"/>
    <n v="1.127548805889442E-4"/>
    <n v="2.9927747282966851E-4"/>
    <n v="1.0754762552159839E-3"/>
    <n v="4.9619238998250643E-3"/>
    <n v="2.5559724994526038E-4"/>
  </r>
  <r>
    <s v="Illinois, 2013"/>
    <s v="Illinois"/>
    <n v="2013"/>
    <x v="45"/>
    <n v="6169572"/>
    <n v="0.49041696919093392"/>
    <n v="6410690"/>
    <n v="0.50958334876756894"/>
    <x v="45"/>
    <n v="1.855128885274054E-2"/>
    <x v="45"/>
    <x v="45"/>
    <n v="1.4863681461397161E-4"/>
    <n v="3.5455628462833049E-5"/>
    <n v="3.4074355923684798E-5"/>
    <n v="3.4267777551864281E-5"/>
    <n v="3.5745392716757081E-5"/>
    <n v="3.6088435544110893E-5"/>
    <n v="1.2158810273924486E-4"/>
    <n v="3.6405705178509307E-4"/>
    <n v="1.1890582856553991E-3"/>
    <n v="5.1718227783014827E-3"/>
    <n v="2.2153758690799505E-4"/>
  </r>
  <r>
    <s v="Illinois, 2014"/>
    <s v="Illinois"/>
    <n v="2014"/>
    <x v="46"/>
    <n v="6157931"/>
    <n v="0.49033687906554979"/>
    <n v="6400643"/>
    <n v="0.50966328018822527"/>
    <x v="46"/>
    <n v="1.861095353834815E-2"/>
    <x v="46"/>
    <x v="46"/>
    <n v="1.5120129428307906E-4"/>
    <n v="3.5913477250607835E-5"/>
    <n v="3.4196978013052986E-5"/>
    <n v="3.4301355703915272E-5"/>
    <n v="4.0315423056209926E-5"/>
    <n v="4.8490179329087622E-5"/>
    <n v="1.256616149820225E-4"/>
    <n v="3.7277259975864932E-4"/>
    <n v="1.146451761601615E-3"/>
    <n v="5.1983724601778998E-3"/>
    <n v="2.2526446478150541E-4"/>
  </r>
  <r>
    <s v="Pennsylvania, 2010"/>
    <s v="Pennsylvania"/>
    <n v="2010"/>
    <x v="47"/>
    <n v="6110665"/>
    <n v="0.48671818149378659"/>
    <n v="6444167"/>
    <n v="0.51328181850621335"/>
    <x v="47"/>
    <n v="2.2821253203547446E-2"/>
    <x v="47"/>
    <x v="47"/>
    <n v="1.6540203030992207E-4"/>
    <n v="3.8600450595926622E-5"/>
    <n v="3.4218860409291791E-5"/>
    <n v="4.0574343354970732E-5"/>
    <n v="3.5638723135827491E-5"/>
    <n v="3.4828860337309714E-5"/>
    <n v="8.8977881416870601E-5"/>
    <n v="2.7317739457059927E-4"/>
    <n v="8.8322349288322928E-4"/>
    <n v="4.1044684957611587E-3"/>
    <n v="2.1258747229751859E-4"/>
  </r>
  <r>
    <s v="Pennsylvania, 2009"/>
    <s v="Pennsylvania"/>
    <n v="2009"/>
    <x v="48"/>
    <n v="6085286"/>
    <n v="0.48617739200018917"/>
    <n v="6431311"/>
    <n v="0.5138226878937372"/>
    <x v="48"/>
    <n v="2.2752192369235213E-2"/>
    <x v="48"/>
    <x v="48"/>
    <n v="1.6233283100340628E-4"/>
    <n v="3.8814225413614089E-5"/>
    <n v="3.4921667789010267E-5"/>
    <n v="3.9974949031939983E-5"/>
    <n v="3.7621227169702989E-5"/>
    <n v="5.376579827072489E-5"/>
    <n v="1.2109269645913948E-4"/>
    <n v="2.9448752081863167E-4"/>
    <n v="9.6063766175751876E-4"/>
    <n v="4.3261464990519E-3"/>
    <n v="2.3105323524063573E-4"/>
  </r>
  <r>
    <s v="Illinois, 2015"/>
    <s v="Illinois"/>
    <n v="2015"/>
    <x v="49"/>
    <n v="6134951"/>
    <n v="0.49019251575919603"/>
    <n v="6380445"/>
    <n v="0.50980788374889763"/>
    <x v="49"/>
    <n v="1.8639929028186175E-2"/>
    <x v="49"/>
    <x v="49"/>
    <n v="1.5298590234909853E-4"/>
    <n v="3.6235253761521298E-5"/>
    <n v="3.4548082293532024E-5"/>
    <n v="3.4396490640714899E-5"/>
    <n v="3.6472922502334266E-5"/>
    <n v="4.3069487737255454E-5"/>
    <n v="1.2627536491302297E-4"/>
    <n v="3.4104528756613843E-4"/>
    <n v="1.0582279669504257E-3"/>
    <n v="4.8909921726978901E-3"/>
    <n v="2.1461574792189873E-4"/>
  </r>
  <r>
    <s v="Pennsylvania, 2014"/>
    <s v="Pennsylvania"/>
    <n v="2014"/>
    <x v="50"/>
    <n v="6103629"/>
    <n v="0.4879280821917808"/>
    <n v="6405653"/>
    <n v="0.51207207768952334"/>
    <x v="50"/>
    <n v="2.5070347773812722E-2"/>
    <x v="48"/>
    <x v="50"/>
    <n v="1.6958661848522405E-4"/>
    <n v="3.9987630492967509E-5"/>
    <n v="3.5186096331321668E-5"/>
    <n v="3.8592356655123267E-5"/>
    <n v="3.9263932151925242E-5"/>
    <n v="5.3786107320126218E-5"/>
    <n v="1.2832427005872476E-4"/>
    <n v="3.0750484800611932E-4"/>
    <n v="9.4358708258626255E-4"/>
    <n v="3.9284211063352172E-3"/>
    <n v="2.3158806901756135E-4"/>
  </r>
  <r>
    <s v="Pennsylvania, 2011"/>
    <s v="Pennsylvania"/>
    <n v="2011"/>
    <x v="51"/>
    <n v="6091443"/>
    <n v="0.48709827210636408"/>
    <n v="6414130"/>
    <n v="0.51290172789363586"/>
    <x v="51"/>
    <n v="2.3399807429855472E-2"/>
    <x v="50"/>
    <x v="51"/>
    <n v="1.6671042815405711E-4"/>
    <n v="3.9185439213260873E-5"/>
    <n v="3.4239070888572365E-5"/>
    <n v="4.0468462926841113E-5"/>
    <n v="3.6737400449298407E-5"/>
    <n v="4.2988948170531912E-5"/>
    <n v="1.1238646558694314E-4"/>
    <n v="3.2937937325017207E-4"/>
    <n v="1.0201204362158994E-3"/>
    <n v="4.8628292576240141E-3"/>
    <n v="2.4812937399989587E-4"/>
  </r>
  <r>
    <s v="Illinois, 2017"/>
    <s v="Illinois"/>
    <n v="2017"/>
    <x v="52"/>
    <n v="6130146"/>
    <n v="0.49066443106172852"/>
    <n v="6363420"/>
    <n v="0.50933596914442569"/>
    <x v="52"/>
    <n v="1.9201571113311888E-2"/>
    <x v="51"/>
    <x v="52"/>
    <n v="1.5649391043071038E-4"/>
    <n v="3.7117550043736846E-5"/>
    <n v="3.5272746512407185E-5"/>
    <n v="3.4447934530552157E-5"/>
    <n v="3.7033356561477531E-5"/>
    <n v="4.3188979592319696E-5"/>
    <n v="1.3079932287654881E-4"/>
    <n v="3.6719827714538076E-4"/>
    <n v="1.1136892712070533E-3"/>
    <n v="4.4560976423116683E-3"/>
    <n v="2.1819239526664976E-4"/>
  </r>
  <r>
    <s v="Pennsylvania, 2015"/>
    <s v="Pennsylvania"/>
    <n v="2015"/>
    <x v="53"/>
    <n v="6064242"/>
    <n v="0.48837037936021682"/>
    <n v="6353063"/>
    <n v="0.5116299427709774"/>
    <x v="53"/>
    <n v="2.4896634139737774E-2"/>
    <x v="52"/>
    <x v="53"/>
    <n v="1.7121284324608137E-4"/>
    <n v="4.0507122164754621E-5"/>
    <n v="3.5404747068486942E-5"/>
    <n v="3.8231560918169165E-5"/>
    <n v="4.0228875482243642E-5"/>
    <n v="4.6368430138138819E-5"/>
    <n v="1.1745130664578644E-4"/>
    <n v="3.3243715767166635E-4"/>
    <n v="1.0984785205684982E-3"/>
    <n v="4.8779067698747208E-3"/>
    <n v="2.6261745608002898E-4"/>
  </r>
  <r>
    <s v="Ohio, 2009"/>
    <s v="Ohio"/>
    <n v="2009"/>
    <x v="54"/>
    <n v="5581675"/>
    <n v="0.48753426673660133"/>
    <n v="5867110"/>
    <n v="0.51246573326339873"/>
    <x v="54"/>
    <n v="1.8533582384506305E-2"/>
    <x v="53"/>
    <x v="54"/>
    <n v="1.6276129970323189E-4"/>
    <n v="3.9459380185209177E-5"/>
    <n v="3.8692927126385932E-5"/>
    <n v="4.7852712086638016E-5"/>
    <n v="4.7936249833642289E-5"/>
    <n v="6.502335949804268E-5"/>
    <n v="1.2032691898295985E-4"/>
    <n v="3.0875321670443119E-4"/>
    <n v="1.0329736048060457E-3"/>
    <n v="3.8880798540909668E-3"/>
    <n v="2.0569868331006303E-4"/>
  </r>
  <r>
    <s v="Ohio, 2010"/>
    <s v="Ohio"/>
    <n v="2010"/>
    <x v="55"/>
    <n v="5580075"/>
    <n v="0.48780900383659248"/>
    <n v="5858984"/>
    <n v="0.51219117100299438"/>
    <x v="55"/>
    <n v="1.8873583722854078E-2"/>
    <x v="54"/>
    <x v="55"/>
    <n v="1.6663033199705064E-4"/>
    <n v="3.9253451686851663E-5"/>
    <n v="3.7744252493951484E-5"/>
    <n v="4.2676135078502748E-5"/>
    <n v="3.9108788918133572E-5"/>
    <n v="4.0436833333814725E-5"/>
    <n v="1.1814517975050692E-4"/>
    <n v="3.0089726578107505E-4"/>
    <n v="9.7288894984684309E-4"/>
    <n v="4.1362507874161637E-3"/>
    <n v="2.0272650096944179E-4"/>
  </r>
  <r>
    <s v="Ohio, 2011"/>
    <s v="Ohio"/>
    <n v="2011"/>
    <x v="56"/>
    <n v="5573990"/>
    <n v="0.48792313664936088"/>
    <n v="5849922"/>
    <n v="0.51207703842204644"/>
    <x v="56"/>
    <n v="1.9369988033869315E-2"/>
    <x v="55"/>
    <x v="56"/>
    <n v="1.676424856351345E-4"/>
    <n v="3.9607698944520834E-5"/>
    <n v="3.8172139809279266E-5"/>
    <n v="4.2673494425774793E-5"/>
    <n v="4.4656812396731119E-5"/>
    <n v="6.0905508294170128E-5"/>
    <n v="1.3375400278523041E-4"/>
    <n v="3.3262614997931671E-4"/>
    <n v="1.093728060775808E-3"/>
    <n v="4.6321193414707992E-3"/>
    <n v="2.2855572216517813E-4"/>
  </r>
  <r>
    <s v="Ohio, 2014"/>
    <s v="Ohio"/>
    <n v="2014"/>
    <x v="57"/>
    <n v="5581397"/>
    <n v="0.4887968736740434"/>
    <n v="5837247"/>
    <n v="0.51120321390203727"/>
    <x v="57"/>
    <n v="2.0847748721104599E-2"/>
    <x v="56"/>
    <x v="57"/>
    <n v="1.7350518057551668E-4"/>
    <n v="4.0493617193589862E-5"/>
    <n v="3.8456386291836544E-5"/>
    <n v="4.2111291721762277E-5"/>
    <n v="4.2216150914296288E-5"/>
    <n v="6.661285155689373E-5"/>
    <n v="1.5044690019737044E-4"/>
    <n v="3.9531203845946899E-4"/>
    <n v="1.1119634069804917E-3"/>
    <n v="4.5158011031156929E-3"/>
    <n v="2.4363665629970218E-4"/>
  </r>
  <r>
    <s v="Ohio, 2012"/>
    <s v="Ohio"/>
    <n v="2012"/>
    <x v="58"/>
    <n v="5567483"/>
    <n v="0.48789863104909614"/>
    <n v="5843664"/>
    <n v="0.51210136895090386"/>
    <x v="58"/>
    <n v="2.0070988481701271E-2"/>
    <x v="57"/>
    <x v="58"/>
    <n v="1.7065016289980134E-4"/>
    <n v="3.997516209928231E-5"/>
    <n v="3.8271969545718097E-5"/>
    <n v="4.2604588940274757E-5"/>
    <n v="4.0896645316345773E-5"/>
    <n v="4.6879825325770836E-5"/>
    <n v="1.2154069147624713E-4"/>
    <n v="2.9846607239799862E-4"/>
    <n v="1.0663892320697055E-3"/>
    <n v="4.5975907401990109E-3"/>
    <n v="2.2399150584949962E-4"/>
  </r>
  <r>
    <s v="Ohio, 2016"/>
    <s v="Ohio"/>
    <n v="2016"/>
    <x v="59"/>
    <n v="5459221"/>
    <n v="0.4891467838803315"/>
    <n v="5701481"/>
    <n v="0.51085330571977516"/>
    <x v="59"/>
    <n v="2.166978579571301E-2"/>
    <x v="58"/>
    <x v="59"/>
    <n v="1.7904087801646579E-4"/>
    <n v="4.2233296731142831E-5"/>
    <n v="3.9626480792054101E-5"/>
    <n v="4.2215586557431493E-5"/>
    <n v="4.8070700907796699E-5"/>
    <n v="4.9965608087939472E-5"/>
    <n v="1.4225955818812934E-4"/>
    <n v="3.6628789403033276E-4"/>
    <n v="1.0361618565559825E-3"/>
    <n v="3.6344841844118255E-3"/>
    <n v="2.2310426558331775E-4"/>
  </r>
  <r>
    <s v="Ohio, 2013"/>
    <s v="Ohio"/>
    <n v="2013"/>
    <x v="60"/>
    <n v="5443369"/>
    <n v="0.48815569559623373"/>
    <n v="5707520"/>
    <n v="0.51184448376169533"/>
    <x v="60"/>
    <n v="2.0476397976232744E-2"/>
    <x v="59"/>
    <x v="60"/>
    <n v="1.7625959513170998E-4"/>
    <n v="4.1195747774914676E-5"/>
    <n v="3.9131183379160295E-5"/>
    <n v="4.3449263209119129E-5"/>
    <n v="4.2683998267029672E-5"/>
    <n v="5.296916524857455E-5"/>
    <n v="1.5047687995550877E-4"/>
    <n v="3.6211019129930979E-4"/>
    <n v="1.2302719841542503E-3"/>
    <n v="4.6161257828581442E-3"/>
    <n v="2.4473389426329939E-4"/>
  </r>
  <r>
    <s v="Ohio, 2017"/>
    <s v="Ohio"/>
    <n v="2017"/>
    <x v="61"/>
    <n v="5454374"/>
    <n v="0.48917516319294502"/>
    <n v="5695771"/>
    <n v="0.51082483680705493"/>
    <x v="61"/>
    <n v="2.1816308218413304E-2"/>
    <x v="60"/>
    <x v="61"/>
    <n v="1.7931590980409736E-4"/>
    <n v="4.2614968081388906E-5"/>
    <n v="3.9981821598446573E-5"/>
    <n v="4.193648719015052E-5"/>
    <n v="4.4733489055579122E-5"/>
    <n v="5.2330668885310382E-5"/>
    <n v="1.3920927816706032E-4"/>
    <n v="3.8099161818439995E-4"/>
    <n v="1.0371703552308467E-3"/>
    <n v="3.9588086575815503E-3"/>
    <n v="2.3309113917352643E-4"/>
  </r>
  <r>
    <s v="Ohio, 2015"/>
    <s v="Ohio"/>
    <n v="2015"/>
    <x v="62"/>
    <n v="5352286"/>
    <n v="0.48876646028528115"/>
    <n v="5598314"/>
    <n v="0.51123353971471885"/>
    <x v="62"/>
    <n v="2.1473526564754444E-2"/>
    <x v="61"/>
    <x v="62"/>
    <n v="1.818584111030622E-4"/>
    <n v="4.2629137868315751E-5"/>
    <n v="4.0573273302921411E-5"/>
    <n v="4.3465378739199756E-5"/>
    <n v="4.4442107118810789E-5"/>
    <n v="5.4169294522323551E-5"/>
    <n v="1.3884616117589086E-4"/>
    <n v="3.9699471700105132E-4"/>
    <n v="1.1718627111712335E-3"/>
    <n v="4.8310000510316904E-3"/>
    <n v="2.5578507113765454E-4"/>
  </r>
  <r>
    <s v="Michigan, 2009"/>
    <s v="Michigan"/>
    <n v="2009"/>
    <x v="63"/>
    <n v="4922355"/>
    <n v="0.4918315587408062"/>
    <n v="5085858"/>
    <n v="0.5081684412591938"/>
    <x v="63"/>
    <n v="1.736813555027256E-2"/>
    <x v="62"/>
    <x v="63"/>
    <n v="1.9014690432916963E-4"/>
    <n v="4.439534647978199E-5"/>
    <n v="4.1805961808860356E-5"/>
    <n v="4.8921405316289119E-5"/>
    <n v="4.5925133553821077E-5"/>
    <n v="5.3012379372294159E-5"/>
    <n v="1.2416835820369776E-4"/>
    <n v="2.8729278443865848E-4"/>
    <n v="9.3872828205970947E-4"/>
    <n v="3.9407676730486008E-3"/>
    <n v="1.9384079855214913E-4"/>
  </r>
  <r>
    <s v="Michigan, 2010"/>
    <s v="Michigan"/>
    <n v="2010"/>
    <x v="64"/>
    <n v="4877679"/>
    <n v="0.49084189553919333"/>
    <n v="5059697"/>
    <n v="0.50915840635145726"/>
    <x v="64"/>
    <n v="1.7961487407184978E-2"/>
    <x v="63"/>
    <x v="64"/>
    <n v="1.9511814403621393E-4"/>
    <n v="4.4425522462654793E-5"/>
    <n v="4.2046368735441442E-5"/>
    <n v="5.0491365135039156E-5"/>
    <n v="4.4301890804699544E-5"/>
    <n v="3.9611333594768133E-5"/>
    <n v="8.2350643948076648E-5"/>
    <n v="2.9010903997350924E-4"/>
    <n v="9.5956316607091014E-4"/>
    <n v="3.6024427138775282E-3"/>
    <n v="1.8626653140623784E-4"/>
  </r>
  <r>
    <s v="North Carolina, 2017"/>
    <s v="North Carolina"/>
    <n v="2017"/>
    <x v="65"/>
    <n v="4802335"/>
    <n v="0.48694773008145514"/>
    <n v="5059788"/>
    <n v="0.51305297970536956"/>
    <x v="65"/>
    <n v="1.6451236225572687E-2"/>
    <x v="64"/>
    <x v="65"/>
    <n v="2.0149204862003134E-4"/>
    <n v="4.7122873678497909E-5"/>
    <n v="4.4473203782890714E-5"/>
    <n v="4.6202892301058043E-5"/>
    <n v="4.6930546701760285E-5"/>
    <n v="5.9927288223622002E-5"/>
    <n v="1.7433345571488365E-4"/>
    <n v="4.1341232583724536E-4"/>
    <n v="1.1941491338933908E-3"/>
    <n v="5.0109711299031086E-3"/>
    <n v="2.4416666768064784E-4"/>
  </r>
  <r>
    <s v="Michigan, 2011"/>
    <s v="Michigan"/>
    <n v="2011"/>
    <x v="66"/>
    <n v="4834805"/>
    <n v="0.49046123475425735"/>
    <n v="5022866"/>
    <n v="0.50953886668959303"/>
    <x v="66"/>
    <n v="1.8557529314736646E-2"/>
    <x v="65"/>
    <x v="66"/>
    <n v="1.9878476248533962E-4"/>
    <n v="4.5237542334800035E-5"/>
    <n v="4.2514144810262915E-5"/>
    <n v="5.1134199148956476E-5"/>
    <n v="4.5783143562203268E-5"/>
    <n v="4.4608437785876836E-5"/>
    <n v="1.1566825682979746E-4"/>
    <n v="3.1703041483644958E-4"/>
    <n v="9.8336786694293559E-4"/>
    <n v="4.4004941672953083E-3"/>
    <n v="2.122205348728452E-4"/>
  </r>
  <r>
    <s v="Michigan, 2012"/>
    <s v="Michigan"/>
    <n v="2012"/>
    <x v="67"/>
    <n v="4795155"/>
    <n v="0.49036773016268431"/>
    <n v="4983541"/>
    <n v="0.50963267888997832"/>
    <x v="67"/>
    <n v="1.9213101302300962E-2"/>
    <x v="66"/>
    <x v="67"/>
    <n v="2.0340741318317345E-4"/>
    <n v="4.6199441448752888E-5"/>
    <n v="4.2810173980547056E-5"/>
    <n v="5.147183718428462E-5"/>
    <n v="4.7308239991547592E-5"/>
    <n v="4.6031415086931678E-5"/>
    <n v="8.828942082139941E-5"/>
    <n v="2.5525326563774958E-4"/>
    <n v="9.8934014423896995E-4"/>
    <n v="3.8162860138706294E-3"/>
    <n v="1.9757243606813673E-4"/>
  </r>
  <r>
    <s v="Michigan, 2014"/>
    <s v="Michigan"/>
    <n v="2014"/>
    <x v="68"/>
    <n v="4783768"/>
    <n v="0.4906421169608457"/>
    <n v="4966250"/>
    <n v="0.50935819073098865"/>
    <x v="68"/>
    <n v="2.0218327869239175E-2"/>
    <x v="67"/>
    <x v="68"/>
    <n v="2.0841221156618303E-4"/>
    <n v="4.7500785742164153E-5"/>
    <n v="4.2946471517900088E-5"/>
    <n v="5.115154925254799E-5"/>
    <n v="5.4473198773527679E-5"/>
    <n v="6.0881522457934014E-5"/>
    <n v="1.1197291645430424E-4"/>
    <n v="3.4439836700999015E-4"/>
    <n v="1.0451256437699534E-3"/>
    <n v="4.2053680584794731E-3"/>
    <n v="2.2676888189402785E-4"/>
  </r>
  <r>
    <s v="Michigan, 2013"/>
    <s v="Michigan"/>
    <n v="2013"/>
    <x v="69"/>
    <n v="4764052"/>
    <n v="0.49052112255213171"/>
    <n v="4948179"/>
    <n v="0.50947939226290662"/>
    <x v="69"/>
    <n v="1.961651221872308E-2"/>
    <x v="68"/>
    <x v="69"/>
    <n v="2.0796109741071103E-4"/>
    <n v="4.6993401343228056E-5"/>
    <n v="4.2975355782226679E-5"/>
    <n v="5.1871748830075928E-5"/>
    <n v="4.8709087410892812E-5"/>
    <n v="4.8306278366999361E-5"/>
    <n v="1.3551660355766746E-4"/>
    <n v="3.6049708091876798E-4"/>
    <n v="1.0941172652631677E-3"/>
    <n v="4.4457274826789836E-3"/>
    <n v="2.3135787820423453E-4"/>
  </r>
  <r>
    <s v="Michigan, 2015"/>
    <s v="Michigan"/>
    <n v="2015"/>
    <x v="70"/>
    <n v="4727091"/>
    <n v="0.49050898432871087"/>
    <n v="4910024"/>
    <n v="0.50949111943679404"/>
    <x v="70"/>
    <n v="2.0348726807631414E-2"/>
    <x v="69"/>
    <x v="70"/>
    <n v="2.1347147309547866E-4"/>
    <n v="4.8557125029741236E-5"/>
    <n v="4.3465315764652705E-5"/>
    <n v="5.1572931431209017E-5"/>
    <n v="5.0875482257175563E-5"/>
    <n v="5.6932915729195343E-5"/>
    <n v="1.150736509724107E-4"/>
    <n v="3.3665019291682989E-4"/>
    <n v="1.0097656790328381E-3"/>
    <n v="4.5894249450543845E-3"/>
    <n v="2.3409497905700814E-4"/>
  </r>
  <r>
    <s v="Georgia, 2015"/>
    <s v="Georgia"/>
    <n v="2015"/>
    <x v="71"/>
    <n v="4695465"/>
    <n v="0.48758560719216715"/>
    <n v="4934577"/>
    <n v="0.51241543122598143"/>
    <x v="71"/>
    <n v="1.233889980843262E-2"/>
    <x v="70"/>
    <x v="71"/>
    <n v="1.8727790011533198E-4"/>
    <n v="4.4099423620533277E-5"/>
    <n v="4.3700850200040644E-5"/>
    <n v="4.5628937872398678E-5"/>
    <n v="4.5004129128847573E-5"/>
    <n v="4.8871874236376962E-5"/>
    <n v="1.4918599831339422E-4"/>
    <n v="3.485807268125113E-4"/>
    <n v="1.2707559329744485E-3"/>
    <n v="4.1994883188581434E-3"/>
    <n v="1.8816136851881697E-4"/>
  </r>
  <r>
    <s v="Michigan, 2016"/>
    <s v="Michigan"/>
    <n v="2016"/>
    <x v="72"/>
    <n v="4723876"/>
    <n v="0.49072292219250868"/>
    <n v="4902490"/>
    <n v="0.50927759721456534"/>
    <x v="72"/>
    <n v="2.0429838440507268E-2"/>
    <x v="71"/>
    <x v="72"/>
    <n v="2.1361397462622004E-4"/>
    <n v="4.9122548477815027E-5"/>
    <n v="4.3442279329511861E-5"/>
    <n v="5.069652804827661E-5"/>
    <n v="5.159022571583588E-5"/>
    <n v="5.6075855876196319E-5"/>
    <n v="1.1394373015065808E-4"/>
    <n v="3.2881296103324636E-4"/>
    <n v="1.0287467211607614E-3"/>
    <n v="3.2542648666514123E-3"/>
    <n v="2.0765894817366604E-4"/>
  </r>
  <r>
    <s v="North Carolina, 2014"/>
    <s v="North Carolina"/>
    <n v="2014"/>
    <x v="73"/>
    <n v="4678807"/>
    <n v="0.48706710112748347"/>
    <n v="4927281"/>
    <n v="0.51293341937603498"/>
    <x v="73"/>
    <n v="1.6214309203865924E-2"/>
    <x v="72"/>
    <x v="73"/>
    <n v="1.9656567013332066E-4"/>
    <n v="4.7200647592884972E-5"/>
    <n v="4.487481049741484E-5"/>
    <n v="4.8012329566232608E-5"/>
    <n v="5.0939486205818677E-5"/>
    <n v="7.4332973066190537E-5"/>
    <n v="1.443446202335496E-4"/>
    <n v="3.9702233250620347E-4"/>
    <n v="1.1947848514251363E-3"/>
    <n v="4.7831223195254112E-3"/>
    <n v="2.3151996500550746E-4"/>
  </r>
  <r>
    <s v="Georgia, 2013"/>
    <s v="Georgia"/>
    <n v="2013"/>
    <x v="74"/>
    <n v="4681047"/>
    <n v="0.48807670098913519"/>
    <n v="4909762"/>
    <n v="0.5119240288768343"/>
    <x v="74"/>
    <n v="1.2218269129109328E-2"/>
    <x v="73"/>
    <x v="74"/>
    <n v="1.8057875490948489E-4"/>
    <n v="4.3819033235276071E-5"/>
    <n v="4.3281924025796025E-5"/>
    <n v="4.5678960651381982E-5"/>
    <n v="5.296481591416169E-5"/>
    <n v="6.4002401193534437E-5"/>
    <n v="1.3292038162092222E-4"/>
    <n v="3.5928181622497691E-4"/>
    <n v="1.2626583081647674E-3"/>
    <n v="4.5313740047617825E-3"/>
    <n v="1.895566189355176E-4"/>
  </r>
  <r>
    <s v="Georgia, 2017"/>
    <s v="Georgia"/>
    <n v="2017"/>
    <x v="75"/>
    <n v="4666664"/>
    <n v="0.48693934033176867"/>
    <n v="4917010"/>
    <n v="0.51306149442186322"/>
    <x v="75"/>
    <n v="1.24901055608574E-2"/>
    <x v="74"/>
    <x v="75"/>
    <n v="1.9385010540599483E-4"/>
    <n v="4.510633819228832E-5"/>
    <n v="4.4488636490024536E-5"/>
    <n v="4.5313763829194296E-5"/>
    <n v="4.6211254751094631E-5"/>
    <n v="5.2807551178061028E-5"/>
    <n v="1.400023773988615E-4"/>
    <n v="3.6883182614829194E-4"/>
    <n v="1.1514155638402506E-3"/>
    <n v="3.7760753878413713E-3"/>
    <n v="1.842718642323303E-4"/>
  </r>
  <r>
    <s v="Georgia, 2016"/>
    <s v="Georgia"/>
    <n v="2016"/>
    <x v="76"/>
    <n v="4665372"/>
    <n v="0.48707862054046697"/>
    <n v="4912909"/>
    <n v="0.5129222146831689"/>
    <x v="76"/>
    <n v="1.2508517976048501E-2"/>
    <x v="75"/>
    <x v="76"/>
    <n v="1.898088466739954E-4"/>
    <n v="4.4559109887220896E-5"/>
    <n v="4.4022997613953529E-5"/>
    <n v="4.554861023598735E-5"/>
    <n v="4.5761005521828001E-5"/>
    <n v="4.8818150137592075E-5"/>
    <n v="1.8097569191844986E-4"/>
    <n v="3.748273821266522E-4"/>
    <n v="1.0624805136230586E-3"/>
    <n v="3.7642934646523662E-3"/>
    <n v="1.8322718510946598E-4"/>
  </r>
  <r>
    <s v="Michigan, 2017"/>
    <s v="Michigan"/>
    <n v="2017"/>
    <x v="77"/>
    <n v="4689554"/>
    <n v="0.4910138536662591"/>
    <n v="4861207"/>
    <n v="0.50898656514871021"/>
    <x v="77"/>
    <n v="2.0615433938901386E-2"/>
    <x v="76"/>
    <x v="77"/>
    <n v="2.1604999396860434E-4"/>
    <n v="5.0103923888799352E-5"/>
    <n v="4.441128401904356E-5"/>
    <n v="5.0782215391073842E-5"/>
    <n v="5.2660911999227637E-5"/>
    <n v="4.9377501635154956E-5"/>
    <n v="1.3458530617396785E-4"/>
    <n v="3.1311426931306211E-4"/>
    <n v="1.0132061426483968E-3"/>
    <n v="3.9818581666184174E-3"/>
    <n v="2.2584597220932329E-4"/>
  </r>
  <r>
    <s v="Georgia, 2009"/>
    <s v="Georgia"/>
    <n v="2009"/>
    <x v="78"/>
    <n v="4666651"/>
    <n v="0.49134708555269413"/>
    <n v="4831025"/>
    <n v="0.50865386204843777"/>
    <x v="78"/>
    <n v="1.1830905421299779E-2"/>
    <x v="77"/>
    <x v="78"/>
    <n v="1.6526057461101792E-4"/>
    <n v="4.3950860008453216E-5"/>
    <n v="4.3515469749495947E-5"/>
    <n v="4.4338229751838927E-5"/>
    <n v="4.5128640926678455E-5"/>
    <n v="5.7317092484899588E-5"/>
    <n v="1.3664308617276276E-4"/>
    <n v="3.6556043806953937E-4"/>
    <n v="1.3407982000601725E-3"/>
    <n v="5.0015129131587843E-3"/>
    <n v="1.893096483589075E-4"/>
  </r>
  <r>
    <s v="North Carolina, 2013"/>
    <s v="North Carolina"/>
    <n v="2013"/>
    <x v="79"/>
    <n v="4621510"/>
    <n v="0.48717231631777586"/>
    <n v="4864890"/>
    <n v="0.51282799992452355"/>
    <x v="79"/>
    <n v="1.5544152326747447E-2"/>
    <x v="78"/>
    <x v="79"/>
    <n v="1.9475524135043285E-4"/>
    <n v="4.7470157094573215E-5"/>
    <n v="4.5329717029241448E-5"/>
    <n v="4.8444253179355965E-5"/>
    <n v="4.6093215846847605E-5"/>
    <n v="6.7821773323237084E-5"/>
    <n v="1.4503174535221308E-4"/>
    <n v="3.9859715944163182E-4"/>
    <n v="1.2876065937793952E-3"/>
    <n v="5.404928861099432E-3"/>
    <n v="2.3855210782344446E-4"/>
  </r>
  <r>
    <s v="Georgia, 2014"/>
    <s v="Georgia"/>
    <n v="2014"/>
    <x v="80"/>
    <n v="4628890"/>
    <n v="0.48836582413031837"/>
    <n v="4849441"/>
    <n v="0.51163480889292146"/>
    <x v="80"/>
    <n v="1.2152991166688207E-2"/>
    <x v="79"/>
    <x v="64"/>
    <n v="1.8593927223368848E-4"/>
    <n v="4.4546505438014654E-5"/>
    <n v="4.4008241276649738E-5"/>
    <n v="4.597144560275461E-5"/>
    <n v="5.1808180586798976E-5"/>
    <n v="6.8857636835841895E-5"/>
    <n v="1.8288629856698838E-4"/>
    <n v="4.0032898631092945E-4"/>
    <n v="1.1103914129730729E-3"/>
    <n v="4.5837312266689819E-3"/>
    <n v="1.9528766949856646E-4"/>
  </r>
  <r>
    <s v="Georgia, 2011"/>
    <s v="Georgia"/>
    <n v="2011"/>
    <x v="81"/>
    <n v="4617735"/>
    <n v="0.48851200943142531"/>
    <n v="4834924"/>
    <n v="0.51148851952054941"/>
    <x v="81"/>
    <n v="1.1648897759295961E-2"/>
    <x v="80"/>
    <x v="80"/>
    <n v="1.7649005405007904E-4"/>
    <n v="4.4376630378909855E-5"/>
    <n v="4.3824570245308031E-5"/>
    <n v="4.5795024523235633E-5"/>
    <n v="4.3057637671414252E-5"/>
    <n v="4.977874462463855E-5"/>
    <n v="1.4239768235496306E-4"/>
    <n v="4.4108083983186627E-4"/>
    <n v="1.2431313685686135E-3"/>
    <n v="4.9403794284053658E-3"/>
    <n v="1.9095166288748112E-4"/>
  </r>
  <r>
    <s v="Georgia, 2012"/>
    <s v="Georgia"/>
    <n v="2012"/>
    <x v="82"/>
    <n v="4616109"/>
    <n v="0.48848184675640793"/>
    <n v="4833806"/>
    <n v="0.51151878817034113"/>
    <x v="82"/>
    <n v="1.1975776697955505E-2"/>
    <x v="81"/>
    <x v="81"/>
    <n v="1.7975535296461517E-4"/>
    <n v="4.4542801549198639E-5"/>
    <n v="4.3937020674565077E-5"/>
    <n v="4.5913576874249601E-5"/>
    <n v="4.3807387677857992E-5"/>
    <n v="5.0511953505232444E-5"/>
    <n v="1.2877433738876396E-4"/>
    <n v="2.7892268632791564E-4"/>
    <n v="1.3746223069377418E-3"/>
    <n v="4.7097287266943538E-3"/>
    <n v="1.841287572187203E-4"/>
  </r>
  <r>
    <s v="North Carolina, 2016"/>
    <s v="North Carolina"/>
    <n v="2016"/>
    <x v="83"/>
    <n v="4591154"/>
    <n v="0.48637171981564048"/>
    <n v="4848446"/>
    <n v="0.51362838612106299"/>
    <x v="83"/>
    <n v="1.6100578001247721E-2"/>
    <x v="82"/>
    <x v="82"/>
    <n v="2.0648536104825736E-4"/>
    <n v="4.8386394391049164E-5"/>
    <n v="4.6077994685671279E-5"/>
    <n v="4.8262548262548262E-5"/>
    <n v="4.8083126108416231E-5"/>
    <n v="7.1917457121128896E-5"/>
    <n v="1.5690969761625176E-4"/>
    <n v="4.058936257107851E-4"/>
    <n v="1.2214605859499426E-3"/>
    <n v="4.8689656079956307E-3"/>
    <n v="2.3814570936752717E-4"/>
  </r>
  <r>
    <s v="Georgia, 2010"/>
    <s v="Georgia"/>
    <n v="2010"/>
    <x v="84"/>
    <n v="4599379"/>
    <n v="0.48870269635617636"/>
    <n v="4812031"/>
    <n v="0.51129783491412817"/>
    <x v="84"/>
    <n v="1.1554066581982179E-2"/>
    <x v="83"/>
    <x v="83"/>
    <n v="1.7545860492863222E-4"/>
    <n v="4.4579437585815416E-5"/>
    <n v="4.39476729707162E-5"/>
    <n v="4.5732962184938003E-5"/>
    <n v="4.2483921605835592E-5"/>
    <n v="5.3905974503971448E-5"/>
    <n v="1.1680549066361629E-4"/>
    <n v="4.0047266549577798E-4"/>
    <n v="1.3121865982901404E-3"/>
    <n v="5.1223100974802285E-3"/>
    <n v="1.8913222839735407E-4"/>
  </r>
  <r>
    <s v="North Carolina, 2012"/>
    <s v="North Carolina"/>
    <n v="2012"/>
    <x v="85"/>
    <n v="4546044"/>
    <n v="0.48702037902374462"/>
    <n v="4788358"/>
    <n v="0.51297962097625538"/>
    <x v="85"/>
    <n v="1.5016387766457884E-2"/>
    <x v="84"/>
    <x v="84"/>
    <n v="1.9473533034414602E-4"/>
    <n v="4.8306106133345786E-5"/>
    <n v="4.6076756196363778E-5"/>
    <n v="4.8965561704360626E-5"/>
    <n v="4.6022257897994736E-5"/>
    <n v="5.3492011231815542E-5"/>
    <n v="1.5672879972761616E-4"/>
    <n v="4.2781154682346276E-4"/>
    <n v="1.3353826656856405E-3"/>
    <n v="5.6645906013455182E-3"/>
    <n v="2.4232939614128468E-4"/>
  </r>
  <r>
    <s v="North Carolina, 2011"/>
    <s v="North Carolina"/>
    <n v="2011"/>
    <x v="86"/>
    <n v="4519697"/>
    <n v="0.48715001798911256"/>
    <n v="4758137"/>
    <n v="0.5128499820108875"/>
    <x v="86"/>
    <n v="1.4828137688171613E-2"/>
    <x v="85"/>
    <x v="85"/>
    <n v="1.9378812175707691E-4"/>
    <n v="4.851221133212915E-5"/>
    <n v="4.6392410201691E-5"/>
    <n v="4.928532176333024E-5"/>
    <n v="4.5550235456758782E-5"/>
    <n v="4.8990162021771227E-5"/>
    <n v="1.0395775451250253E-4"/>
    <n v="3.3806318598023164E-4"/>
    <n v="1.082302256547666E-3"/>
    <n v="5.1536275286575128E-3"/>
    <n v="2.0931609683898204E-4"/>
  </r>
  <r>
    <s v="North Carolina, 2010"/>
    <s v="North Carolina"/>
    <n v="2010"/>
    <x v="87"/>
    <n v="4498188"/>
    <n v="0.48740456431287987"/>
    <n v="4730671"/>
    <n v="0.51259543568712018"/>
    <x v="87"/>
    <n v="1.4542534456317948E-2"/>
    <x v="86"/>
    <x v="86"/>
    <n v="1.9369647117312269E-4"/>
    <n v="4.8734091365050025E-5"/>
    <n v="4.660834926432605E-5"/>
    <n v="4.9355621235091517E-5"/>
    <n v="4.500942947547511E-5"/>
    <n v="5.3649528035278717E-5"/>
    <n v="1.2236768288320852E-4"/>
    <n v="3.2925143989538154E-4"/>
    <n v="1.1591789851387985E-3"/>
    <n v="5.834097056128037E-3"/>
    <n v="2.2288779143770645E-4"/>
  </r>
  <r>
    <s v="North Carolina, 2015"/>
    <s v="North Carolina"/>
    <n v="2015"/>
    <x v="88"/>
    <n v="4437335"/>
    <n v="0.48735921659378428"/>
    <n v="4667522"/>
    <n v="0.51264100306924165"/>
    <x v="88"/>
    <n v="1.5907227517626583E-2"/>
    <x v="87"/>
    <x v="87"/>
    <n v="2.1015614601649027E-4"/>
    <n v="4.9934793482177858E-5"/>
    <n v="4.7258234747404736E-5"/>
    <n v="5.0393277536776591E-5"/>
    <n v="4.9387715793450696E-5"/>
    <n v="6.4847714632095983E-5"/>
    <n v="1.7010377220700294E-4"/>
    <n v="4.8928860118421249E-4"/>
    <n v="1.3412616801537979E-3"/>
    <n v="6.2347669384739662E-3"/>
    <n v="2.7139366854277196E-4"/>
  </r>
  <r>
    <s v="North Carolina, 2009"/>
    <s v="North Carolina"/>
    <n v="2009"/>
    <x v="89"/>
    <n v="4392556"/>
    <n v="0.48916304685058742"/>
    <n v="4587183"/>
    <n v="0.51083706451123634"/>
    <x v="89"/>
    <n v="1.4710674186707897E-2"/>
    <x v="88"/>
    <x v="86"/>
    <n v="1.9046409751761792E-4"/>
    <n v="5.0240568589261584E-5"/>
    <n v="4.762169326867366E-5"/>
    <n v="4.9982506122857E-5"/>
    <n v="4.5694684870413683E-5"/>
    <n v="7.213259224935296E-5"/>
    <n v="1.1327594019030358E-4"/>
    <n v="4.3273255630100213E-4"/>
    <n v="1.254622292657158E-3"/>
    <n v="5.2763857136368456E-3"/>
    <n v="2.2907127134444235E-4"/>
  </r>
  <r>
    <s v="New Jersey, 2017"/>
    <s v="New Jersey"/>
    <n v="2017"/>
    <x v="90"/>
    <n v="4371945"/>
    <n v="0.4879099591688329"/>
    <n v="4588612"/>
    <n v="0.51209004083116705"/>
    <x v="90"/>
    <n v="2.2116035866966751E-2"/>
    <x v="89"/>
    <x v="88"/>
    <n v="2.269636612264738E-4"/>
    <n v="5.3500397240449511E-5"/>
    <n v="5.2043081262669238E-5"/>
    <n v="5.2046918562186528E-5"/>
    <n v="5.1525365508061574E-5"/>
    <n v="4.5600640232988868E-5"/>
    <n v="8.4325650329636635E-5"/>
    <n v="1.9378584540402359E-4"/>
    <n v="8.6005436145351693E-4"/>
    <n v="3.2799790081343479E-3"/>
    <n v="1.9172915255156572E-4"/>
  </r>
  <r>
    <s v="New Jersey, 2015"/>
    <s v="New Jersey"/>
    <n v="2015"/>
    <x v="91"/>
    <n v="4343027"/>
    <n v="0.48773872011552027"/>
    <n v="4561386"/>
    <n v="0.51226127988447978"/>
    <x v="91"/>
    <n v="2.1520565140004177E-2"/>
    <x v="90"/>
    <x v="89"/>
    <n v="2.2515718786177599E-4"/>
    <n v="5.3076161638142654E-5"/>
    <n v="5.2286488125738547E-5"/>
    <n v="5.2596791245088773E-5"/>
    <n v="5.0473101201932782E-5"/>
    <n v="4.8048811678965934E-5"/>
    <n v="7.7803122734426111E-5"/>
    <n v="2.1448242531007009E-4"/>
    <n v="8.5126081757043481E-4"/>
    <n v="3.9347068278122194E-3"/>
    <n v="2.030453888425885E-4"/>
  </r>
  <r>
    <s v="New Jersey, 2014"/>
    <s v="New Jersey"/>
    <n v="2014"/>
    <x v="92"/>
    <n v="4326518"/>
    <n v="0.48752937390288037"/>
    <n v="4547856"/>
    <n v="0.51247062609711969"/>
    <x v="92"/>
    <n v="2.1264711178501153E-2"/>
    <x v="91"/>
    <x v="90"/>
    <n v="2.2359276304756935E-4"/>
    <n v="5.2660172497171712E-5"/>
    <n v="5.2233732021802359E-5"/>
    <n v="5.2969889266446491E-5"/>
    <n v="4.9945018858406702E-5"/>
    <n v="4.3974245750072374E-5"/>
    <n v="7.4970170001634889E-5"/>
    <n v="2.00114991450311E-4"/>
    <n v="7.0312840818400409E-4"/>
    <n v="3.3543354653411831E-3"/>
    <n v="1.8074514326306285E-4"/>
  </r>
  <r>
    <s v="New Jersey, 2016"/>
    <s v="New Jersey"/>
    <n v="2016"/>
    <x v="93"/>
    <n v="4319124"/>
    <n v="0.48798411741471426"/>
    <n v="4531828"/>
    <n v="0.51201588258528574"/>
    <x v="93"/>
    <n v="2.1850756845139371E-2"/>
    <x v="92"/>
    <x v="91"/>
    <n v="2.2867683770423701E-4"/>
    <n v="5.373435882371906E-5"/>
    <n v="5.2536368300956335E-5"/>
    <n v="5.2587433181092711E-5"/>
    <n v="5.1662365774715923E-5"/>
    <n v="4.537627138640391E-5"/>
    <n v="8.5784839367888282E-5"/>
    <n v="2.3460329138700519E-4"/>
    <n v="7.2425853710085238E-4"/>
    <n v="3.0041365046535678E-3"/>
    <n v="1.8178835451824845E-4"/>
  </r>
  <r>
    <s v="New Jersey, 2013"/>
    <s v="New Jersey"/>
    <n v="2013"/>
    <x v="94"/>
    <n v="4304817"/>
    <n v="0.48738894022761181"/>
    <n v="4527589"/>
    <n v="0.51261105977238819"/>
    <x v="94"/>
    <n v="2.0882645113913467E-2"/>
    <x v="93"/>
    <x v="92"/>
    <n v="2.2291118289676797E-4"/>
    <n v="5.252054866466505E-5"/>
    <n v="5.2477690421859406E-5"/>
    <n v="5.3471599005784736E-5"/>
    <n v="5.4247987276381163E-5"/>
    <n v="4.382585067802243E-5"/>
    <n v="8.5284683983165549E-5"/>
    <n v="2.2060959713891102E-4"/>
    <n v="8.4824319691178521E-4"/>
    <n v="3.7409728698141443E-3"/>
    <n v="1.9745469128117524E-4"/>
  </r>
  <r>
    <s v="New Jersey, 2012"/>
    <s v="New Jersey"/>
    <n v="2012"/>
    <x v="95"/>
    <n v="4283189"/>
    <n v="0.4870643110305703"/>
    <n v="4510699"/>
    <n v="0.51293568896942965"/>
    <x v="95"/>
    <n v="2.023041457885295E-2"/>
    <x v="94"/>
    <x v="93"/>
    <n v="2.229070421907304E-4"/>
    <n v="5.2216321777861324E-5"/>
    <n v="5.274145698274915E-5"/>
    <n v="5.3897072760149945E-5"/>
    <n v="4.8294519296477641E-5"/>
    <n v="4.3904805600497002E-5"/>
    <n v="6.9491909428243421E-5"/>
    <n v="1.8950769754571471E-4"/>
    <n v="7.1124827842731196E-4"/>
    <n v="3.2095961867074376E-3"/>
    <n v="1.7341589977038597E-4"/>
  </r>
  <r>
    <s v="New Jersey, 2011"/>
    <s v="New Jersey"/>
    <n v="2011"/>
    <x v="96"/>
    <n v="4261485"/>
    <n v="0.48685637395088166"/>
    <n v="4491579"/>
    <n v="0.51314362604911834"/>
    <x v="96"/>
    <n v="1.9668998193089871E-2"/>
    <x v="95"/>
    <x v="94"/>
    <n v="2.2083220616894768E-4"/>
    <n v="5.2155590557751889E-5"/>
    <n v="5.3030704778066499E-5"/>
    <n v="5.4376344115256102E-5"/>
    <n v="4.7403474674693655E-5"/>
    <n v="4.9213212939696188E-5"/>
    <n v="8.4220422473142505E-5"/>
    <n v="2.0660709495428818E-4"/>
    <n v="7.2862472083941559E-4"/>
    <n v="3.5024743848888268E-3"/>
    <n v="1.8187916825468202E-4"/>
  </r>
  <r>
    <s v="New Jersey, 2010"/>
    <s v="New Jersey"/>
    <n v="2010"/>
    <x v="97"/>
    <n v="4244502"/>
    <n v="0.48666680349207486"/>
    <n v="4477075"/>
    <n v="0.51333319650792508"/>
    <x v="97"/>
    <n v="1.9081755512793157E-2"/>
    <x v="96"/>
    <x v="95"/>
    <n v="2.1935156022936863E-4"/>
    <n v="5.1892161170133639E-5"/>
    <n v="5.3212529067344003E-5"/>
    <n v="5.4698411193482865E-5"/>
    <n v="4.6356889329107645E-5"/>
    <n v="4.4425292207359494E-5"/>
    <n v="7.65228808448126E-5"/>
    <n v="1.9957424161788184E-4"/>
    <n v="7.0974434313905526E-4"/>
    <n v="3.2807965245188466E-3"/>
    <n v="1.7256053578383818E-4"/>
  </r>
  <r>
    <s v="New Jersey, 2009"/>
    <s v="New Jersey"/>
    <n v="2009"/>
    <x v="98"/>
    <n v="4231941"/>
    <n v="0.48921074133106945"/>
    <n v="4418607"/>
    <n v="0.51078925866893055"/>
    <x v="98"/>
    <n v="1.8687833418183451E-2"/>
    <x v="97"/>
    <x v="96"/>
    <n v="2.1371707421325402E-4"/>
    <n v="5.2350995977698473E-5"/>
    <n v="5.4542132433751764E-5"/>
    <n v="5.4353143242273701E-5"/>
    <n v="4.5601991895005976E-5"/>
    <n v="4.965684113271769E-5"/>
    <n v="9.7559235765006021E-5"/>
    <n v="2.1823396759745186E-4"/>
    <n v="9.0198212435426285E-4"/>
    <n v="3.7424223679326982E-3"/>
    <n v="1.9339815234826742E-4"/>
  </r>
  <r>
    <s v="Virginia, 2017"/>
    <s v="Virginia"/>
    <n v="2017"/>
    <x v="99"/>
    <n v="3904752"/>
    <n v="0.4914342787929557"/>
    <n v="4040874"/>
    <n v="0.50856597291792316"/>
    <x v="99"/>
    <n v="1.6547850741489907E-2"/>
    <x v="98"/>
    <x v="97"/>
    <n v="2.4524881514166185E-4"/>
    <n v="6.0309508397093888E-5"/>
    <n v="5.5367306712732266E-5"/>
    <n v="5.3732241494186173E-5"/>
    <n v="5.7311133547358577E-5"/>
    <n v="6.1218463488588163E-5"/>
    <n v="1.0705599028291796E-4"/>
    <n v="3.2131082634748778E-4"/>
    <n v="9.9733411009302118E-4"/>
    <n v="3.8864339876638044E-3"/>
    <n v="2.0539607713629539E-4"/>
  </r>
  <r>
    <s v="Virginia, 2016"/>
    <s v="Virginia"/>
    <n v="2016"/>
    <x v="100"/>
    <n v="3866250"/>
    <n v="0.49198351592766809"/>
    <n v="3992249"/>
    <n v="0.50801699307564618"/>
    <x v="100"/>
    <n v="1.6009808493865556E-2"/>
    <x v="99"/>
    <x v="98"/>
    <n v="2.4609478340582874E-4"/>
    <n v="6.0562504542187842E-5"/>
    <n v="5.5297500552975008E-5"/>
    <n v="5.4174751495900326E-5"/>
    <n v="5.7555392268776008E-5"/>
    <n v="5.3864944424843592E-5"/>
    <n v="1.126111138979518E-4"/>
    <n v="3.0935287545902037E-4"/>
    <n v="9.7643320534886798E-4"/>
    <n v="3.9264622892705844E-3"/>
    <n v="2.0003830249939715E-4"/>
  </r>
  <r>
    <s v="Virginia, 2015"/>
    <s v="Virginia"/>
    <n v="2015"/>
    <x v="101"/>
    <n v="3850960"/>
    <n v="0.4915798680698773"/>
    <n v="3982890"/>
    <n v="0.50842089783763889"/>
    <x v="101"/>
    <n v="1.6384676539384753E-2"/>
    <x v="100"/>
    <x v="99"/>
    <n v="2.4355937673155493E-4"/>
    <n v="6.0247920191588388E-5"/>
    <n v="5.5662293156599368E-5"/>
    <n v="5.4231552459536482E-5"/>
    <n v="5.7428523024530593E-5"/>
    <n v="5.3218806461827478E-5"/>
    <n v="1.2525205682509843E-4"/>
    <n v="3.7354936938529447E-4"/>
    <n v="1.1699894366668003E-3"/>
    <n v="4.9238440263332161E-3"/>
    <n v="2.3066581361589535E-4"/>
  </r>
  <r>
    <s v="Virginia, 2011"/>
    <s v="Virginia"/>
    <n v="2011"/>
    <x v="102"/>
    <n v="3807156"/>
    <n v="0.49106655362408907"/>
    <n v="3945678"/>
    <n v="0.50893383333133402"/>
    <x v="102"/>
    <n v="1.4662901848369969E-2"/>
    <x v="101"/>
    <x v="100"/>
    <n v="2.3998080153587713E-4"/>
    <n v="6.0088028962429959E-5"/>
    <n v="5.4630081508081613E-5"/>
    <n v="5.6924375966528464E-5"/>
    <n v="5.4272807695160494E-5"/>
    <n v="6.324407941405215E-5"/>
    <n v="1.0154233984455193E-4"/>
    <n v="3.8100911327381597E-4"/>
    <n v="1.1777721045017446E-3"/>
    <n v="5.8146183551931315E-3"/>
    <n v="2.3088340246291969E-4"/>
  </r>
  <r>
    <s v="Virginia, 2009"/>
    <s v="Virginia"/>
    <n v="2009"/>
    <x v="103"/>
    <n v="3772899"/>
    <n v="0.49134215793407293"/>
    <n v="3905862"/>
    <n v="0.50865784206592701"/>
    <x v="103"/>
    <n v="1.450233963526147E-2"/>
    <x v="102"/>
    <x v="101"/>
    <n v="2.3081850164169659E-4"/>
    <n v="6.0514616296989601E-5"/>
    <n v="5.4171180931744312E-5"/>
    <n v="5.7694859580327592E-5"/>
    <n v="5.2588493287078833E-5"/>
    <n v="5.7313765532030458E-5"/>
    <n v="9.32503287369184E-5"/>
    <n v="2.659988050515219E-4"/>
    <n v="1.1732146080259912E-3"/>
    <n v="4.9389367816091954E-3"/>
    <n v="2.0771580206754709E-4"/>
  </r>
  <r>
    <s v="Virginia, 2013"/>
    <s v="Virginia"/>
    <n v="2013"/>
    <x v="104"/>
    <n v="3752737"/>
    <n v="0.49108307043564331"/>
    <n v="3889023"/>
    <n v="0.50891745300425717"/>
    <x v="104"/>
    <n v="1.5301456890274958E-2"/>
    <x v="103"/>
    <x v="102"/>
    <n v="2.4546453139798186E-4"/>
    <n v="6.0838846008768909E-5"/>
    <n v="5.7220022430248791E-5"/>
    <n v="5.6518036789474079E-5"/>
    <n v="5.7122401882754363E-5"/>
    <n v="5.7102295687986028E-5"/>
    <n v="8.791227874053179E-5"/>
    <n v="3.679724167876376E-4"/>
    <n v="1.3258088475180997E-3"/>
    <n v="5.5503292568203199E-3"/>
    <n v="2.3515537528285383E-4"/>
  </r>
  <r>
    <s v="Virginia, 2014"/>
    <s v="Virginia"/>
    <n v="2014"/>
    <x v="105"/>
    <n v="3743468"/>
    <n v="0.49207164393031305"/>
    <n v="3864105"/>
    <n v="0.50792914475810724"/>
    <x v="105"/>
    <n v="1.5545048765262271E-2"/>
    <x v="104"/>
    <x v="103"/>
    <n v="2.5129311247460893E-4"/>
    <n v="6.1860644464194027E-5"/>
    <n v="5.6701985703539338E-5"/>
    <n v="5.6294947997541788E-5"/>
    <n v="6.422863838206113E-5"/>
    <n v="7.0822736070557377E-5"/>
    <n v="1.3324536273900888E-4"/>
    <n v="4.2272814834369045E-4"/>
    <n v="1.3120998888947674E-3"/>
    <n v="5.2426856079824113E-3"/>
    <n v="2.4423051417095637E-4"/>
  </r>
  <r>
    <s v="Virginia, 2010"/>
    <s v="Virginia"/>
    <n v="2010"/>
    <x v="106"/>
    <n v="3688283"/>
    <n v="0.49099339858908803"/>
    <n v="3823598"/>
    <n v="0.5090068676558821"/>
    <x v="106"/>
    <n v="1.4214952077902214E-2"/>
    <x v="92"/>
    <x v="104"/>
    <n v="2.460256604763877E-4"/>
    <n v="6.1672686606131503E-5"/>
    <n v="5.6802475073180525E-5"/>
    <n v="5.9176091281093338E-5"/>
    <n v="5.448403617740002E-5"/>
    <n v="5.2717777137354411E-5"/>
    <n v="6.9637317245565549E-5"/>
    <n v="2.7286361127808905E-4"/>
    <n v="1.1500199243573521E-3"/>
    <n v="5.441042882160684E-3"/>
    <n v="2.107328938605108E-4"/>
  </r>
  <r>
    <s v="Virginia, 2012"/>
    <s v="Virginia"/>
    <n v="2012"/>
    <x v="107"/>
    <n v="3652594"/>
    <n v="0.49110428326031608"/>
    <n v="3784922"/>
    <n v="0.50889625455394227"/>
    <x v="107"/>
    <n v="1.485523653608895E-2"/>
    <x v="63"/>
    <x v="105"/>
    <n v="2.5347150346622283E-4"/>
    <n v="6.2720567328438347E-5"/>
    <n v="5.7664196396564365E-5"/>
    <n v="5.8774953641255316E-5"/>
    <n v="5.7551583004250188E-5"/>
    <n v="5.3564015694256601E-5"/>
    <n v="7.9160536437029489E-5"/>
    <n v="2.709457774671282E-4"/>
    <n v="1.182939856469964E-3"/>
    <n v="5.8197418677479497E-3"/>
    <n v="2.2332737076592279E-4"/>
  </r>
  <r>
    <s v="Washington, 2017"/>
    <s v="Washington"/>
    <n v="2017"/>
    <x v="108"/>
    <n v="3483716"/>
    <n v="0.49935905108311984"/>
    <n v="3492660"/>
    <n v="0.50064109225779863"/>
    <x v="108"/>
    <n v="1.7710773861783519E-2"/>
    <x v="105"/>
    <x v="106"/>
    <n v="2.7593818984547461E-4"/>
    <n v="6.8894484652031176E-5"/>
    <n v="6.6474849794537325E-5"/>
    <n v="5.8317595682165213E-5"/>
    <n v="6.5465019857722696E-5"/>
    <n v="7.0132128930905827E-5"/>
    <n v="9.6534950090321203E-5"/>
    <n v="2.4242505304092972E-4"/>
    <n v="8.7570807776580855E-4"/>
    <n v="3.9495941144572951E-3"/>
    <n v="2.0698428625181415E-4"/>
  </r>
  <r>
    <s v="Washington, 2016"/>
    <s v="Washington"/>
    <n v="2016"/>
    <x v="109"/>
    <n v="3474006"/>
    <n v="0.49890453735228918"/>
    <n v="3489263"/>
    <n v="0.50109560625844074"/>
    <x v="109"/>
    <n v="1.7805289125738089E-2"/>
    <x v="106"/>
    <x v="107"/>
    <n v="2.7219834185843416E-4"/>
    <n v="6.8404521538873724E-5"/>
    <n v="6.5279122648591596E-5"/>
    <n v="5.9385831728266271E-5"/>
    <n v="6.585879873551106E-5"/>
    <n v="6.3812408535547763E-5"/>
    <n v="9.3649034634534645E-5"/>
    <n v="1.8461720667199618E-4"/>
    <n v="6.5954506211951102E-4"/>
    <n v="2.9439519934184527E-3"/>
    <n v="1.7419981537404564E-4"/>
  </r>
  <r>
    <s v="Washington, 2014"/>
    <s v="Washington"/>
    <n v="2014"/>
    <x v="110"/>
    <n v="3441156"/>
    <n v="0.49908939531701035"/>
    <n v="3453713"/>
    <n v="0.50091060468298965"/>
    <x v="110"/>
    <n v="1.7873000922860174E-2"/>
    <x v="107"/>
    <x v="108"/>
    <n v="2.7002700270027002E-4"/>
    <n v="6.8237571379342892E-5"/>
    <n v="6.4670224966155909E-5"/>
    <n v="6.1319347071592386E-5"/>
    <n v="7.2336456587713987E-5"/>
    <n v="7.1631824877836588E-5"/>
    <n v="9.0939989837456132E-5"/>
    <n v="1.6675387702764089E-4"/>
    <n v="5.6421575915611619E-4"/>
    <n v="2.6697611010127239E-3"/>
    <n v="1.6519530682888972E-4"/>
  </r>
  <r>
    <s v="Washington, 2013"/>
    <s v="Washington"/>
    <n v="2013"/>
    <x v="111"/>
    <n v="3380685"/>
    <n v="0.49876161045522988"/>
    <n v="3397474"/>
    <n v="0.50123853707747734"/>
    <x v="111"/>
    <n v="1.7318716972959319E-2"/>
    <x v="108"/>
    <x v="109"/>
    <n v="2.733721825579435E-4"/>
    <n v="6.9147207490025521E-5"/>
    <n v="6.473916590058654E-5"/>
    <n v="6.295022525688938E-5"/>
    <n v="6.610980176975939E-5"/>
    <n v="6.2110643901045317E-5"/>
    <n v="7.6124535054762816E-5"/>
    <n v="1.4796121772082184E-4"/>
    <n v="6.519764977995793E-4"/>
    <n v="3.5437732666604195E-3"/>
    <n v="1.7718678142350768E-4"/>
  </r>
  <r>
    <s v="Massachusetts, 2017"/>
    <s v="Massachusetts"/>
    <n v="2017"/>
    <x v="112"/>
    <n v="3284798"/>
    <n v="0.48507501478203802"/>
    <n v="3486935"/>
    <n v="0.51492513289066966"/>
    <x v="112"/>
    <n v="2.2865199036228842E-2"/>
    <x v="109"/>
    <x v="110"/>
    <n v="3.3125471002790822E-4"/>
    <n v="7.8086261893513763E-5"/>
    <n v="6.3275053493784807E-5"/>
    <n v="6.3495826207690616E-5"/>
    <n v="7.2049829662194375E-5"/>
    <n v="6.1836354211004192E-5"/>
    <n v="9.2346685032160012E-5"/>
    <n v="2.8789233848643586E-4"/>
    <n v="1.1242455720503347E-3"/>
    <n v="5.1085980741037351E-3"/>
    <n v="2.754095997892415E-4"/>
  </r>
  <r>
    <s v="Arizona, 2017"/>
    <s v="Arizona"/>
    <n v="2017"/>
    <x v="113"/>
    <n v="3349295"/>
    <n v="0.49675108318238564"/>
    <n v="3393106"/>
    <n v="0.50324891681761441"/>
    <x v="113"/>
    <n v="1.8290961928844041E-2"/>
    <x v="110"/>
    <x v="111"/>
    <n v="2.788823325718296E-4"/>
    <n v="6.6373443542748926E-5"/>
    <n v="6.4055959286032278E-5"/>
    <n v="6.5990266435700729E-5"/>
    <n v="7.1921490500969138E-5"/>
    <n v="7.1978435260795865E-5"/>
    <n v="9.9795917349021252E-5"/>
    <n v="2.2581363475271838E-4"/>
    <n v="6.4205167159509142E-4"/>
    <n v="2.7488343807013987E-3"/>
    <n v="1.8628378822321603E-4"/>
  </r>
  <r>
    <s v="Massachusetts, 2016"/>
    <s v="Massachusetts"/>
    <n v="2016"/>
    <x v="114"/>
    <n v="3269450"/>
    <n v="0.48494338631378209"/>
    <n v="3472471"/>
    <n v="0.51505661368621791"/>
    <x v="114"/>
    <n v="2.2991369967105813E-2"/>
    <x v="111"/>
    <x v="112"/>
    <n v="3.3000214501394262E-4"/>
    <n v="7.7259751146341551E-5"/>
    <n v="6.2893147686737618E-5"/>
    <n v="6.4782363649320106E-5"/>
    <n v="7.154201662636466E-5"/>
    <n v="6.0951823678564461E-5"/>
    <n v="8.147063549358758E-5"/>
    <n v="2.9430073254127791E-4"/>
    <n v="9.7021248317910721E-4"/>
    <n v="4.2191915151671552E-3"/>
    <n v="2.4666560168830218E-4"/>
  </r>
  <r>
    <s v="Washington, 2012"/>
    <s v="Washington"/>
    <n v="2012"/>
    <x v="115"/>
    <n v="3344743"/>
    <n v="0.49865107873448283"/>
    <n v="3362839"/>
    <n v="0.50134892126551711"/>
    <x v="115"/>
    <n v="1.6934567479011065E-2"/>
    <x v="112"/>
    <x v="113"/>
    <n v="2.7512902404856944E-4"/>
    <n v="6.9661572470675379E-5"/>
    <n v="6.482141699617554E-5"/>
    <n v="6.3946251044455434E-5"/>
    <n v="6.5962408023667306E-5"/>
    <n v="6.1423615127817428E-5"/>
    <n v="7.2190090947482914E-5"/>
    <n v="1.4112089066821827E-4"/>
    <n v="6.4104058369658971E-4"/>
    <n v="3.1340787041112773E-3"/>
    <n v="1.6786973308712439E-4"/>
  </r>
  <r>
    <s v="Massachusetts, 2015"/>
    <s v="Massachusetts"/>
    <n v="2015"/>
    <x v="116"/>
    <n v="3241207"/>
    <n v="0.48459125148126542"/>
    <n v="3447331"/>
    <n v="0.51540874851873464"/>
    <x v="116"/>
    <n v="2.2971686787157372E-2"/>
    <x v="113"/>
    <x v="114"/>
    <n v="3.2992139622734884E-4"/>
    <n v="7.7224152110986558E-5"/>
    <n v="6.3256975135791646E-5"/>
    <n v="6.6059724597008153E-5"/>
    <n v="7.082387047730567E-5"/>
    <n v="6.0349362459276752E-5"/>
    <n v="9.8256354296230187E-5"/>
    <n v="3.2085561497326203E-4"/>
    <n v="1.1474293496765407E-3"/>
    <n v="5.6493130357247456E-3"/>
    <n v="2.9019794759333058E-4"/>
  </r>
  <r>
    <s v="Washington, 2015"/>
    <s v="Washington"/>
    <n v="2015"/>
    <x v="117"/>
    <n v="3324257"/>
    <n v="0.49861982682550271"/>
    <n v="3342661"/>
    <n v="0.50138032316886505"/>
    <x v="117"/>
    <n v="1.7860579335245961E-2"/>
    <x v="114"/>
    <x v="111"/>
    <n v="2.8133484003769885E-4"/>
    <n v="7.0947312161078775E-5"/>
    <n v="6.746856808084533E-5"/>
    <n v="6.2228528046397584E-5"/>
    <n v="6.7891043926636936E-5"/>
    <n v="6.5601158079110617E-5"/>
    <n v="7.0564492417845293E-5"/>
    <n v="2.1150917565260194E-4"/>
    <n v="6.7473437295347113E-4"/>
    <n v="3.6615578416964098E-3"/>
    <n v="1.8839292584563449E-4"/>
  </r>
  <r>
    <s v="Massachusetts, 2014"/>
    <s v="Massachusetts"/>
    <n v="2014"/>
    <x v="118"/>
    <n v="3224264"/>
    <n v="0.48432763583947358"/>
    <n v="3432933"/>
    <n v="0.51567251437391959"/>
    <x v="118"/>
    <n v="2.269033388832175E-2"/>
    <x v="115"/>
    <x v="115"/>
    <n v="3.2876352039977642E-4"/>
    <n v="7.6551800689731727E-5"/>
    <n v="6.3320662165271152E-5"/>
    <n v="6.7268495472830252E-5"/>
    <n v="7.0046405743805267E-5"/>
    <n v="5.9883108172846605E-5"/>
    <n v="1.2222913025746861E-4"/>
    <n v="3.0971465087513991E-4"/>
    <n v="1.0346438822508512E-3"/>
    <n v="4.7665073417453357E-3"/>
    <n v="2.6617813265525006E-4"/>
  </r>
  <r>
    <s v="Washington, 2011"/>
    <s v="Washington"/>
    <n v="2011"/>
    <x v="119"/>
    <n v="3302333"/>
    <n v="0.49823237375186669"/>
    <n v="3325765"/>
    <n v="0.50176762624813331"/>
    <x v="119"/>
    <n v="1.679456157709195E-2"/>
    <x v="106"/>
    <x v="116"/>
    <n v="2.7812414534767837E-4"/>
    <n v="6.987273845236543E-5"/>
    <n v="6.5102612567842345E-5"/>
    <n v="6.5552564416319968E-5"/>
    <n v="6.5722670049193422E-5"/>
    <n v="6.1328748668655085E-5"/>
    <n v="8.3140889061513083E-5"/>
    <n v="1.9676707125942366E-4"/>
    <n v="6.5478185630656266E-4"/>
    <n v="3.278953609544001E-3"/>
    <n v="1.7591773688319033E-4"/>
  </r>
  <r>
    <s v="Massachusetts, 2013"/>
    <s v="Massachusetts"/>
    <n v="2013"/>
    <x v="120"/>
    <n v="3197404"/>
    <n v="0.48408526636389804"/>
    <n v="3407639"/>
    <n v="0.51591473363610196"/>
    <x v="120"/>
    <n v="2.2482215482927212E-2"/>
    <x v="116"/>
    <x v="117"/>
    <n v="3.2813512604490527E-4"/>
    <n v="7.6282596507019912E-5"/>
    <n v="6.3632796343235308E-5"/>
    <n v="6.8704597711678869E-5"/>
    <n v="6.8909755783825498E-5"/>
    <n v="5.9655015047977544E-5"/>
    <n v="1.0123750801463605E-4"/>
    <n v="3.1242420629863643E-4"/>
    <n v="1.2064450087076748E-3"/>
    <n v="5.9462881155047951E-3"/>
    <n v="2.970457573099827E-4"/>
  </r>
  <r>
    <s v="Massachusetts, 2012"/>
    <s v="Massachusetts"/>
    <n v="2012"/>
    <x v="121"/>
    <n v="3166895"/>
    <n v="0.48390736908244331"/>
    <n v="3377529"/>
    <n v="0.51609263091755664"/>
    <x v="121"/>
    <n v="2.2081240457525367E-2"/>
    <x v="117"/>
    <x v="118"/>
    <n v="3.2698705948712079E-4"/>
    <n v="7.6123101204394328E-5"/>
    <n v="6.4129010467992137E-5"/>
    <n v="7.0458177787120009E-5"/>
    <n v="6.7638023842403399E-5"/>
    <n v="5.9759587180771753E-5"/>
    <n v="7.4586789187899039E-5"/>
    <n v="2.7186518938862695E-4"/>
    <n v="1.0896565429072964E-3"/>
    <n v="5.2730279774962112E-3"/>
    <n v="2.6847282511035348E-4"/>
  </r>
  <r>
    <s v="Washington, 2010"/>
    <s v="Washington"/>
    <n v="2010"/>
    <x v="122"/>
    <n v="3257435"/>
    <n v="0.49798417487076613"/>
    <n v="3283807"/>
    <n v="0.50201582512923382"/>
    <x v="122"/>
    <n v="1.6353010636206398E-2"/>
    <x v="118"/>
    <x v="119"/>
    <n v="2.8208877333696917E-4"/>
    <n v="7.0297781402018958E-5"/>
    <n v="6.5500252721808412E-5"/>
    <n v="6.7022855910913226E-5"/>
    <n v="6.5087922935899251E-5"/>
    <n v="6.137649055364663E-5"/>
    <n v="8.526481831488298E-5"/>
    <n v="1.4438070303777001E-4"/>
    <n v="4.8128131287230268E-4"/>
    <n v="2.7858538455066422E-3"/>
    <n v="1.5685094665508477E-4"/>
  </r>
  <r>
    <s v="Arizona, 2014"/>
    <s v="Arizona"/>
    <n v="2014"/>
    <x v="123"/>
    <n v="3238469"/>
    <n v="0.49641424076405449"/>
    <n v="3285255"/>
    <n v="0.50358591252265006"/>
    <x v="123"/>
    <n v="1.7312506984125474E-2"/>
    <x v="119"/>
    <x v="116"/>
    <n v="2.7361902199440907E-4"/>
    <n v="6.6347535023205054E-5"/>
    <n v="6.5195848328378453E-5"/>
    <n v="6.887914121486733E-5"/>
    <n v="7.8909926140309137E-5"/>
    <n v="8.3602054221903745E-5"/>
    <n v="1.0920578448567364E-4"/>
    <n v="2.4221346959949822E-4"/>
    <n v="6.1655379934524672E-4"/>
    <n v="2.39060756848648E-3"/>
    <n v="1.7873229749331784E-4"/>
  </r>
  <r>
    <s v="Arizona, 2015"/>
    <s v="Arizona"/>
    <n v="2015"/>
    <x v="124"/>
    <n v="3240859"/>
    <n v="0.4968561481379502"/>
    <n v="3281872"/>
    <n v="0.5031438518620498"/>
    <x v="124"/>
    <n v="1.8254470405110988E-2"/>
    <x v="120"/>
    <x v="120"/>
    <n v="2.8244332303984336E-4"/>
    <n v="6.7199935488061925E-5"/>
    <n v="6.5476879022735753E-5"/>
    <n v="6.8648943035107073E-5"/>
    <n v="7.2877444430948627E-5"/>
    <n v="7.2771729638470043E-5"/>
    <n v="8.7265490275758955E-5"/>
    <n v="1.8408918863120226E-4"/>
    <n v="6.7247104009931884E-4"/>
    <n v="2.6959158135198918E-3"/>
    <n v="1.8136575002096516E-4"/>
  </r>
  <r>
    <s v="Massachusetts, 2011"/>
    <s v="Massachusetts"/>
    <n v="2011"/>
    <x v="125"/>
    <n v="3150035"/>
    <n v="0.48372862480704815"/>
    <n v="3361954"/>
    <n v="0.51627152875588833"/>
    <x v="125"/>
    <n v="2.1755107656832293E-2"/>
    <x v="121"/>
    <x v="71"/>
    <n v="3.273599240524976E-4"/>
    <n v="7.5738545491726197E-5"/>
    <n v="6.4244918762300225E-5"/>
    <n v="7.1719033514304364E-5"/>
    <n v="6.5970603499080808E-5"/>
    <n v="6.0099043223231887E-5"/>
    <n v="8.7074439682383181E-5"/>
    <n v="2.4206399903174401E-4"/>
    <n v="1.0342640625762283E-3"/>
    <n v="5.9151966908780329E-3"/>
    <n v="2.7825604101236061E-4"/>
  </r>
  <r>
    <s v="Massachusetts, 2009"/>
    <s v="Massachusetts"/>
    <n v="2009"/>
    <x v="126"/>
    <n v="3159175"/>
    <n v="0.48519269022984479"/>
    <n v="3352001"/>
    <n v="0.51480730977015521"/>
    <x v="126"/>
    <n v="2.1037213554049222E-2"/>
    <x v="122"/>
    <x v="121"/>
    <n v="3.1208469978752232E-4"/>
    <n v="7.4955120621527865E-5"/>
    <n v="6.5934210844419434E-5"/>
    <n v="7.1492915052118333E-5"/>
    <n v="6.1507865318277568E-5"/>
    <n v="6.8130811157422251E-5"/>
    <n v="8.1879852234159999E-5"/>
    <n v="2.6260442629139243E-4"/>
    <n v="1.1846906550161177E-3"/>
    <n v="5.1541499667827444E-3"/>
    <n v="2.6538984662678446E-4"/>
  </r>
  <r>
    <s v="Arizona, 2016"/>
    <s v="Arizona"/>
    <n v="2016"/>
    <x v="127"/>
    <n v="3236711"/>
    <n v="0.49725937533606795"/>
    <n v="3272389"/>
    <n v="0.50274062466393199"/>
    <x v="127"/>
    <n v="1.7757293635064755E-2"/>
    <x v="123"/>
    <x v="122"/>
    <n v="2.8094820017559262E-4"/>
    <n v="6.7361992118646928E-5"/>
    <n v="6.520470473679577E-5"/>
    <n v="6.8216158816313208E-5"/>
    <n v="7.3706723404464412E-5"/>
    <n v="8.9215223783556538E-5"/>
    <n v="1.5197990164918018E-4"/>
    <n v="2.6911717567523557E-4"/>
    <n v="6.9655873821491293E-4"/>
    <n v="2.5868632336655591E-3"/>
    <n v="1.961868768339709E-4"/>
  </r>
  <r>
    <s v="Massachusetts, 2010"/>
    <s v="Massachusetts"/>
    <n v="2010"/>
    <x v="128"/>
    <n v="3132209"/>
    <n v="0.48360022208306003"/>
    <n v="3344648"/>
    <n v="0.51639993231283821"/>
    <x v="128"/>
    <n v="2.1264329483317215E-2"/>
    <x v="124"/>
    <x v="123"/>
    <n v="3.268045055447831E-4"/>
    <n v="7.5314154165563105E-5"/>
    <n v="6.4635879161069378E-5"/>
    <n v="7.2487668035475461E-5"/>
    <n v="6.4417355753436126E-5"/>
    <n v="6.0588985528320807E-5"/>
    <n v="8.8649901691228422E-5"/>
    <n v="2.5109096700246208E-4"/>
    <n v="1.108604071837544E-3"/>
    <n v="5.1043375978391883E-3"/>
    <n v="2.6216423524006094E-4"/>
  </r>
  <r>
    <s v="Arizona, 2013"/>
    <s v="Arizona"/>
    <n v="2013"/>
    <x v="129"/>
    <n v="3217196"/>
    <n v="0.49717199464935208"/>
    <n v="3253796"/>
    <n v="0.50282800535064798"/>
    <x v="129"/>
    <n v="1.6527141433647266E-2"/>
    <x v="125"/>
    <x v="124"/>
    <n v="2.6857954990543761E-4"/>
    <n v="6.6448714881854178E-5"/>
    <n v="6.5547551471214791E-5"/>
    <n v="6.9355582604232777E-5"/>
    <n v="7.2370682636463971E-5"/>
    <n v="7.1602634022230235E-5"/>
    <n v="8.7071374414947336E-5"/>
    <n v="1.6674214275022218E-4"/>
    <n v="6.7671549094506578E-4"/>
    <n v="3.2539482173412999E-3"/>
    <n v="1.8204318595974156E-4"/>
  </r>
  <r>
    <s v="Washington, 2009"/>
    <s v="Washington"/>
    <n v="2009"/>
    <x v="130"/>
    <n v="3223849"/>
    <n v="0.49860364334868856"/>
    <n v="3241906"/>
    <n v="0.50139635665131144"/>
    <x v="130"/>
    <n v="1.5945392301440434E-2"/>
    <x v="126"/>
    <x v="113"/>
    <n v="2.7807838566227844E-4"/>
    <n v="7.1076909955032015E-5"/>
    <n v="6.6628392356835023E-5"/>
    <n v="6.7004144206319165E-5"/>
    <n v="6.5060821024187442E-5"/>
    <n v="8.5313269296987827E-5"/>
    <n v="9.8865752497037416E-5"/>
    <n v="1.8984575032785861E-4"/>
    <n v="6.0340808018274645E-4"/>
    <n v="3.1038128400857428E-3"/>
    <n v="1.7414826265455465E-4"/>
  </r>
  <r>
    <s v="Indiana, 2017"/>
    <s v="Indiana"/>
    <n v="2017"/>
    <x v="131"/>
    <n v="3165235"/>
    <n v="0.49254851981874315"/>
    <n v="3261011"/>
    <n v="0.50745241385320183"/>
    <x v="131"/>
    <n v="1.9181356438601731E-2"/>
    <x v="127"/>
    <x v="125"/>
    <n v="2.9575881854210619E-4"/>
    <n v="6.9949391615166433E-5"/>
    <n v="6.5180550123843041E-5"/>
    <n v="7.2343719479993346E-5"/>
    <n v="7.5257757820535329E-5"/>
    <n v="7.6667126669426687E-5"/>
    <n v="1.0529832103642595E-4"/>
    <n v="3.0415419327247794E-4"/>
    <n v="1.0005292654810152E-3"/>
    <n v="3.6993769470404984E-3"/>
    <n v="2.2859401454038443E-4"/>
  </r>
  <r>
    <s v="Indiana, 2010"/>
    <s v="Indiana"/>
    <n v="2010"/>
    <x v="132"/>
    <n v="3155070"/>
    <n v="0.4916765142638348"/>
    <n v="3261894"/>
    <n v="0.50832364157312426"/>
    <x v="132"/>
    <n v="1.6814496203266249E-2"/>
    <x v="128"/>
    <x v="126"/>
    <n v="2.762977937621168E-4"/>
    <n v="6.7230657179673925E-5"/>
    <n v="6.4833814724407656E-5"/>
    <n v="7.3019438991650228E-5"/>
    <n v="6.9152307958278105E-5"/>
    <n v="6.930531550445206E-5"/>
    <n v="1.1487968774870415E-4"/>
    <n v="2.6999411133533035E-4"/>
    <n v="1.1133864131057396E-3"/>
    <n v="5.0881387977534335E-3"/>
    <n v="2.406122647115154E-4"/>
  </r>
  <r>
    <s v="Arizona, 2012"/>
    <s v="Arizona"/>
    <n v="2012"/>
    <x v="133"/>
    <n v="3188406"/>
    <n v="0.49739679940644466"/>
    <n v="3221781"/>
    <n v="0.50260335659526889"/>
    <x v="133"/>
    <n v="1.6206082007604771E-2"/>
    <x v="129"/>
    <x v="127"/>
    <n v="2.6304886790343477E-4"/>
    <n v="6.6617443777653178E-5"/>
    <n v="6.614048238458486E-5"/>
    <n v="6.9317682940918228E-5"/>
    <n v="7.2632014739456853E-5"/>
    <n v="7.2007892064970317E-5"/>
    <n v="9.1004106215580451E-5"/>
    <n v="1.6002624430406587E-4"/>
    <n v="7.1978745099976363E-4"/>
    <n v="2.6279311539794386E-3"/>
    <n v="1.7206989001567193E-4"/>
  </r>
  <r>
    <s v="Indiana, 2009"/>
    <s v="Indiana"/>
    <n v="2009"/>
    <x v="134"/>
    <n v="3120257"/>
    <n v="0.4919625149133563"/>
    <n v="3222214"/>
    <n v="0.50803780042125546"/>
    <x v="134"/>
    <n v="1.7088297948322648E-2"/>
    <x v="130"/>
    <x v="128"/>
    <n v="2.7176313125479832E-4"/>
    <n v="6.8769011766377916E-5"/>
    <n v="6.6003260561071713E-5"/>
    <n v="7.2560690971273223E-5"/>
    <n v="6.8271424426377802E-5"/>
    <n v="6.4895734187072772E-5"/>
    <n v="1.2358297579082199E-4"/>
    <n v="2.8609597792696797E-4"/>
    <n v="1.0648401300831726E-3"/>
    <n v="4.9546972744551679E-3"/>
    <n v="2.3902363574816054E-4"/>
  </r>
  <r>
    <s v="Arizona, 2009"/>
    <s v="Arizona"/>
    <n v="2009"/>
    <x v="135"/>
    <n v="3169300"/>
    <n v="0.50108579392603636"/>
    <n v="3155565"/>
    <n v="0.49891420607396364"/>
    <x v="135"/>
    <n v="1.5269416817592155E-2"/>
    <x v="131"/>
    <x v="129"/>
    <n v="2.3975018031211477E-4"/>
    <n v="6.6648153290752572E-5"/>
    <n v="6.9904242838019048E-5"/>
    <n v="6.5254558030878459E-5"/>
    <n v="7.5683391920041085E-5"/>
    <n v="1.0002427418361286E-4"/>
    <n v="1.1813512203204684E-4"/>
    <n v="3.8090731649612585E-4"/>
    <n v="9.4286189108249362E-4"/>
    <n v="3.6240512751483274E-3"/>
    <n v="2.1707973213657526E-4"/>
  </r>
  <r>
    <s v="Tennessee, 2017"/>
    <s v="Tennessee"/>
    <n v="2017"/>
    <x v="136"/>
    <n v="3072080"/>
    <n v="0.48787831818493665"/>
    <n v="3224740"/>
    <n v="0.51212231705674738"/>
    <x v="136"/>
    <n v="1.6815006187254004E-2"/>
    <x v="132"/>
    <x v="130"/>
    <n v="3.0957515968918655E-4"/>
    <n v="7.4714497227469529E-5"/>
    <n v="7.0919303288764494E-5"/>
    <n v="7.0842100043213687E-5"/>
    <n v="7.4810169195665992E-5"/>
    <n v="1.0345164047263293E-4"/>
    <n v="2.0594528268148157E-4"/>
    <n v="5.9623434663684906E-4"/>
    <n v="1.575945118339478E-3"/>
    <n v="5.1472879931243566E-3"/>
    <n v="3.1698560034150593E-4"/>
  </r>
  <r>
    <s v="Indiana, 2013"/>
    <s v="Indiana"/>
    <n v="2013"/>
    <x v="137"/>
    <n v="3098019"/>
    <n v="0.49210375287965502"/>
    <n v="3197443"/>
    <n v="0.50789672365430383"/>
    <x v="137"/>
    <n v="1.7876059553401904E-2"/>
    <x v="133"/>
    <x v="131"/>
    <n v="2.8896305607328105E-4"/>
    <n v="6.9193697376751615E-5"/>
    <n v="6.6182796884996356E-5"/>
    <n v="7.4057799644028848E-5"/>
    <n v="7.4210676690055399E-5"/>
    <n v="6.6946876537686068E-5"/>
    <n v="1.2406753452995383E-4"/>
    <n v="2.6500771834979696E-4"/>
    <n v="1.0046631535049475E-3"/>
    <n v="4.7272921146634915E-3"/>
    <n v="2.3699622219761895E-4"/>
  </r>
  <r>
    <s v="Arizona, 2011"/>
    <s v="Arizona"/>
    <n v="2011"/>
    <x v="138"/>
    <n v="3112908"/>
    <n v="0.49745583690509082"/>
    <n v="3144750"/>
    <n v="0.50254432289912987"/>
    <x v="138"/>
    <n v="1.542909750406582E-2"/>
    <x v="134"/>
    <x v="132"/>
    <n v="2.6449370394778893E-4"/>
    <n v="6.8768460033490241E-5"/>
    <n v="6.7687316186631975E-5"/>
    <n v="7.0435183783003287E-5"/>
    <n v="7.3209300509536726E-5"/>
    <n v="7.938582242490712E-5"/>
    <n v="8.6050990948869936E-5"/>
    <n v="1.9945915076592313E-4"/>
    <n v="7.0621972707104281E-4"/>
    <n v="2.7861211807353702E-3"/>
    <n v="1.7690327226308505E-4"/>
  </r>
  <r>
    <s v="Arizona, 2010"/>
    <s v="Arizona"/>
    <n v="2010"/>
    <x v="139"/>
    <n v="3107925"/>
    <n v="0.49753451929129394"/>
    <n v="3138727"/>
    <n v="0.502465480708706"/>
    <x v="139"/>
    <n v="1.5110974646898851E-2"/>
    <x v="135"/>
    <x v="133"/>
    <n v="2.5938542945580934E-4"/>
    <n v="6.8178409261355108E-5"/>
    <n v="6.778933334839763E-5"/>
    <n v="7.04022904211817E-5"/>
    <n v="7.234764490328929E-5"/>
    <n v="7.3383992749661515E-5"/>
    <n v="1.1134389146900684E-4"/>
    <n v="2.0065737099584944E-4"/>
    <n v="7.7028507780602562E-4"/>
    <n v="3.1252317438793132E-3"/>
    <n v="1.8505913247608479E-4"/>
  </r>
  <r>
    <s v="Tennessee, 2015"/>
    <s v="Tennessee"/>
    <n v="2015"/>
    <x v="140"/>
    <n v="3034624"/>
    <n v="0.48694324940023143"/>
    <n v="3197365"/>
    <n v="0.51305707152469993"/>
    <x v="140"/>
    <n v="1.6462967589630721E-2"/>
    <x v="136"/>
    <x v="134"/>
    <n v="3.1022982859801971E-4"/>
    <n v="7.4370177558798916E-5"/>
    <n v="7.1136825756273382E-5"/>
    <n v="7.3251755295186265E-5"/>
    <n v="7.4251728208974069E-5"/>
    <n v="8.8998306720527981E-5"/>
    <n v="1.5034240482699347E-4"/>
    <n v="5.8178521169992726E-4"/>
    <n v="1.7875703049558083E-3"/>
    <n v="6.2867335302201821E-3"/>
    <n v="3.2975036693754336E-4"/>
  </r>
  <r>
    <s v="Indiana, 2014"/>
    <s v="Indiana"/>
    <n v="2014"/>
    <x v="141"/>
    <n v="3062410"/>
    <n v="0.49167199561118674"/>
    <n v="3166157"/>
    <n v="0.50832864659151722"/>
    <x v="141"/>
    <n v="1.8494314017535023E-2"/>
    <x v="137"/>
    <x v="135"/>
    <n v="2.955737826054829E-4"/>
    <n v="7.0337832610025956E-5"/>
    <n v="6.6995016687342078E-5"/>
    <n v="7.5029542882509986E-5"/>
    <n v="8.4701194413260922E-5"/>
    <n v="6.890200068442654E-5"/>
    <n v="1.3640579815579361E-4"/>
    <n v="2.7935662021467484E-4"/>
    <n v="9.541766219094219E-4"/>
    <n v="3.9498927886243091E-3"/>
    <n v="2.2910581461566657E-4"/>
  </r>
  <r>
    <s v="Tennessee, 2011"/>
    <s v="Tennessee"/>
    <n v="2011"/>
    <x v="142"/>
    <n v="3033778"/>
    <n v="0.48749015789152311"/>
    <n v="3189483"/>
    <n v="0.51251000279596226"/>
    <x v="142"/>
    <n v="1.560163001385126E-2"/>
    <x v="102"/>
    <x v="136"/>
    <n v="2.9817368617219528E-4"/>
    <n v="7.3119369808524748E-5"/>
    <n v="7.0578354324512209E-5"/>
    <n v="7.3626316990745166E-5"/>
    <n v="7.0231870520523503E-5"/>
    <n v="8.5276417415880901E-5"/>
    <n v="1.5529022016702327E-4"/>
    <n v="5.0783048790459674E-4"/>
    <n v="1.5459952630095882E-3"/>
    <n v="5.6646720154903034E-3"/>
    <n v="2.9020159851910415E-4"/>
  </r>
  <r>
    <s v="Indiana, 2016"/>
    <s v="Indiana"/>
    <n v="2016"/>
    <x v="143"/>
    <n v="3052348"/>
    <n v="0.49171208417048029"/>
    <n v="3155249"/>
    <n v="0.50828872129482738"/>
    <x v="143"/>
    <n v="1.8825012984100758E-2"/>
    <x v="138"/>
    <x v="137"/>
    <n v="3.0028301674328052E-4"/>
    <n v="7.1415733600269473E-5"/>
    <n v="6.7350045124530235E-5"/>
    <n v="7.4705008597301403E-5"/>
    <n v="7.7822929488534739E-5"/>
    <n v="8.2923522879681575E-5"/>
    <n v="1.1286710342431183E-4"/>
    <n v="2.9456429363283358E-4"/>
    <n v="8.6930114261853238E-4"/>
    <n v="3.3117116500367967E-3"/>
    <n v="2.1618688857128496E-4"/>
  </r>
  <r>
    <s v="Indiana, 2012"/>
    <s v="Indiana"/>
    <n v="2012"/>
    <x v="144"/>
    <n v="3046882"/>
    <n v="0.4917627755539728"/>
    <n v="3148957"/>
    <n v="0.50823754724341519"/>
    <x v="144"/>
    <n v="1.7376828990175178E-2"/>
    <x v="139"/>
    <x v="138"/>
    <n v="2.9094435689174447E-4"/>
    <n v="7.0456109366670035E-5"/>
    <n v="6.7040679166773746E-5"/>
    <n v="7.5506554598160411E-5"/>
    <n v="7.4494554448069849E-5"/>
    <n v="6.7190378337822021E-5"/>
    <n v="8.1609114105863346E-5"/>
    <n v="1.8396302343229011E-4"/>
    <n v="9.197308656401364E-4"/>
    <n v="4.3840095110714815E-3"/>
    <n v="2.1562865517604803E-4"/>
  </r>
  <r>
    <s v="Tennessee, 2014"/>
    <s v="Tennessee"/>
    <n v="2014"/>
    <x v="145"/>
    <n v="2997965"/>
    <n v="0.48681429100792517"/>
    <n v="3160371"/>
    <n v="0.5131860337552332"/>
    <x v="145"/>
    <n v="1.6389984693912348E-2"/>
    <x v="140"/>
    <x v="139"/>
    <n v="3.1071017990119416E-4"/>
    <n v="7.485506188642242E-5"/>
    <n v="7.1424064910190191E-5"/>
    <n v="7.4349626640958215E-5"/>
    <n v="8.8109225656413727E-5"/>
    <n v="1.2055622788836493E-4"/>
    <n v="2.2107827070520113E-4"/>
    <n v="5.0775662454459957E-4"/>
    <n v="1.5216283283294456E-3"/>
    <n v="5.7660870857482536E-3"/>
    <n v="3.1745598728487285E-4"/>
  </r>
  <r>
    <s v="Tennessee, 2016"/>
    <s v="Tennessee"/>
    <n v="2016"/>
    <x v="146"/>
    <n v="2994886"/>
    <n v="0.48706559860526427"/>
    <n v="3153950"/>
    <n v="0.51293456402716942"/>
    <x v="146"/>
    <n v="1.6338542179128241E-2"/>
    <x v="141"/>
    <x v="140"/>
    <n v="3.154109805076014E-4"/>
    <n v="7.5961193958046632E-5"/>
    <n v="7.2117204881373207E-5"/>
    <n v="7.3433749906677947E-5"/>
    <n v="7.6015182765837766E-5"/>
    <n v="9.7536141898433944E-5"/>
    <n v="2.321592587142183E-4"/>
    <n v="5.1900174355034136E-4"/>
    <n v="1.5221768606949551E-3"/>
    <n v="5.1660810447627485E-3"/>
    <n v="3.0851372658397891E-4"/>
  </r>
  <r>
    <s v="Tennessee, 2012"/>
    <s v="Tennessee"/>
    <n v="2012"/>
    <x v="147"/>
    <n v="2993023"/>
    <n v="0.48707788873781399"/>
    <n v="3151834"/>
    <n v="0.51292243673772608"/>
    <x v="147"/>
    <n v="1.553332015157396E-2"/>
    <x v="142"/>
    <x v="141"/>
    <n v="3.0409848736344077E-4"/>
    <n v="7.4297700981472626E-5"/>
    <n v="7.1276768881513064E-5"/>
    <n v="7.4632435256362419E-5"/>
    <n v="7.2244591288265551E-5"/>
    <n v="6.766815536608472E-5"/>
    <n v="1.5558189606865644E-4"/>
    <n v="4.5898657464269171E-4"/>
    <n v="1.3760809988409908E-3"/>
    <n v="6.6003143006809848E-3"/>
    <n v="2.9276524832563177E-4"/>
  </r>
  <r>
    <s v="Tennessee, 2010"/>
    <s v="Tennessee"/>
    <n v="2010"/>
    <x v="148"/>
    <n v="2991101"/>
    <n v="0.48731508393722955"/>
    <n v="3146820"/>
    <n v="0.51268507898441162"/>
    <x v="148"/>
    <n v="1.5152201397215995E-2"/>
    <x v="143"/>
    <x v="142"/>
    <n v="3.0201063580789105E-4"/>
    <n v="7.3828707554645542E-5"/>
    <n v="7.1718776334238181E-5"/>
    <n v="7.4289973577532727E-5"/>
    <n v="6.9842319323740098E-5"/>
    <n v="6.7058287063115256E-5"/>
    <n v="1.7128919096689324E-4"/>
    <n v="4.6465612112184441E-4"/>
    <n v="1.4434202481289713E-3"/>
    <n v="5.752502607442771E-3"/>
    <n v="2.8055106615922006E-4"/>
  </r>
  <r>
    <s v="Indiana, 2011"/>
    <s v="Indiana"/>
    <n v="2011"/>
    <x v="149"/>
    <n v="3009906"/>
    <n v="0.49163933845166014"/>
    <n v="3112278"/>
    <n v="0.50836082488876921"/>
    <x v="149"/>
    <n v="1.7003738699088219E-2"/>
    <x v="144"/>
    <x v="143"/>
    <n v="2.9025540056454676E-4"/>
    <n v="7.085782849098807E-5"/>
    <n v="6.768869068637461E-5"/>
    <n v="7.6197442813819171E-5"/>
    <n v="7.4001625569041662E-5"/>
    <n v="6.7453094804200534E-5"/>
    <n v="9.4603772572530732E-5"/>
    <n v="2.5760103618211187E-4"/>
    <n v="9.5114898797747682E-4"/>
    <n v="4.3996157540826131E-3"/>
    <n v="2.2246966482380551E-4"/>
  </r>
  <r>
    <s v="Indiana, 2015"/>
    <s v="Indiana"/>
    <n v="2015"/>
    <x v="150"/>
    <n v="2987440"/>
    <n v="0.49167598469659651"/>
    <n v="3088600"/>
    <n v="0.50832500278964865"/>
    <x v="150"/>
    <n v="1.843538071050952E-2"/>
    <x v="145"/>
    <x v="144"/>
    <n v="3.0715282132664422E-4"/>
    <n v="7.2728418750840927E-5"/>
    <n v="6.8597377979555689E-5"/>
    <n v="7.6270281539032593E-5"/>
    <n v="7.832018859501414E-5"/>
    <n v="7.1972218723572695E-5"/>
    <n v="8.9052442721599805E-5"/>
    <n v="2.7993086555896045E-4"/>
    <n v="1.0753704710359008E-3"/>
    <n v="4.2851786383844874E-3"/>
    <n v="2.358446315474864E-4"/>
  </r>
  <r>
    <s v="Tennessee, 2009"/>
    <s v="Tennessee"/>
    <n v="2009"/>
    <x v="151"/>
    <n v="2951304"/>
    <n v="0.48731831470948683"/>
    <n v="3104910"/>
    <n v="0.51268168529051317"/>
    <x v="151"/>
    <n v="1.5614870940822104E-2"/>
    <x v="146"/>
    <x v="145"/>
    <n v="2.9555558292181322E-4"/>
    <n v="7.5445695445846344E-5"/>
    <n v="7.3566014463078447E-5"/>
    <n v="7.3153692249732074E-5"/>
    <n v="6.9678399347810184E-5"/>
    <n v="7.50659386028864E-5"/>
    <n v="1.8527667984189722E-4"/>
    <n v="3.8637614302942312E-4"/>
    <n v="1.4418895619402188E-3"/>
    <n v="5.8582803726458486E-3"/>
    <n v="2.8268485889038926E-4"/>
  </r>
  <r>
    <s v="Tennessee, 2013"/>
    <s v="Tennessee"/>
    <n v="2013"/>
    <x v="152"/>
    <n v="2926162"/>
    <n v="0.48683626686134601"/>
    <n v="3084406"/>
    <n v="0.5131638995123089"/>
    <x v="152"/>
    <n v="1.5822800078594913E-2"/>
    <x v="147"/>
    <x v="146"/>
    <n v="3.1576371401280422E-4"/>
    <n v="7.6648909669259951E-5"/>
    <n v="7.2347034253909148E-5"/>
    <n v="7.6143581413351782E-5"/>
    <n v="8.5159247793373605E-5"/>
    <n v="8.7618767238992459E-5"/>
    <n v="2.0206343994395398E-4"/>
    <n v="5.3090409596723558E-4"/>
    <n v="1.6120934465067387E-3"/>
    <n v="6.2773384925975777E-3"/>
    <n v="3.1860554919361183E-4"/>
  </r>
  <r>
    <s v="Maryland, 2015"/>
    <s v="Maryland"/>
    <n v="2015"/>
    <x v="153"/>
    <n v="2872675"/>
    <n v="0.48441876998685363"/>
    <n v="3057473"/>
    <n v="0.51558123001314637"/>
    <x v="153"/>
    <n v="1.7809842182690886E-2"/>
    <x v="148"/>
    <x v="147"/>
    <n v="3.2627846779631524E-4"/>
    <n v="7.9920931558378241E-5"/>
    <n v="7.5189948607670131E-5"/>
    <n v="7.3810906299514819E-5"/>
    <n v="7.7436740635962142E-5"/>
    <n v="6.7460830555258854E-5"/>
    <n v="9.9598948235106636E-5"/>
    <n v="3.8777812000735673E-4"/>
    <n v="1.32531481658512E-3"/>
    <n v="4.9046063532642145E-3"/>
    <n v="2.6188216550413244E-4"/>
  </r>
  <r>
    <s v="Maryland, 2017"/>
    <s v="Maryland"/>
    <n v="2017"/>
    <x v="154"/>
    <n v="2868226"/>
    <n v="0.48439887340537158"/>
    <n v="3052981"/>
    <n v="0.51560112659462842"/>
    <x v="154"/>
    <n v="1.8067431184216325E-2"/>
    <x v="149"/>
    <x v="148"/>
    <n v="3.3055028358459747E-4"/>
    <n v="8.0928847357403369E-5"/>
    <n v="7.7631815588209791E-5"/>
    <n v="7.327778876944609E-5"/>
    <n v="7.8964719879236623E-5"/>
    <n v="7.0009054504382561E-5"/>
    <n v="9.0701302470703484E-5"/>
    <n v="3.2707662996594316E-4"/>
    <n v="9.7789947193428523E-4"/>
    <n v="4.1315747656125853E-3"/>
    <n v="2.3424278191929449E-4"/>
  </r>
  <r>
    <s v="Maryland, 2014"/>
    <s v="Maryland"/>
    <n v="2014"/>
    <x v="155"/>
    <n v="2851059"/>
    <n v="0.48431010425616705"/>
    <n v="3035788"/>
    <n v="0.5156900656140827"/>
    <x v="155"/>
    <n v="1.7539103282131041E-2"/>
    <x v="150"/>
    <x v="149"/>
    <n v="3.2736796158882583E-4"/>
    <n v="8.0035322255555454E-5"/>
    <n v="7.5015190576091664E-5"/>
    <n v="7.4917122932755638E-5"/>
    <n v="7.7126572417995172E-5"/>
    <n v="7.8502794699491301E-5"/>
    <n v="1.1287157526562218E-4"/>
    <n v="3.5343741134999141E-4"/>
    <n v="1.0591643980707452E-3"/>
    <n v="4.0484261501210657E-3"/>
    <n v="2.3527029584262949E-4"/>
  </r>
  <r>
    <s v="Maryland, 2016"/>
    <s v="Maryland"/>
    <n v="2016"/>
    <x v="156"/>
    <n v="2848708"/>
    <n v="0.48458466463184885"/>
    <n v="3029952"/>
    <n v="0.51541550547497317"/>
    <x v="156"/>
    <n v="1.8000703902029357E-2"/>
    <x v="151"/>
    <x v="150"/>
    <n v="3.3072610917268862E-4"/>
    <n v="8.1255670968703023E-5"/>
    <n v="7.6807963449650462E-5"/>
    <n v="7.3893627659862702E-5"/>
    <n v="7.8964304186292581E-5"/>
    <n v="7.6274829768448107E-5"/>
    <n v="1.0190401700341313E-4"/>
    <n v="3.2915618460959724E-4"/>
    <n v="1.0998623007040852E-3"/>
    <n v="4.1580041580041582E-3"/>
    <n v="2.4002072581519017E-4"/>
  </r>
  <r>
    <s v="Maryland, 2013"/>
    <s v="Maryland"/>
    <n v="2013"/>
    <x v="157"/>
    <n v="2808879"/>
    <n v="0.4841490795255583"/>
    <n v="2992803"/>
    <n v="0.5158509204744417"/>
    <x v="157"/>
    <n v="1.7345831777749971E-2"/>
    <x v="152"/>
    <x v="151"/>
    <n v="3.2891761436054304E-4"/>
    <n v="8.0889024303107355E-5"/>
    <n v="7.5339498615636713E-5"/>
    <n v="7.6906512443473707E-5"/>
    <n v="7.6766394743037292E-5"/>
    <n v="6.7283506906091293E-5"/>
    <n v="1.1621117951546939E-4"/>
    <n v="3.2278968540232553E-4"/>
    <n v="1.2245897624295861E-3"/>
    <n v="5.097630049187658E-3"/>
    <n v="2.556155266696796E-4"/>
  </r>
  <r>
    <s v="Maryland, 2012"/>
    <s v="Maryland"/>
    <n v="2012"/>
    <x v="158"/>
    <n v="2798875"/>
    <n v="0.48377442487212852"/>
    <n v="2986621"/>
    <n v="0.51622557512787148"/>
    <x v="158"/>
    <n v="1.6944096063673711E-2"/>
    <x v="153"/>
    <x v="152"/>
    <n v="3.2793874104317312E-4"/>
    <n v="8.0690386950750618E-5"/>
    <n v="7.4939954361567796E-5"/>
    <n v="7.8343402636777792E-5"/>
    <n v="7.5086819134624407E-5"/>
    <n v="6.7106962906626251E-5"/>
    <n v="9.4546256756117926E-5"/>
    <n v="2.3431132844335778E-4"/>
    <n v="1.1077239374711991E-3"/>
    <n v="4.5904315005610525E-3"/>
    <n v="2.3126798462914849E-4"/>
  </r>
  <r>
    <s v="Missouri, 2009"/>
    <s v="Missouri"/>
    <n v="2009"/>
    <x v="159"/>
    <n v="2819926"/>
    <n v="0.48747544191586334"/>
    <n v="2964829"/>
    <n v="0.51252455808413666"/>
    <x v="159"/>
    <n v="1.8741329580941629E-2"/>
    <x v="104"/>
    <x v="123"/>
    <n v="3.0936924766555119E-4"/>
    <n v="7.8325096144055519E-5"/>
    <n v="7.2813413201557235E-5"/>
    <n v="8.066305027324608E-5"/>
    <n v="7.6364830431894029E-5"/>
    <n v="7.5948331765681874E-5"/>
    <n v="1.4760629206779323E-4"/>
    <n v="3.8032041995381111E-4"/>
    <n v="1.2843880039645271E-3"/>
    <n v="5.7188186027634811E-3"/>
    <n v="2.9353014950503521E-4"/>
  </r>
  <r>
    <s v="Missouri, 2016"/>
    <s v="Missouri"/>
    <n v="2016"/>
    <x v="160"/>
    <n v="2831647"/>
    <n v="0.49010978131490068"/>
    <n v="2945934"/>
    <n v="0.50989091101685013"/>
    <x v="160"/>
    <n v="1.9838073988455714E-2"/>
    <x v="154"/>
    <x v="153"/>
    <n v="3.372103152635439E-4"/>
    <n v="8.0618288527480085E-5"/>
    <n v="7.5991595329556551E-5"/>
    <n v="7.8170192142332283E-5"/>
    <n v="8.5451826532792138E-5"/>
    <n v="8.5477064079730964E-5"/>
    <n v="1.3084126971540041E-4"/>
    <n v="3.4633080632657788E-4"/>
    <n v="1.0924872792577073E-3"/>
    <n v="4.2925944021777063E-3"/>
    <n v="2.6689388994729108E-4"/>
  </r>
  <r>
    <s v="Missouri, 2012"/>
    <s v="Missouri"/>
    <n v="2012"/>
    <x v="161"/>
    <n v="2824484"/>
    <n v="0.48924690020623141"/>
    <n v="2948644"/>
    <n v="0.51075344622653307"/>
    <x v="161"/>
    <n v="1.9116506378000411E-2"/>
    <x v="155"/>
    <x v="154"/>
    <n v="3.2119054629158749E-4"/>
    <n v="7.8864456972209485E-5"/>
    <n v="7.4264778690959497E-5"/>
    <n v="7.9664241775662846E-5"/>
    <n v="8.2501216892949173E-5"/>
    <n v="7.0905474729879688E-5"/>
    <n v="1.4163556168514843E-4"/>
    <n v="3.2000736707607659E-4"/>
    <n v="1.2175168800841892E-3"/>
    <n v="5.1920044943005745E-3"/>
    <n v="2.7853194265983457E-4"/>
  </r>
  <r>
    <s v="Missouri, 2014"/>
    <s v="Missouri"/>
    <n v="2014"/>
    <x v="162"/>
    <n v="2821384"/>
    <n v="0.48897537466256452"/>
    <n v="2948613"/>
    <n v="0.51102549188976343"/>
    <x v="162"/>
    <n v="1.9620824430952418E-2"/>
    <x v="156"/>
    <x v="155"/>
    <n v="3.2978811113859347E-4"/>
    <n v="7.9891241390054346E-5"/>
    <n v="7.4631135612236526E-5"/>
    <n v="7.883678945058642E-5"/>
    <n v="9.4963127376735738E-5"/>
    <n v="8.5728632138439497E-5"/>
    <n v="1.3677140164700122E-4"/>
    <n v="3.4507155351647448E-4"/>
    <n v="1.3507497612407111E-3"/>
    <n v="5.1761297388969365E-3"/>
    <n v="2.9410786011488404E-4"/>
  </r>
  <r>
    <s v="Missouri, 2011"/>
    <s v="Missouri"/>
    <n v="2011"/>
    <x v="163"/>
    <n v="2813844"/>
    <n v="0.48928707928802873"/>
    <n v="2937067"/>
    <n v="0.51071379014019702"/>
    <x v="163"/>
    <n v="1.8763999968005041E-2"/>
    <x v="77"/>
    <x v="156"/>
    <n v="3.2079471544172095E-4"/>
    <n v="7.9188581006618848E-5"/>
    <n v="7.3635985415165816E-5"/>
    <n v="8.0407505236538781E-5"/>
    <n v="8.1056326040965864E-5"/>
    <n v="7.054391711560032E-5"/>
    <n v="1.235879342865298E-4"/>
    <n v="3.4425300683485656E-4"/>
    <n v="1.1874619341839647E-3"/>
    <n v="5.2080437401538322E-3"/>
    <n v="2.7473931933507523E-4"/>
  </r>
  <r>
    <s v="Missouri, 2010"/>
    <s v="Missouri"/>
    <n v="2010"/>
    <x v="164"/>
    <n v="2798579"/>
    <n v="0.4882556758011023"/>
    <n v="2933213"/>
    <n v="0.51174467313003447"/>
    <x v="164"/>
    <n v="1.8765342065916582E-2"/>
    <x v="157"/>
    <x v="157"/>
    <n v="3.2008450230860947E-4"/>
    <n v="7.8698639300526496E-5"/>
    <n v="7.3878705940586749E-5"/>
    <n v="8.2041857755827028E-5"/>
    <n v="7.933139500291543E-5"/>
    <n v="7.6319296453501002E-5"/>
    <n v="1.0155993021165393E-4"/>
    <n v="3.0445813700616164E-4"/>
    <n v="1.1796153395363961E-3"/>
    <n v="5.280822618283919E-3"/>
    <n v="2.718173554858081E-4"/>
  </r>
  <r>
    <s v="Maryland, 2011"/>
    <s v="Maryland"/>
    <n v="2011"/>
    <x v="165"/>
    <n v="2758968"/>
    <n v="0.48371904486559325"/>
    <n v="2944690"/>
    <n v="0.51628095513440675"/>
    <x v="165"/>
    <n v="1.6250623722530347E-2"/>
    <x v="158"/>
    <x v="158"/>
    <n v="3.3056029970800508E-4"/>
    <n v="8.1072535597599175E-5"/>
    <n v="7.5532884500148547E-5"/>
    <n v="8.0314834149867483E-5"/>
    <n v="7.3966229485158066E-5"/>
    <n v="6.7881289201444513E-5"/>
    <n v="1.1159535227676838E-4"/>
    <n v="3.5060486029333046E-4"/>
    <n v="1.2382279582109159E-3"/>
    <n v="4.9305195926117725E-3"/>
    <n v="2.4931368605901686E-4"/>
  </r>
  <r>
    <s v="Maryland, 2010"/>
    <s v="Maryland"/>
    <n v="2010"/>
    <x v="166"/>
    <n v="2754455"/>
    <n v="0.48354447312540727"/>
    <n v="2941929"/>
    <n v="0.51645552687459273"/>
    <x v="166"/>
    <n v="1.5662392142102778E-2"/>
    <x v="159"/>
    <x v="159"/>
    <n v="3.2845306816222297E-4"/>
    <n v="8.0177566584128316E-5"/>
    <n v="7.5568844476799109E-5"/>
    <n v="8.0897858364029575E-5"/>
    <n v="7.2079691306708695E-5"/>
    <n v="6.8065874153005278E-5"/>
    <n v="1.0362615341242447E-4"/>
    <n v="2.808880468367049E-4"/>
    <n v="1.1216550643616359E-3"/>
    <n v="4.6178504578621143E-3"/>
    <n v="2.3067265128193606E-4"/>
  </r>
  <r>
    <s v="Maryland, 2009"/>
    <s v="Maryland"/>
    <n v="2009"/>
    <x v="167"/>
    <n v="2730367"/>
    <n v="0.48432935077725298"/>
    <n v="2907051"/>
    <n v="0.51567064922274697"/>
    <x v="167"/>
    <n v="1.4965893960674905E-2"/>
    <x v="160"/>
    <x v="160"/>
    <n v="3.1875219142131603E-4"/>
    <n v="8.0584181593767082E-5"/>
    <n v="7.7209047356169197E-5"/>
    <n v="8.1386610817365732E-5"/>
    <n v="7.1001043715342618E-5"/>
    <n v="8.3087053306114635E-5"/>
    <n v="1.0373443983402489E-4"/>
    <n v="1.836085578536442E-4"/>
    <n v="1.2634294992993306E-3"/>
    <n v="4.7173724946366555E-3"/>
    <n v="2.3131156852303661E-4"/>
  </r>
  <r>
    <s v="Wisconsin, 2009"/>
    <s v="Wisconsin"/>
    <n v="2009"/>
    <x v="168"/>
    <n v="2780010"/>
    <n v="0.49648177846991298"/>
    <n v="2819410"/>
    <n v="0.50351822153008707"/>
    <x v="168"/>
    <n v="1.9453621982276736E-2"/>
    <x v="161"/>
    <x v="161"/>
    <n v="3.3646809441294727E-4"/>
    <n v="8.2966781483473709E-5"/>
    <n v="7.2571837047197092E-5"/>
    <n v="8.7274631446504288E-5"/>
    <n v="7.6304327091215461E-5"/>
    <n v="8.3625150263941887E-5"/>
    <n v="9.6664899847108347E-5"/>
    <n v="2.0311772161497546E-4"/>
    <n v="8.9462878640164244E-4"/>
    <n v="4.718669959331308E-3"/>
    <n v="2.4556114740455264E-4"/>
  </r>
  <r>
    <s v="Missouri, 2015"/>
    <s v="Missouri"/>
    <n v="2015"/>
    <x v="169"/>
    <n v="2735451"/>
    <n v="0.48995945738995866"/>
    <n v="2847569"/>
    <n v="0.51004143818349046"/>
    <x v="169"/>
    <n v="1.963867193622084E-2"/>
    <x v="162"/>
    <x v="162"/>
    <n v="3.4393710536799839E-4"/>
    <n v="8.3038086802480067E-5"/>
    <n v="7.814178827482467E-5"/>
    <n v="8.0371315477506078E-5"/>
    <n v="8.7747777787527525E-5"/>
    <n v="7.7331944795302346E-5"/>
    <n v="1.1284810505740624E-4"/>
    <n v="3.5881268009005325E-4"/>
    <n v="1.2839036954439087E-3"/>
    <n v="6.0468976587652653E-3"/>
    <n v="3.0718169304578261E-4"/>
  </r>
  <r>
    <s v="Missouri, 2017"/>
    <s v="Missouri"/>
    <n v="2017"/>
    <x v="170"/>
    <n v="2733369"/>
    <n v="0.49081934396745408"/>
    <n v="2835630"/>
    <n v="0.50918191299251281"/>
    <x v="170"/>
    <n v="1.9717931000798709E-2"/>
    <x v="163"/>
    <x v="163"/>
    <n v="3.4849985333964504E-4"/>
    <n v="8.425368785412878E-5"/>
    <n v="7.840841374551765E-5"/>
    <n v="7.9651022320871483E-5"/>
    <n v="8.8834009212086752E-5"/>
    <n v="8.1462966256681655E-5"/>
    <n v="9.5917346652142047E-5"/>
    <n v="3.7209570054724795E-4"/>
    <n v="1.4251966966673825E-3"/>
    <n v="5.1544044659363073E-3"/>
    <n v="2.9843820928455273E-4"/>
  </r>
  <r>
    <s v="Missouri, 2013"/>
    <s v="Missouri"/>
    <n v="2013"/>
    <x v="171"/>
    <n v="2725390"/>
    <n v="0.49020935689239153"/>
    <n v="2834257"/>
    <n v="0.50979100284280743"/>
    <x v="171"/>
    <n v="1.9267597121758673E-2"/>
    <x v="164"/>
    <x v="164"/>
    <n v="3.3962872919420255E-4"/>
    <n v="8.2298656337270872E-5"/>
    <n v="7.727119355661274E-5"/>
    <n v="8.1379877197765307E-5"/>
    <n v="8.6856699474372205E-5"/>
    <n v="8.0733707937738163E-5"/>
    <n v="1.2392711919018731E-4"/>
    <n v="3.9984006397441024E-4"/>
    <n v="1.2723053532847884E-3"/>
    <n v="6.0398988060230956E-3"/>
    <n v="3.0667425707936387E-4"/>
  </r>
  <r>
    <s v="Wisconsin, 2012"/>
    <s v="Wisconsin"/>
    <n v="2012"/>
    <x v="172"/>
    <n v="2752306"/>
    <n v="0.49579869928558523"/>
    <n v="2798953"/>
    <n v="0.50420166099317687"/>
    <x v="172"/>
    <n v="2.0242082108610716E-2"/>
    <x v="96"/>
    <x v="165"/>
    <n v="3.4555046188578404E-4"/>
    <n v="8.2798021127295052E-5"/>
    <n v="7.7237174767129919E-5"/>
    <n v="8.4919559946840351E-5"/>
    <n v="8.4446621290682161E-5"/>
    <n v="7.1168805289265603E-5"/>
    <n v="8.7599936928045414E-5"/>
    <n v="2.0910739194630529E-4"/>
    <n v="1.0201529832528193E-3"/>
    <n v="4.8589913588267227E-3"/>
    <n v="2.5669861798868255E-4"/>
  </r>
  <r>
    <s v="Wisconsin, 2014"/>
    <s v="Wisconsin"/>
    <n v="2014"/>
    <x v="173"/>
    <n v="2752375"/>
    <n v="0.49609897989126245"/>
    <n v="2795662"/>
    <n v="0.50390120035270136"/>
    <x v="173"/>
    <n v="2.1204801122415212E-2"/>
    <x v="165"/>
    <x v="166"/>
    <n v="3.5625434184979128E-4"/>
    <n v="8.3479306175659944E-5"/>
    <n v="7.8239710826028783E-5"/>
    <n v="8.4443768894293291E-5"/>
    <n v="8.7726352265167523E-5"/>
    <n v="8.4040880407391212E-5"/>
    <n v="1.052179811992081E-4"/>
    <n v="1.9907855070815084E-4"/>
    <n v="7.9036867904644815E-4"/>
    <n v="4.7600833014577754E-3"/>
    <n v="2.5360325708052362E-4"/>
  </r>
  <r>
    <s v="Wisconsin, 2010"/>
    <s v="Wisconsin"/>
    <n v="2010"/>
    <x v="174"/>
    <n v="2740186"/>
    <n v="0.49576349995404551"/>
    <n v="2787018"/>
    <n v="0.50423650004595455"/>
    <x v="174"/>
    <n v="1.9772022165275609E-2"/>
    <x v="166"/>
    <x v="167"/>
    <n v="3.4448112530500931E-4"/>
    <n v="8.1997794259334431E-5"/>
    <n v="7.6505143058242092E-5"/>
    <n v="8.7046974900004793E-5"/>
    <n v="8.0043116558786337E-5"/>
    <n v="7.049617558247465E-5"/>
    <n v="9.395935318381268E-5"/>
    <n v="1.6231306944835199E-4"/>
    <n v="8.7681012579302606E-4"/>
    <n v="4.5843856374217637E-3"/>
    <n v="2.3990429881003126E-4"/>
  </r>
  <r>
    <s v="Wisconsin, 2013"/>
    <s v="Wisconsin"/>
    <n v="2013"/>
    <x v="175"/>
    <n v="2726125"/>
    <n v="0.49611073207918555"/>
    <n v="2768869"/>
    <n v="0.50388944990466777"/>
    <x v="175"/>
    <n v="2.0880099392301319E-2"/>
    <x v="167"/>
    <x v="168"/>
    <n v="3.5337249878528203E-4"/>
    <n v="8.3836234299918539E-5"/>
    <n v="7.8488725748618928E-5"/>
    <n v="8.5283724738250034E-5"/>
    <n v="8.6909666093062872E-5"/>
    <n v="7.2624893634791194E-5"/>
    <n v="1.0637334456482521E-4"/>
    <n v="2.625236271264414E-4"/>
    <n v="9.4294189778186066E-4"/>
    <n v="5.5954539115883415E-3"/>
    <n v="2.7916323096316957E-4"/>
  </r>
  <r>
    <s v="Wisconsin, 2017"/>
    <s v="Wisconsin"/>
    <n v="2017"/>
    <x v="176"/>
    <n v="2702480"/>
    <n v="0.4963609721657441"/>
    <n v="2742107"/>
    <n v="0.50363921150294988"/>
    <x v="176"/>
    <n v="2.1572806453970972E-2"/>
    <x v="168"/>
    <x v="169"/>
    <n v="3.7487230911970612E-4"/>
    <n v="8.6737415485230781E-5"/>
    <n v="8.0381005968289693E-5"/>
    <n v="8.6288846159930627E-5"/>
    <n v="9.1172662788789415E-5"/>
    <n v="7.9801772397364944E-5"/>
    <n v="9.8118279569892476E-5"/>
    <n v="2.6492929566957168E-4"/>
    <n v="7.6684330969572459E-4"/>
    <n v="4.4357413477502019E-3"/>
    <n v="2.5511581596837667E-4"/>
  </r>
  <r>
    <s v="Wisconsin, 2016"/>
    <s v="Wisconsin"/>
    <n v="2016"/>
    <x v="177"/>
    <n v="2697899"/>
    <n v="0.49611195852951911"/>
    <n v="2740188"/>
    <n v="0.50388840924700518"/>
    <x v="177"/>
    <n v="2.1611651895842011E-2"/>
    <x v="169"/>
    <x v="170"/>
    <n v="3.6891747316125385E-4"/>
    <n v="8.5766112951111888E-5"/>
    <n v="7.9512851264585644E-5"/>
    <n v="8.6046918516436395E-5"/>
    <n v="9.1177927647275142E-5"/>
    <n v="7.828830451018922E-5"/>
    <n v="1.1683302773478628E-4"/>
    <n v="1.895743053216853E-4"/>
    <n v="6.7024679885194531E-4"/>
    <n v="4.0076238449364395E-3"/>
    <n v="2.3611252858313174E-4"/>
  </r>
  <r>
    <s v="Wisconsin, 2011"/>
    <s v="Wisconsin"/>
    <n v="2011"/>
    <x v="178"/>
    <n v="2691871"/>
    <n v="0.49576005389531008"/>
    <n v="2737916"/>
    <n v="0.50424013027401082"/>
    <x v="178"/>
    <n v="2.0114604884980736E-2"/>
    <x v="133"/>
    <x v="171"/>
    <n v="3.5131376710824857E-4"/>
    <n v="8.4066109588580457E-5"/>
    <n v="7.8203203203203203E-5"/>
    <n v="8.7639474572136775E-5"/>
    <n v="8.3934749126029424E-5"/>
    <n v="7.2348255562977945E-5"/>
    <n v="9.2508364297938606E-5"/>
    <n v="2.1009025800699762E-4"/>
    <n v="9.6203744361502536E-4"/>
    <n v="4.8709919610320646E-3"/>
    <n v="2.5617952530725889E-4"/>
  </r>
  <r>
    <s v="Wisconsin, 2015"/>
    <s v="Wisconsin"/>
    <n v="2015"/>
    <x v="179"/>
    <n v="2689197"/>
    <n v="0.49583155868508244"/>
    <n v="2734415"/>
    <n v="0.50416881007299563"/>
    <x v="179"/>
    <n v="2.1357177230663708E-2"/>
    <x v="170"/>
    <x v="172"/>
    <n v="3.6704319180759596E-4"/>
    <n v="8.5994874705467553E-5"/>
    <n v="7.9791584381595275E-5"/>
    <n v="8.5948187567594673E-5"/>
    <n v="9.0477949769658219E-5"/>
    <n v="7.6712314755741592E-5"/>
    <n v="8.3730354765513136E-5"/>
    <n v="2.1434678980734417E-4"/>
    <n v="9.9210804587376964E-4"/>
    <n v="5.1367054293681418E-3"/>
    <n v="2.7103718740838667E-4"/>
  </r>
  <r>
    <s v="Colorado, 2017"/>
    <s v="Colorado"/>
    <n v="2017"/>
    <x v="180"/>
    <n v="2655599"/>
    <n v="0.50138780405237648"/>
    <n v="2640904"/>
    <n v="0.49861332877182785"/>
    <x v="180"/>
    <n v="1.5662993861792048E-2"/>
    <x v="171"/>
    <x v="173"/>
    <n v="3.6696125500749213E-4"/>
    <n v="8.6839854282724517E-5"/>
    <n v="8.3300707223004326E-5"/>
    <n v="7.5312547070341922E-5"/>
    <n v="8.4346309075803439E-5"/>
    <n v="8.6665000772762928E-5"/>
    <n v="1.2447458820922052E-4"/>
    <n v="1.9733338405356055E-4"/>
    <n v="5.3669183155032377E-4"/>
    <n v="2.9653202184211479E-3"/>
    <n v="1.8804881792626335E-4"/>
  </r>
  <r>
    <s v="Minnesota, 2010"/>
    <s v="Minnesota"/>
    <n v="2010"/>
    <x v="181"/>
    <n v="2595037"/>
    <n v="0.49632219974512926"/>
    <n v="2633499"/>
    <n v="0.5036783740295796"/>
    <x v="181"/>
    <n v="1.8828034555773102E-2"/>
    <x v="172"/>
    <x v="174"/>
    <n v="3.4042263470098128E-4"/>
    <n v="8.5547956045460178E-5"/>
    <n v="8.1756678498674855E-5"/>
    <n v="8.6613957261786351E-5"/>
    <n v="8.4068465358187703E-5"/>
    <n v="7.5159620243492122E-5"/>
    <n v="1.0281789579748987E-4"/>
    <n v="1.8091415924667345E-4"/>
    <n v="5.1011732698520663E-4"/>
    <n v="3.6061477200004062E-3"/>
    <n v="2.0445505460135759E-4"/>
  </r>
  <r>
    <s v="Colorado, 2016"/>
    <s v="Colorado"/>
    <n v="2016"/>
    <x v="182"/>
    <n v="2619738"/>
    <n v="0.50136712758141377"/>
    <n v="2605453"/>
    <n v="0.49863325517986046"/>
    <x v="182"/>
    <n v="1.4538421481022027E-2"/>
    <x v="173"/>
    <x v="175"/>
    <n v="3.6588043027538603E-4"/>
    <n v="8.6872293385109221E-5"/>
    <n v="8.4857587753352936E-5"/>
    <n v="7.6815633517733528E-5"/>
    <n v="8.460487408679614E-5"/>
    <n v="8.5741232958929956E-5"/>
    <n v="1.028691274394953E-4"/>
    <n v="1.8896780744432379E-4"/>
    <n v="5.5976274671273949E-4"/>
    <n v="3.0276702735434272E-3"/>
    <n v="1.8295988910640361E-4"/>
  </r>
  <r>
    <s v="Minnesota, 2016"/>
    <s v="Minnesota"/>
    <n v="2016"/>
    <x v="183"/>
    <n v="2581124"/>
    <n v="0.49680680783180903"/>
    <n v="2614307"/>
    <n v="0.50319376959896278"/>
    <x v="183"/>
    <n v="2.0468188568872479E-2"/>
    <x v="174"/>
    <x v="176"/>
    <n v="3.5946655163737013E-4"/>
    <n v="8.7317942090740804E-5"/>
    <n v="8.7622068494170943E-5"/>
    <n v="8.3665788640695872E-5"/>
    <n v="9.3112904051808023E-5"/>
    <n v="8.2883918309610116E-5"/>
    <n v="8.904336263354649E-5"/>
    <n v="1.6733354003947102E-4"/>
    <n v="4.4107512060647828E-4"/>
    <n v="2.586020443667071E-3"/>
    <n v="1.8843490853881527E-4"/>
  </r>
  <r>
    <s v="Minnesota, 2013"/>
    <s v="Minnesota"/>
    <n v="2013"/>
    <x v="184"/>
    <n v="2574393"/>
    <n v="0.4957914234629538"/>
    <n v="2618102"/>
    <n v="0.50420915429431568"/>
    <x v="184"/>
    <n v="2.0013704402433361E-2"/>
    <x v="175"/>
    <x v="177"/>
    <n v="3.5382991396035927E-4"/>
    <n v="8.7442269884736515E-5"/>
    <n v="8.5329449895258101E-5"/>
    <n v="8.514744699571425E-5"/>
    <n v="9.1575930182510827E-5"/>
    <n v="7.8226755897319557E-5"/>
    <n v="9.4051995077945591E-5"/>
    <n v="2.0956137192844823E-4"/>
    <n v="6.5968317497985536E-4"/>
    <n v="4.0415315480028099E-3"/>
    <n v="2.2859929297917069E-4"/>
  </r>
  <r>
    <s v="Minnesota, 2009"/>
    <s v="Minnesota"/>
    <n v="2009"/>
    <x v="185"/>
    <n v="2569748"/>
    <n v="0.49715125675524563"/>
    <n v="2599199"/>
    <n v="0.50284893670779307"/>
    <x v="185"/>
    <n v="1.9105055460049303E-2"/>
    <x v="125"/>
    <x v="178"/>
    <n v="3.3807483286425451E-4"/>
    <n v="8.8027394125051716E-5"/>
    <n v="8.0708187442075059E-5"/>
    <n v="8.902499821950004E-5"/>
    <n v="8.2030641178835E-5"/>
    <n v="8.334511951185016E-5"/>
    <n v="1.0817125673366073E-4"/>
    <n v="1.8660836192069768E-4"/>
    <n v="5.2789900745884894E-4"/>
    <n v="3.523943576397679E-3"/>
    <n v="2.070054514015043E-4"/>
  </r>
  <r>
    <s v="Minnesota, 2014"/>
    <s v="Minnesota"/>
    <n v="2014"/>
    <x v="186"/>
    <n v="2566789"/>
    <n v="0.49672804061932196"/>
    <n v="2600608"/>
    <n v="0.50327273346540513"/>
    <x v="186"/>
    <n v="1.9439202708212824E-2"/>
    <x v="176"/>
    <x v="179"/>
    <n v="3.5464451320607506E-4"/>
    <n v="8.7193207067881359E-5"/>
    <n v="8.6223868778768236E-5"/>
    <n v="8.3869750277818544E-5"/>
    <n v="9.2197480857498037E-5"/>
    <n v="8.6316222802090178E-5"/>
    <n v="1.0121804234962892E-4"/>
    <n v="1.7778017212353029E-4"/>
    <n v="5.2490240095982149E-4"/>
    <n v="3.3549029367844698E-3"/>
    <n v="2.0610005857886173E-4"/>
  </r>
  <r>
    <s v="Minnesota, 2015"/>
    <s v="Minnesota"/>
    <n v="2015"/>
    <x v="187"/>
    <n v="2557041"/>
    <n v="0.49639040469631762"/>
    <n v="2594233"/>
    <n v="0.50361037181122326"/>
    <x v="187"/>
    <n v="1.9813560539439789E-2"/>
    <x v="177"/>
    <x v="180"/>
    <n v="3.6094242066034418E-4"/>
    <n v="8.8104303748397605E-5"/>
    <n v="8.8065508996625628E-5"/>
    <n v="8.4323075431207124E-5"/>
    <n v="9.3268211395510067E-5"/>
    <n v="8.1424383888828574E-5"/>
    <n v="9.1029083792271636E-5"/>
    <n v="2.0928393887875485E-4"/>
    <n v="6.5468120275616142E-4"/>
    <n v="4.0660363493851956E-3"/>
    <n v="2.2848734389771842E-4"/>
  </r>
  <r>
    <s v="Colorado, 2015"/>
    <s v="Colorado"/>
    <n v="2015"/>
    <x v="188"/>
    <n v="2580332"/>
    <n v="0.50100654408989309"/>
    <n v="2569968"/>
    <n v="0.49899423256449726"/>
    <x v="188"/>
    <n v="1.443159771787874E-2"/>
    <x v="178"/>
    <x v="179"/>
    <n v="3.6139462184570255E-4"/>
    <n v="8.6571716731571413E-5"/>
    <n v="8.5949788133772248E-5"/>
    <n v="7.828820235934546E-5"/>
    <n v="8.5116283028664324E-5"/>
    <n v="8.5310523195220337E-5"/>
    <n v="9.5206661927490612E-5"/>
    <n v="1.9264581388786387E-4"/>
    <n v="8.1710699654813986E-4"/>
    <n v="4.1303967602620848E-3"/>
    <n v="2.0678423143058184E-4"/>
  </r>
  <r>
    <s v="Colorado, 2013"/>
    <s v="Colorado"/>
    <n v="2013"/>
    <x v="189"/>
    <n v="2538611"/>
    <n v="0.50101975808425214"/>
    <n v="2528279"/>
    <n v="0.49898063663534697"/>
    <x v="189"/>
    <n v="1.4218786758262665E-2"/>
    <x v="179"/>
    <x v="181"/>
    <n v="3.5623636282673552E-4"/>
    <n v="8.7835256193483503E-5"/>
    <n v="8.6491722742133579E-5"/>
    <n v="8.1214756179766155E-5"/>
    <n v="8.5976144485776674E-5"/>
    <n v="8.2858164774508408E-5"/>
    <n v="1.1738964558109505E-4"/>
    <n v="1.9773918201891705E-4"/>
    <n v="6.6055556199371888E-4"/>
    <n v="3.8864598514817129E-3"/>
    <n v="1.9972811714014598E-4"/>
  </r>
  <r>
    <s v="Minnesota, 2011"/>
    <s v="Minnesota"/>
    <n v="2011"/>
    <x v="190"/>
    <n v="2506533"/>
    <n v="0.49636695461445873"/>
    <n v="2543226"/>
    <n v="0.50363324341483295"/>
    <x v="190"/>
    <n v="1.8874171791994784E-2"/>
    <x v="180"/>
    <x v="182"/>
    <n v="3.536985073922988E-4"/>
    <n v="8.8687994158417454E-5"/>
    <n v="8.549712302181032E-5"/>
    <n v="8.8269303761155028E-5"/>
    <n v="8.9112660681266298E-5"/>
    <n v="7.7926227240671252E-5"/>
    <n v="1.0330916472818497E-4"/>
    <n v="1.8478880179861101E-4"/>
    <n v="6.0321652148305764E-4"/>
    <n v="4.1338789214143325E-3"/>
    <n v="2.2199083599649727E-4"/>
  </r>
  <r>
    <s v="Colorado, 2014"/>
    <s v="Colorado"/>
    <n v="2014"/>
    <x v="191"/>
    <n v="2526338"/>
    <n v="0.50130050829753658"/>
    <n v="2513235"/>
    <n v="0.49870048385099675"/>
    <x v="191"/>
    <n v="1.4598870379365851E-2"/>
    <x v="181"/>
    <x v="179"/>
    <n v="3.6541026437432629E-4"/>
    <n v="8.8336361307495928E-5"/>
    <n v="8.7028541010024236E-5"/>
    <n v="8.0565245764282201E-5"/>
    <n v="8.6792370950593449E-5"/>
    <n v="8.5686254068311941E-5"/>
    <n v="1.349343373748606E-4"/>
    <n v="2.4143698640098903E-4"/>
    <n v="7.7173925657719137E-4"/>
    <n v="3.8873484477790466E-3"/>
    <n v="2.1132763760703299E-4"/>
  </r>
  <r>
    <s v="Minnesota, 2012"/>
    <s v="Minnesota"/>
    <n v="2012"/>
    <x v="192"/>
    <n v="2497697"/>
    <n v="0.49638240788584603"/>
    <n v="2534104"/>
    <n v="0.50361779085019276"/>
    <x v="192"/>
    <n v="1.8878731269128344E-2"/>
    <x v="182"/>
    <x v="183"/>
    <n v="3.5767831008921093E-4"/>
    <n v="8.9187104139322151E-5"/>
    <n v="8.6513547300561035E-5"/>
    <n v="8.7355444937679168E-5"/>
    <n v="9.1561256769810424E-5"/>
    <n v="7.9090668223874051E-5"/>
    <n v="1.0100840053197757E-4"/>
    <n v="2.1014836474551033E-4"/>
    <n v="6.8313622511518841E-4"/>
    <n v="3.8528749184158998E-3"/>
    <n v="2.2198815533208793E-4"/>
  </r>
  <r>
    <s v="Colorado, 2011"/>
    <s v="Colorado"/>
    <n v="2011"/>
    <x v="193"/>
    <n v="2475594"/>
    <n v="0.50098371616844073"/>
    <n v="2465876"/>
    <n v="0.49901709330793736"/>
    <x v="193"/>
    <n v="1.3808857533371676E-2"/>
    <x v="183"/>
    <x v="184"/>
    <n v="3.5114311715597486E-4"/>
    <n v="8.9786353372150969E-5"/>
    <n v="8.7137236791084112E-5"/>
    <n v="8.4402905710700594E-5"/>
    <n v="8.5795914398556345E-5"/>
    <n v="8.2181536274245271E-5"/>
    <n v="1.0551361389403267E-4"/>
    <n v="2.3652244429051713E-4"/>
    <n v="8.1026655386485234E-4"/>
    <n v="3.9861656603552374E-3"/>
    <n v="2.060117382169583E-4"/>
  </r>
  <r>
    <s v="Minnesota, 2017"/>
    <s v="Minnesota"/>
    <n v="2017"/>
    <x v="194"/>
    <n v="2446860"/>
    <n v="0.49663226711292385"/>
    <n v="2480051"/>
    <n v="0.50336895069013909"/>
    <x v="194"/>
    <n v="1.9969128692353517E-2"/>
    <x v="184"/>
    <x v="183"/>
    <n v="3.7990192198714031E-4"/>
    <n v="9.2128537735849063E-5"/>
    <n v="9.3754687734386716E-5"/>
    <n v="8.7796697966189494E-5"/>
    <n v="9.7392004441075402E-5"/>
    <n v="8.9374024333567688E-5"/>
    <n v="9.2881126090772718E-5"/>
    <n v="1.930947317738635E-4"/>
    <n v="5.9725843809634797E-4"/>
    <n v="3.8318459943487895E-3"/>
    <n v="2.2671433689100968E-4"/>
  </r>
  <r>
    <s v="Colorado, 2012"/>
    <s v="Colorado"/>
    <n v="2012"/>
    <x v="195"/>
    <n v="2463599"/>
    <n v="0.50093961800390241"/>
    <n v="2454360"/>
    <n v="0.49906099200562187"/>
    <x v="195"/>
    <n v="1.432160027458562E-2"/>
    <x v="185"/>
    <x v="185"/>
    <n v="3.6058017349916013E-4"/>
    <n v="9.0194097698246626E-5"/>
    <n v="8.8591876420238513E-5"/>
    <n v="8.4144509781098058E-5"/>
    <n v="8.7565546460089818E-5"/>
    <n v="8.3818900882752718E-5"/>
    <n v="1.0282406288719686E-4"/>
    <n v="2.1068462780129523E-4"/>
    <n v="7.798268903360994E-4"/>
    <n v="3.60626410915338E-3"/>
    <n v="2.0130314301307291E-4"/>
  </r>
  <r>
    <s v="Colorado, 2010"/>
    <s v="Colorado"/>
    <n v="2010"/>
    <x v="196"/>
    <n v="2427420"/>
    <n v="0.50084501683534333"/>
    <n v="2419232"/>
    <n v="0.49915560214903121"/>
    <x v="196"/>
    <n v="1.3580104521701488E-2"/>
    <x v="186"/>
    <x v="186"/>
    <n v="3.5571575939386034E-4"/>
    <n v="9.1695028448382575E-5"/>
    <n v="8.8036047827050245E-5"/>
    <n v="8.6189064331517623E-5"/>
    <n v="8.6018915559531539E-5"/>
    <n v="8.2847295864262995E-5"/>
    <n v="1.1021611543301157E-4"/>
    <n v="2.1453012539285828E-4"/>
    <n v="8.1810248703156061E-4"/>
    <n v="3.9502871554893794E-3"/>
    <n v="2.0529648423065091E-4"/>
  </r>
  <r>
    <s v="Colorado, 2009"/>
    <s v="Colorado"/>
    <n v="2009"/>
    <x v="197"/>
    <n v="2438079"/>
    <n v="0.50340135913962869"/>
    <n v="2405132"/>
    <n v="0.49659864086037137"/>
    <x v="197"/>
    <n v="1.3045477473519118E-2"/>
    <x v="187"/>
    <x v="187"/>
    <n v="3.4072517675118547E-4"/>
    <n v="9.299067303549454E-5"/>
    <n v="8.7166732525975681E-5"/>
    <n v="8.5738905028443882E-5"/>
    <n v="8.4361726209641698E-5"/>
    <n v="9.0765316647184211E-5"/>
    <n v="1.5028554253080853E-4"/>
    <n v="2.4143643535818024E-4"/>
    <n v="9.1403779241592371E-4"/>
    <n v="4.2100598271659646E-3"/>
    <n v="2.1576594536145544E-4"/>
  </r>
  <r>
    <s v="Alabama, 2012"/>
    <s v="Alabama"/>
    <n v="2012"/>
    <x v="198"/>
    <n v="2306658"/>
    <n v="0.48553718225436321"/>
    <n v="2444078"/>
    <n v="0.51446323873321465"/>
    <x v="198"/>
    <n v="1.6244437175392267E-2"/>
    <x v="188"/>
    <x v="188"/>
    <n v="3.9623445192520416E-4"/>
    <n v="9.6286703287709488E-5"/>
    <n v="8.9216279591924734E-5"/>
    <n v="9.9469990732712536E-5"/>
    <n v="9.7464145377519241E-5"/>
    <n v="8.7503099068091992E-5"/>
    <n v="1.2758530353394279E-4"/>
    <n v="3.4290612944706388E-4"/>
    <n v="1.286222649904486E-3"/>
    <n v="4.6389281225299008E-3"/>
    <n v="2.7595735732625736E-4"/>
  </r>
  <r>
    <s v="South Carolina, 2017"/>
    <s v="South Carolina"/>
    <n v="2017"/>
    <x v="199"/>
    <n v="2297176"/>
    <n v="0.48504827095756858"/>
    <n v="2438798"/>
    <n v="0.51495172904243136"/>
    <x v="199"/>
    <n v="1.7080752554807101E-2"/>
    <x v="189"/>
    <x v="189"/>
    <n v="4.2471411431180386E-4"/>
    <n v="1.0030626847307111E-4"/>
    <n v="9.3361964335729626E-5"/>
    <n v="9.6739866498984228E-5"/>
    <n v="1.0357363567628405E-4"/>
    <n v="9.5519802847126919E-5"/>
    <n v="1.2261960655240455E-4"/>
    <n v="2.3635779033147583E-4"/>
    <n v="9.6444595608276534E-4"/>
    <n v="3.1028259203401982E-3"/>
    <n v="2.3754353381162988E-4"/>
  </r>
  <r>
    <s v="South Carolina, 2016"/>
    <s v="South Carolina"/>
    <n v="2016"/>
    <x v="200"/>
    <n v="2300339"/>
    <n v="0.4861700769641758"/>
    <n v="2431213"/>
    <n v="0.5138299230358242"/>
    <x v="200"/>
    <n v="1.6712486727399382E-2"/>
    <x v="190"/>
    <x v="190"/>
    <n v="4.2066149019332903E-4"/>
    <n v="1.0043639614123367E-4"/>
    <n v="9.3641142172224792E-5"/>
    <n v="9.7715095353647215E-5"/>
    <n v="1.0252677230341772E-4"/>
    <n v="1.052649770852285E-4"/>
    <n v="1.3206933317871559E-4"/>
    <n v="2.3713540431586437E-4"/>
    <n v="7.6829838609618524E-4"/>
    <n v="3.0856391319743033E-3"/>
    <n v="2.2888895651997483E-4"/>
  </r>
  <r>
    <s v="Alabama, 2011"/>
    <s v="Alabama"/>
    <n v="2011"/>
    <x v="201"/>
    <n v="2293531"/>
    <n v="0.48542968677244736"/>
    <n v="2431218"/>
    <n v="0.51457137148594723"/>
    <x v="201"/>
    <n v="1.5916841208751205E-2"/>
    <x v="125"/>
    <x v="191"/>
    <n v="3.9757347654813453E-4"/>
    <n v="9.6357370214652106E-5"/>
    <n v="8.8739543523788116E-5"/>
    <n v="9.9925721880069152E-5"/>
    <n v="9.6613067883561936E-5"/>
    <n v="8.7499781250546877E-5"/>
    <n v="1.2241486046454692E-4"/>
    <n v="3.6289797580495479E-4"/>
    <n v="1.391238058937037E-3"/>
    <n v="4.6274749677539459E-3"/>
    <n v="2.7959186783453241E-4"/>
  </r>
  <r>
    <s v="Alabama, 2010"/>
    <s v="Alabama"/>
    <n v="2010"/>
    <x v="202"/>
    <n v="2275372"/>
    <n v="0.48508485358588582"/>
    <n v="2415298"/>
    <n v="0.51491557279261713"/>
    <x v="202"/>
    <n v="1.5752766983295342E-2"/>
    <x v="125"/>
    <x v="192"/>
    <n v="3.9790568971977494E-4"/>
    <n v="9.5911454545163902E-5"/>
    <n v="8.9438771707535215E-5"/>
    <n v="1.0052709707901764E-4"/>
    <n v="9.5042127422980237E-5"/>
    <n v="9.5266430894463847E-5"/>
    <n v="1.5348861565908916E-4"/>
    <n v="4.3493092273580078E-4"/>
    <n v="1.2719385213593782E-3"/>
    <n v="4.7096398749509414E-3"/>
    <n v="2.8439446151379716E-4"/>
  </r>
  <r>
    <s v="Alabama, 2013"/>
    <s v="Alabama"/>
    <n v="2013"/>
    <x v="203"/>
    <n v="2252324"/>
    <n v="0.48504282385249065"/>
    <n v="2391236"/>
    <n v="0.51495782220396991"/>
    <x v="203"/>
    <n v="1.6578454835377277E-2"/>
    <x v="191"/>
    <x v="193"/>
    <n v="4.1257245803794291E-4"/>
    <n v="9.9370158810075475E-5"/>
    <n v="9.0755356834937176E-5"/>
    <n v="1.0111274576716768E-4"/>
    <n v="1.0123609269176647E-4"/>
    <n v="9.8575807070463504E-5"/>
    <n v="2.0357156909201949E-4"/>
    <n v="3.4126144092311219E-4"/>
    <n v="1.3609498756870873E-3"/>
    <n v="4.9491446163438682E-3"/>
    <n v="3.0063160633109491E-4"/>
  </r>
  <r>
    <s v="Alabama, 2009"/>
    <s v="Alabama"/>
    <n v="2009"/>
    <x v="204"/>
    <n v="2244203"/>
    <n v="0.48435757204275082"/>
    <n v="2389158"/>
    <n v="0.51564264378334512"/>
    <x v="204"/>
    <n v="1.6513717906659529E-2"/>
    <x v="112"/>
    <x v="194"/>
    <n v="3.8930324451812371E-4"/>
    <n v="9.6815418178062911E-5"/>
    <n v="9.1453377068370539E-5"/>
    <n v="9.9653703380751894E-5"/>
    <n v="9.5031891118794619E-5"/>
    <n v="1.0967828204746816E-4"/>
    <n v="1.4649784534013184E-4"/>
    <n v="3.3629050738202305E-4"/>
    <n v="1.2216355875084252E-3"/>
    <n v="4.6527432888098909E-3"/>
    <n v="2.8057392475438992E-4"/>
  </r>
  <r>
    <s v="South Carolina, 2014"/>
    <s v="South Carolina"/>
    <n v="2014"/>
    <x v="205"/>
    <n v="2249559"/>
    <n v="0.48587248595391253"/>
    <n v="2380379"/>
    <n v="0.51412773003174772"/>
    <x v="205"/>
    <n v="1.594082165696855E-2"/>
    <x v="192"/>
    <x v="195"/>
    <n v="4.1457078105135148E-4"/>
    <n v="1.0141473556107703E-4"/>
    <n v="9.2204990134066059E-5"/>
    <n v="1.0082356044960587E-4"/>
    <n v="1.0279570039850466E-4"/>
    <n v="1.0305720768057262E-4"/>
    <n v="1.5377183936191372E-4"/>
    <n v="2.8939584937681792E-4"/>
    <n v="8.7475506858079735E-4"/>
    <n v="3.4685996883679969E-3"/>
    <n v="2.4341583913560811E-4"/>
  </r>
  <r>
    <s v="Alabama, 2017"/>
    <s v="Alabama"/>
    <n v="2017"/>
    <x v="206"/>
    <n v="2226533"/>
    <n v="0.48473061329433192"/>
    <n v="2366809"/>
    <n v="0.51526960441212621"/>
    <x v="206"/>
    <n v="1.714220651155662E-2"/>
    <x v="193"/>
    <x v="126"/>
    <n v="4.3435140476483491E-4"/>
    <n v="1.0279358705074919E-4"/>
    <n v="9.5292548122736796E-5"/>
    <n v="1.0071118884522873E-4"/>
    <n v="1.0533097626015347E-4"/>
    <n v="1.0580494776491117E-4"/>
    <n v="1.9715794339413199E-4"/>
    <n v="5.3433515289753246E-4"/>
    <n v="1.5584511393292204E-3"/>
    <n v="4.7625095250190498E-3"/>
    <n v="3.361387713213541E-4"/>
  </r>
  <r>
    <s v="South Carolina, 2015"/>
    <s v="South Carolina"/>
    <n v="2015"/>
    <x v="207"/>
    <n v="2214482"/>
    <n v="0.48550723366713644"/>
    <n v="2346690"/>
    <n v="0.51449276633286356"/>
    <x v="207"/>
    <n v="1.6428453037947266E-2"/>
    <x v="194"/>
    <x v="196"/>
    <n v="4.2525444390893887E-4"/>
    <n v="1.026713370717108E-4"/>
    <n v="9.5488183337312011E-5"/>
    <n v="1.0171336157574339E-4"/>
    <n v="1.0532542924500977E-4"/>
    <n v="9.6533016705038535E-5"/>
    <n v="1.3317262712507269E-4"/>
    <n v="3.2196518006200812E-4"/>
    <n v="1.1061836164696225E-3"/>
    <n v="4.3772436710127717E-3"/>
    <n v="2.7251767747412287E-4"/>
  </r>
  <r>
    <s v="South Carolina, 2013"/>
    <s v="South Carolina"/>
    <n v="2013"/>
    <x v="208"/>
    <n v="2213100"/>
    <n v="0.48631832787888868"/>
    <n v="2337624"/>
    <n v="0.51368189186641333"/>
    <x v="208"/>
    <n v="1.5633340020915359E-2"/>
    <x v="195"/>
    <x v="197"/>
    <n v="4.1313635909812334E-4"/>
    <n v="1.0271316834174726E-4"/>
    <n v="9.2865743993908012E-5"/>
    <n v="1.0260479369596147E-4"/>
    <n v="1.0301844030081384E-4"/>
    <n v="9.4127687345473712E-5"/>
    <n v="1.2394069437774024E-4"/>
    <n v="3.1158113022782078E-4"/>
    <n v="9.3773151865878489E-4"/>
    <n v="3.9638474621536907E-3"/>
    <n v="2.4919117247962575E-4"/>
  </r>
  <r>
    <s v="Alabama, 2016"/>
    <s v="Alabama"/>
    <n v="2016"/>
    <x v="209"/>
    <n v="2205255"/>
    <n v="0.48533222706520196"/>
    <n v="2338553"/>
    <n v="0.51466843317439903"/>
    <x v="209"/>
    <n v="1.705905072950974E-2"/>
    <x v="196"/>
    <x v="198"/>
    <n v="4.3709318462451874E-4"/>
    <n v="1.0323859471624872E-4"/>
    <n v="9.5915134289180937E-5"/>
    <n v="1.0160760160336796E-4"/>
    <n v="1.0505415541711753E-4"/>
    <n v="1.0865669511742221E-4"/>
    <n v="2.134999762777804E-4"/>
    <n v="4.700936741635532E-4"/>
    <n v="1.3167589665581251E-3"/>
    <n v="3.7284068478835807E-3"/>
    <n v="3.015094177677079E-4"/>
  </r>
  <r>
    <s v="South Carolina, 2012"/>
    <s v="South Carolina"/>
    <n v="2012"/>
    <x v="210"/>
    <n v="2200493"/>
    <n v="0.48581591834292642"/>
    <n v="2328987"/>
    <n v="0.51418430243301716"/>
    <x v="210"/>
    <n v="1.5114762647094732E-2"/>
    <x v="197"/>
    <x v="199"/>
    <n v="4.0899237910866927E-4"/>
    <n v="1.0320840529252703E-4"/>
    <n v="9.2376050585125306E-5"/>
    <n v="1.0334154898647776E-4"/>
    <n v="1.0180085716321731E-4"/>
    <n v="1.0331629658038712E-4"/>
    <n v="1.2077463802615733E-4"/>
    <n v="2.2912006982706891E-4"/>
    <n v="1.0868252626494385E-3"/>
    <n v="4.1921065700680667E-3"/>
    <n v="2.5013914403842032E-4"/>
  </r>
  <r>
    <s v="Alabama, 2014"/>
    <s v="Alabama"/>
    <n v="2014"/>
    <x v="211"/>
    <n v="2183534"/>
    <n v="0.48457560071681011"/>
    <n v="2322543"/>
    <n v="0.51542484312844328"/>
    <x v="211"/>
    <n v="1.6601144011140517E-2"/>
    <x v="198"/>
    <x v="200"/>
    <n v="4.2680172570164427E-4"/>
    <n v="1.0247056533010892E-4"/>
    <n v="9.4486105818139437E-5"/>
    <n v="1.026806494893349E-4"/>
    <n v="1.2218942502893271E-4"/>
    <n v="1.3632098201831139E-4"/>
    <n v="1.7177161386442311E-4"/>
    <n v="4.7916835864533422E-4"/>
    <n v="1.2979392106938256E-3"/>
    <n v="4.6119295243697029E-3"/>
    <n v="3.1002590946666443E-4"/>
  </r>
  <r>
    <s v="Louisiana, 2016"/>
    <s v="Louisiana"/>
    <n v="2016"/>
    <x v="212"/>
    <n v="2188112"/>
    <n v="0.48795375648295225"/>
    <n v="2296151"/>
    <n v="0.51204668952141719"/>
    <x v="212"/>
    <n v="1.6430354968187625E-2"/>
    <x v="199"/>
    <x v="201"/>
    <n v="4.0720481044616074E-4"/>
    <n v="1.0110218229060474E-4"/>
    <n v="9.6713201835616573E-5"/>
    <n v="9.468561220560665E-5"/>
    <n v="1.1003722926256717E-4"/>
    <n v="1.0207154194374837E-4"/>
    <n v="1.3237927358615453E-4"/>
    <n v="2.8515627101682422E-4"/>
    <n v="9.5638867635807194E-4"/>
    <n v="3.4338608539862645E-3"/>
    <n v="2.441873923038824E-4"/>
  </r>
  <r>
    <s v="South Carolina, 2010"/>
    <s v="South Carolina"/>
    <n v="2010"/>
    <x v="213"/>
    <n v="2177484"/>
    <n v="0.48705813828123917"/>
    <n v="2293203"/>
    <n v="0.51294208539807984"/>
    <x v="213"/>
    <n v="1.4602456983111764E-2"/>
    <x v="200"/>
    <x v="202"/>
    <n v="4.0956609884877795E-4"/>
    <n v="1.0362676402976852E-4"/>
    <n v="9.3376784663796891E-5"/>
    <n v="1.0475829642058361E-4"/>
    <n v="9.8455237326349577E-5"/>
    <n v="9.3304906438505065E-5"/>
    <n v="1.1029127926854823E-4"/>
    <n v="2.2927311489858386E-4"/>
    <n v="1.115335324492871E-3"/>
    <n v="5.0089609852488398E-3"/>
    <n v="2.5767857550273044E-4"/>
  </r>
  <r>
    <s v="Louisiana, 2011"/>
    <s v="Louisiana"/>
    <n v="2011"/>
    <x v="214"/>
    <n v="2181395"/>
    <n v="0.48851798701641891"/>
    <n v="2283939"/>
    <n v="0.51148246087860882"/>
    <x v="214"/>
    <n v="1.4723877194349715E-2"/>
    <x v="201"/>
    <x v="203"/>
    <n v="3.8737418409312476E-4"/>
    <n v="9.8712460473885624E-5"/>
    <n v="9.053815881600232E-5"/>
    <n v="9.9281861203958041E-5"/>
    <n v="1.0534133225182899E-4"/>
    <n v="9.2809577948444282E-5"/>
    <n v="1.6028302506208554E-4"/>
    <n v="2.6343346000092199E-4"/>
    <n v="1.3566923615977574E-3"/>
    <n v="5.1865484356700686E-3"/>
    <n v="2.7455965200347927E-4"/>
  </r>
  <r>
    <s v="Louisiana, 2014"/>
    <s v="Louisiana"/>
    <n v="2014"/>
    <x v="215"/>
    <n v="2175587"/>
    <n v="0.48766320821814696"/>
    <n v="2285663"/>
    <n v="0.5123370159343269"/>
    <x v="215"/>
    <n v="1.5596529133433261E-2"/>
    <x v="202"/>
    <x v="204"/>
    <n v="4.0135121575972442E-4"/>
    <n v="1.0033411259494115E-4"/>
    <n v="9.4034601598901678E-5"/>
    <n v="9.5811443080018525E-5"/>
    <n v="1.0929698358541469E-4"/>
    <n v="1.4179912117142374E-4"/>
    <n v="1.9864488074083705E-4"/>
    <n v="4.0078841661656813E-4"/>
    <n v="9.7784652781614267E-4"/>
    <n v="4.1966082207530904E-3"/>
    <n v="2.734660181487292E-4"/>
  </r>
  <r>
    <s v="Louisiana, 2010"/>
    <s v="Louisiana"/>
    <n v="2010"/>
    <x v="216"/>
    <n v="2161266"/>
    <n v="0.48876930101475557"/>
    <n v="2260589"/>
    <n v="0.51123115128431451"/>
    <x v="216"/>
    <n v="1.4415902111626053E-2"/>
    <x v="203"/>
    <x v="205"/>
    <n v="3.9420388882136322E-4"/>
    <n v="9.9144547793455465E-5"/>
    <n v="9.0890224301925211E-5"/>
    <n v="1.0177771746505632E-4"/>
    <n v="1.0327608969184136E-4"/>
    <n v="9.2950768625397565E-5"/>
    <n v="1.3190634649398926E-4"/>
    <n v="4.6281907490236881E-4"/>
    <n v="1.3927890742181774E-3"/>
    <n v="5.3023766569927052E-3"/>
    <n v="2.8675761044069084E-4"/>
  </r>
  <r>
    <s v="Louisiana, 2009"/>
    <s v="Louisiana"/>
    <n v="2009"/>
    <x v="217"/>
    <n v="2144570"/>
    <n v="0.48612663225091612"/>
    <n v="2266977"/>
    <n v="0.51387359442698777"/>
    <x v="217"/>
    <n v="1.4866443645833003E-2"/>
    <x v="198"/>
    <x v="206"/>
    <n v="3.8696196163917086E-4"/>
    <n v="9.8474304771408312E-5"/>
    <n v="8.8557225679233926E-5"/>
    <n v="1.0275960930796541E-4"/>
    <n v="1.0211809958216677E-4"/>
    <n v="9.4547895600213675E-5"/>
    <n v="1.2627989939701349E-4"/>
    <n v="3.596883632084202E-4"/>
    <n v="1.3263178578056263E-3"/>
    <n v="5.260429373017809E-3"/>
    <n v="2.7904049963436853E-4"/>
  </r>
  <r>
    <s v="Alabama, 2015"/>
    <s v="Alabama"/>
    <n v="2015"/>
    <x v="218"/>
    <n v="2129515"/>
    <n v="0.48484922308553641"/>
    <n v="2262608"/>
    <n v="0.51515191531739357"/>
    <x v="218"/>
    <n v="1.6881832409784983E-2"/>
    <x v="191"/>
    <x v="207"/>
    <n v="4.4468490368866127E-4"/>
    <n v="1.0563845239667239E-4"/>
    <n v="9.8225876952443946E-5"/>
    <n v="1.0493674937431464E-4"/>
    <n v="1.0816053186138868E-4"/>
    <n v="9.9094605619985405E-5"/>
    <n v="2.1617024292574022E-4"/>
    <n v="5.2349308775453518E-4"/>
    <n v="1.548345582690703E-3"/>
    <n v="5.1384412046340377E-3"/>
    <n v="3.3856103137484009E-4"/>
  </r>
  <r>
    <s v="Louisiana, 2015"/>
    <s v="Louisiana"/>
    <n v="2015"/>
    <x v="219"/>
    <n v="2142049"/>
    <n v="0.487942270141623"/>
    <n v="2247918"/>
    <n v="0.51205841323527934"/>
    <x v="219"/>
    <n v="1.5687827963965079E-2"/>
    <x v="204"/>
    <x v="208"/>
    <n v="4.0753532821876499E-4"/>
    <n v="1.0228173503916538E-4"/>
    <n v="9.6625670541892862E-5"/>
    <n v="9.6274806808554339E-5"/>
    <n v="1.1216022461954318E-4"/>
    <n v="1.016273933251128E-4"/>
    <n v="1.3748414862036466E-4"/>
    <n v="3.076923076923077E-4"/>
    <n v="1.0847815823197464E-3"/>
    <n v="4.2254134661458709E-3"/>
    <n v="2.6059439211802192E-4"/>
  </r>
  <r>
    <s v="Louisiana, 2012"/>
    <s v="Louisiana"/>
    <n v="2012"/>
    <x v="220"/>
    <n v="2143052"/>
    <n v="0.4885617096828393"/>
    <n v="2243401"/>
    <n v="0.51143874626662877"/>
    <x v="220"/>
    <n v="1.4823373155199956E-2"/>
    <x v="205"/>
    <x v="209"/>
    <n v="3.9668503538761084E-4"/>
    <n v="1.0084236993014985E-4"/>
    <n v="9.3239078984377787E-5"/>
    <n v="9.9515030086710763E-5"/>
    <n v="1.0860750695088044E-4"/>
    <n v="9.5626216245937873E-5"/>
    <n v="1.2873450142280446E-4"/>
    <n v="3.548301250776191E-4"/>
    <n v="1.2361367837338262E-3"/>
    <n v="4.8137553443449912E-3"/>
    <n v="2.6946613560712291E-4"/>
  </r>
  <r>
    <s v="South Carolina, 2009"/>
    <s v="South Carolina"/>
    <n v="2009"/>
    <x v="221"/>
    <n v="2136292"/>
    <n v="0.48706068502926297"/>
    <n v="2249798"/>
    <n v="0.51293931497073708"/>
    <x v="221"/>
    <n v="1.5053498674217812E-2"/>
    <x v="206"/>
    <x v="210"/>
    <n v="4.0571380272166343E-4"/>
    <n v="1.049281242348991E-4"/>
    <n v="9.6407379020790245E-5"/>
    <n v="1.0403157011381054E-4"/>
    <n v="9.8871709013968924E-5"/>
    <n v="1.0448665705389422E-4"/>
    <n v="1.301779746638688E-4"/>
    <n v="2.7669995547357037E-4"/>
    <n v="1.0079407310384348E-3"/>
    <n v="4.483082422076152E-3"/>
    <n v="2.5808863931200683E-4"/>
  </r>
  <r>
    <s v="South Carolina, 2011"/>
    <s v="South Carolina"/>
    <n v="2011"/>
    <x v="222"/>
    <n v="2121009"/>
    <n v="0.48588577677938588"/>
    <n v="2244234"/>
    <n v="0.51411445230298802"/>
    <x v="222"/>
    <n v="1.456963897992368E-2"/>
    <x v="205"/>
    <x v="116"/>
    <n v="4.2006216920104176E-4"/>
    <n v="1.0652974044028742E-4"/>
    <n v="9.560625519859013E-5"/>
    <n v="1.0714706649189789E-4"/>
    <n v="1.0315588229226125E-4"/>
    <n v="9.6732692103065459E-5"/>
    <n v="1.2028750564425988E-4"/>
    <n v="2.8183982690337296E-4"/>
    <n v="1.1606263002299354E-3"/>
    <n v="4.9213836477987423E-3"/>
    <n v="2.6711004796526743E-4"/>
  </r>
  <r>
    <s v="Louisiana, 2017"/>
    <s v="Louisiana"/>
    <n v="2017"/>
    <x v="223"/>
    <n v="2119181"/>
    <n v="0.4886564823888857"/>
    <n v="2217571"/>
    <n v="0.51134397878595728"/>
    <x v="223"/>
    <n v="1.6071482100651409E-2"/>
    <x v="207"/>
    <x v="211"/>
    <n v="4.1524646607955432E-4"/>
    <n v="1.047738456541555E-4"/>
    <n v="9.9735203035939576E-5"/>
    <n v="9.5698053501591779E-5"/>
    <n v="1.1288338017993611E-4"/>
    <n v="1.0775707245585552E-4"/>
    <n v="1.6888732309960902E-4"/>
    <n v="3.7791214654099234E-4"/>
    <n v="1.0843244883168249E-3"/>
    <n v="3.8882033917759479E-3"/>
    <n v="2.7047904536807519E-4"/>
  </r>
  <r>
    <s v="Louisiana, 2013"/>
    <s v="Louisiana"/>
    <n v="2013"/>
    <x v="224"/>
    <n v="2112594"/>
    <n v="0.48835490090015116"/>
    <n v="2213350"/>
    <n v="0.51164602375437473"/>
    <x v="224"/>
    <n v="1.5016158337841024E-2"/>
    <x v="208"/>
    <x v="212"/>
    <n v="4.0616146949219663E-4"/>
    <n v="1.029005963089556E-4"/>
    <n v="9.5511743964851679E-5"/>
    <n v="9.8789987305486626E-5"/>
    <n v="1.1203101018361883E-4"/>
    <n v="1.1373788856324321E-4"/>
    <n v="2.0976833947382472E-4"/>
    <n v="4.1021731827695806E-4"/>
    <n v="1.1019411563422514E-3"/>
    <n v="5.2956480241383025E-3"/>
    <n v="2.9126617567511339E-4"/>
  </r>
  <r>
    <s v="Kentucky, 2009"/>
    <s v="Kentucky"/>
    <n v="2009"/>
    <x v="225"/>
    <n v="2077373"/>
    <n v="0.49007730365748592"/>
    <n v="2161499"/>
    <n v="0.5099236399906768"/>
    <x v="225"/>
    <n v="1.5903066573434228E-2"/>
    <x v="160"/>
    <x v="213"/>
    <n v="4.2436266032951759E-4"/>
    <n v="1.0888521502107836E-4"/>
    <n v="1.0236689318185308E-4"/>
    <n v="1.0631756702879611E-4"/>
    <n v="1.0022015026341196E-4"/>
    <n v="9.6257662511009469E-5"/>
    <n v="1.6302811306309189E-4"/>
    <n v="4.6494703646801974E-4"/>
    <n v="1.4532676832310263E-3"/>
    <n v="5.9040809363457005E-3"/>
    <n v="3.2154811142974966E-4"/>
  </r>
  <r>
    <s v="Kentucky, 2012"/>
    <s v="Kentucky"/>
    <n v="2012"/>
    <x v="226"/>
    <n v="2058676"/>
    <n v="0.49145171520725028"/>
    <n v="2130294"/>
    <n v="0.5085485235149747"/>
    <x v="226"/>
    <n v="1.6495705745256172E-2"/>
    <x v="209"/>
    <x v="214"/>
    <n v="4.4338196987219516E-4"/>
    <n v="1.094387252577282E-4"/>
    <n v="1.05224760087547E-4"/>
    <n v="1.1023474488924164E-4"/>
    <n v="1.0744793252269837E-4"/>
    <n v="9.7810352247681897E-5"/>
    <n v="1.4033927500346042E-4"/>
    <n v="3.6139315489939127E-4"/>
    <n v="1.379364926820168E-3"/>
    <n v="5.1664254703328513E-3"/>
    <n v="3.0293850348379279E-4"/>
  </r>
  <r>
    <s v="Kentucky, 2015"/>
    <s v="Kentucky"/>
    <n v="2015"/>
    <x v="227"/>
    <n v="2036315"/>
    <n v="0.49193541568272658"/>
    <n v="2103090"/>
    <n v="0.50806700012924599"/>
    <x v="227"/>
    <n v="1.7497242954586358E-2"/>
    <x v="210"/>
    <x v="215"/>
    <n v="4.5963099291785247E-4"/>
    <n v="1.1185619767227252E-4"/>
    <n v="1.0562803790638188E-4"/>
    <n v="1.1285174478201745E-4"/>
    <n v="1.1379131810173324E-4"/>
    <n v="1.0354968313796959E-4"/>
    <n v="1.6931429570834775E-4"/>
    <n v="4.7768547001660386E-4"/>
    <n v="1.3324748761302243E-3"/>
    <n v="5.3846578671232119E-3"/>
    <n v="3.2975833424932872E-4"/>
  </r>
  <r>
    <s v="Kentucky, 2013"/>
    <s v="Kentucky"/>
    <n v="2013"/>
    <x v="228"/>
    <n v="2013759"/>
    <n v="0.49174674990732858"/>
    <n v="2081361"/>
    <n v="0.50825471525334831"/>
    <x v="228"/>
    <n v="1.6806125543757756E-2"/>
    <x v="184"/>
    <x v="216"/>
    <n v="4.5737110710487898E-4"/>
    <n v="1.121803560978437E-4"/>
    <n v="1.072470399816965E-4"/>
    <n v="1.1224625331360293E-4"/>
    <n v="1.1218811703464369E-4"/>
    <n v="1.0136898818544442E-4"/>
    <n v="1.3682263161951747E-4"/>
    <n v="4.5468086107147899E-4"/>
    <n v="1.3197706250180101E-3"/>
    <n v="5.4778199148540459E-3"/>
    <n v="3.179398668755009E-4"/>
  </r>
  <r>
    <s v="Kentucky, 2011"/>
    <s v="Kentucky"/>
    <n v="2011"/>
    <x v="229"/>
    <n v="2004053"/>
    <n v="0.49125267344449958"/>
    <n v="2075427"/>
    <n v="0.50874855220340853"/>
    <x v="229"/>
    <n v="1.6640376519037377E-2"/>
    <x v="211"/>
    <x v="217"/>
    <n v="4.5373423273541245E-4"/>
    <n v="1.1201030494805522E-4"/>
    <n v="1.0874293170943889E-4"/>
    <n v="1.1280273433828036E-4"/>
    <n v="1.0838639750711285E-4"/>
    <n v="1.2265688063662237E-4"/>
    <n v="1.5643237909582084E-4"/>
    <n v="4.0082948514943322E-4"/>
    <n v="1.4822878186050283E-3"/>
    <n v="5.6861705261917386E-3"/>
    <n v="3.2724799146949057E-4"/>
  </r>
  <r>
    <s v="Kentucky, 2016"/>
    <s v="Kentucky"/>
    <n v="2016"/>
    <x v="230"/>
    <n v="2000439"/>
    <n v="0.49293058571697157"/>
    <n v="2057827"/>
    <n v="0.50707163198387883"/>
    <x v="230"/>
    <n v="1.7435317674558314E-2"/>
    <x v="212"/>
    <x v="218"/>
    <n v="4.7422395226145547E-4"/>
    <n v="1.1497005988023953E-4"/>
    <n v="1.0731340881043087E-4"/>
    <n v="1.1415850908987129E-4"/>
    <n v="1.1696590443885607E-4"/>
    <n v="1.0748334903784489E-4"/>
    <n v="1.759281153937101E-4"/>
    <n v="4.6914584180402213E-4"/>
    <n v="1.2282797322575557E-3"/>
    <n v="4.4942549853724716E-3"/>
    <n v="3.1392787593294361E-4"/>
  </r>
  <r>
    <s v="Kentucky, 2010"/>
    <s v="Kentucky"/>
    <n v="2010"/>
    <x v="231"/>
    <n v="1982371"/>
    <n v="0.49162691855474849"/>
    <n v="2049897"/>
    <n v="0.50837332944470193"/>
    <x v="231"/>
    <n v="1.606143640785692E-2"/>
    <x v="213"/>
    <x v="219"/>
    <n v="4.5768859630721583E-4"/>
    <n v="1.1307910637351536E-4"/>
    <n v="1.0818998160770312E-4"/>
    <n v="1.1333371111237037E-4"/>
    <n v="1.0751185318181329E-4"/>
    <n v="1.0058338362502515E-4"/>
    <n v="1.3849136737143384E-4"/>
    <n v="3.4887134937220429E-4"/>
    <n v="1.5538109257441936E-3"/>
    <n v="6.2843555061453896E-3"/>
    <n v="3.2735927457184757E-4"/>
  </r>
  <r>
    <s v="Kentucky, 2014"/>
    <s v="Kentucky"/>
    <n v="2014"/>
    <x v="232"/>
    <n v="1979534"/>
    <n v="0.49135032266728024"/>
    <n v="2049234"/>
    <n v="0.50865091840845444"/>
    <x v="232"/>
    <n v="1.7110959368917954E-2"/>
    <x v="214"/>
    <x v="149"/>
    <n v="4.6773778619705795E-4"/>
    <n v="1.145652535042647E-4"/>
    <n v="1.0883642972975914E-4"/>
    <n v="1.1434822464852214E-4"/>
    <n v="1.1537818083222282E-4"/>
    <n v="1.1706267046159383E-4"/>
    <n v="1.9900651311607488E-4"/>
    <n v="5.0748698017396903E-4"/>
    <n v="1.499241628748104E-3"/>
    <n v="5.425322037832192E-3"/>
    <n v="3.4377797850109327E-4"/>
  </r>
  <r>
    <s v="Oregon, 2016"/>
    <s v="Oregon"/>
    <n v="2016"/>
    <x v="233"/>
    <n v="1963674"/>
    <n v="0.49496284137689056"/>
    <n v="2003643"/>
    <n v="0.50503741068268826"/>
    <x v="233"/>
    <n v="2.1300546767638373E-2"/>
    <x v="215"/>
    <x v="220"/>
    <n v="5.1939282978198491E-4"/>
    <n v="1.2496485363491517E-4"/>
    <n v="1.1757490011032445E-4"/>
    <n v="1.0963650018364113E-4"/>
    <n v="1.1599290896683183E-4"/>
    <n v="1.1670903853148907E-4"/>
    <n v="1.1191294664923312E-4"/>
    <n v="2.2822406770468343E-4"/>
    <n v="4.8714230859605586E-4"/>
    <n v="2.0708588739261117E-3"/>
    <n v="2.2307272725439567E-4"/>
  </r>
  <r>
    <s v="Oregon, 2017"/>
    <s v="Oregon"/>
    <n v="2017"/>
    <x v="234"/>
    <n v="1940582"/>
    <n v="0.4953154404522252"/>
    <n v="1977290"/>
    <n v="0.50468481478843996"/>
    <x v="234"/>
    <n v="2.0496846373961777E-2"/>
    <x v="216"/>
    <x v="221"/>
    <n v="5.2996745116570755E-4"/>
    <n v="1.2675315456913433E-4"/>
    <n v="1.2030509371766801E-4"/>
    <n v="1.0960826007847952E-4"/>
    <n v="1.1614514271334411E-4"/>
    <n v="1.196088789657819E-4"/>
    <n v="1.3554843661105998E-4"/>
    <n v="2.2534464475079533E-4"/>
    <n v="7.249318564054979E-4"/>
    <n v="3.2875074716078902E-3"/>
    <n v="2.6162168177563787E-4"/>
  </r>
  <r>
    <s v="Kentucky, 2017"/>
    <s v="Kentucky"/>
    <n v="2017"/>
    <x v="235"/>
    <n v="1918374"/>
    <n v="0.49323502437797784"/>
    <n v="1971003"/>
    <n v="0.50676651828791852"/>
    <x v="235"/>
    <n v="1.7947375038277397E-2"/>
    <x v="194"/>
    <x v="222"/>
    <n v="5.0149193851708833E-4"/>
    <n v="1.2084397431662732E-4"/>
    <n v="1.1372079270973905E-4"/>
    <n v="1.1875708831370872E-4"/>
    <n v="1.2266100790550195E-4"/>
    <n v="1.1391078507313073E-4"/>
    <n v="1.6383115249364667E-4"/>
    <n v="4.1861638682447931E-4"/>
    <n v="1.5547084633722203E-3"/>
    <n v="4.6988711248639042E-3"/>
    <n v="3.3630116540695143E-4"/>
  </r>
  <r>
    <s v="Oregon, 2014"/>
    <s v="Oregon"/>
    <n v="2014"/>
    <x v="236"/>
    <n v="1876621"/>
    <n v="0.49444942858083851"/>
    <n v="1918757"/>
    <n v="0.50555136185488914"/>
    <x v="236"/>
    <n v="2.0270987715311398E-2"/>
    <x v="217"/>
    <x v="223"/>
    <n v="5.3009152913736435E-4"/>
    <n v="1.2767886212598073E-4"/>
    <n v="1.2013286695084764E-4"/>
    <n v="1.1484792220967403E-4"/>
    <n v="1.2031208956031947E-4"/>
    <n v="1.2929261269026583E-4"/>
    <n v="1.5077640055611037E-4"/>
    <n v="2.428470505121865E-4"/>
    <n v="5.0284228535686475E-4"/>
    <n v="2.4175938442341687E-3"/>
    <n v="2.3923854691565392E-4"/>
  </r>
  <r>
    <s v="Oregon, 2015"/>
    <s v="Oregon"/>
    <n v="2015"/>
    <x v="237"/>
    <n v="1867140"/>
    <n v="0.49423597826371801"/>
    <n v="1910692"/>
    <n v="0.50576428643843518"/>
    <x v="237"/>
    <n v="2.0760060468559868E-2"/>
    <x v="218"/>
    <x v="224"/>
    <n v="5.3751881315846056E-4"/>
    <n v="1.2943168703418074E-4"/>
    <n v="1.2131309291774164E-4"/>
    <n v="1.1505626251236855E-4"/>
    <n v="1.2150397621762172E-4"/>
    <n v="1.2063283987799999E-4"/>
    <n v="1.1769852307969956E-4"/>
    <n v="1.9601102486626018E-4"/>
    <n v="5.7108819935276669E-4"/>
    <n v="2.8688733615545468E-3"/>
    <n v="2.4432008737288672E-4"/>
  </r>
  <r>
    <s v="Oregon, 2013"/>
    <s v="Oregon"/>
    <n v="2013"/>
    <x v="238"/>
    <n v="1862882"/>
    <n v="0.49461438874746039"/>
    <n v="1903450"/>
    <n v="0.50538561125253956"/>
    <x v="238"/>
    <n v="2.0203210975559244E-2"/>
    <x v="219"/>
    <x v="225"/>
    <n v="5.2439530666200534E-4"/>
    <n v="1.278933199187451E-4"/>
    <n v="1.1985282073613603E-4"/>
    <n v="1.1569119705681595E-4"/>
    <n v="1.2190042766733374E-4"/>
    <n v="1.1652634952078539E-4"/>
    <n v="1.1913366002430326E-4"/>
    <n v="1.9922104571126894E-4"/>
    <n v="6.6145334281210401E-4"/>
    <n v="3.1015086999947434E-3"/>
    <n v="2.5037622811796729E-4"/>
  </r>
  <r>
    <s v="Oregon, 2010"/>
    <s v="Oregon"/>
    <n v="2010"/>
    <x v="239"/>
    <n v="1858302"/>
    <n v="0.49494521463361496"/>
    <n v="1896259"/>
    <n v="0.50505478536638504"/>
    <x v="239"/>
    <n v="1.9767690550240094E-2"/>
    <x v="220"/>
    <x v="226"/>
    <n v="5.1291695874437933E-4"/>
    <n v="1.257866909295217E-4"/>
    <n v="1.1808234275368023E-4"/>
    <n v="1.1804052724768837E-4"/>
    <n v="1.19393005957711E-4"/>
    <n v="1.1006145097679538E-4"/>
    <n v="1.2627325532452226E-4"/>
    <n v="2.2501153184100684E-4"/>
    <n v="4.7515081527459504E-4"/>
    <n v="3.0585160134197443E-3"/>
    <n v="2.4130650693916013E-4"/>
  </r>
  <r>
    <s v="Oregon, 2011"/>
    <s v="Oregon"/>
    <n v="2011"/>
    <x v="240"/>
    <n v="1853820"/>
    <n v="0.49495690333012321"/>
    <n v="1891597"/>
    <n v="0.50504309666987679"/>
    <x v="240"/>
    <n v="1.9382087495197466E-2"/>
    <x v="221"/>
    <x v="227"/>
    <n v="5.1522047142673136E-4"/>
    <n v="1.2705646177400468E-4"/>
    <n v="1.1934859536648969E-4"/>
    <n v="1.1714151280454353E-4"/>
    <n v="1.2095042846689284E-4"/>
    <n v="1.1230171728042675E-4"/>
    <n v="1.2348092734176434E-4"/>
    <n v="2.1964344547351465E-4"/>
    <n v="4.8178663560464221E-4"/>
    <n v="2.8652505716725901E-3"/>
    <n v="2.3682276232526311E-4"/>
  </r>
  <r>
    <s v="Oklahoma, 2012"/>
    <s v="Oklahoma"/>
    <n v="2012"/>
    <x v="241"/>
    <n v="1830348"/>
    <n v="0.49466177648187221"/>
    <n v="1869854"/>
    <n v="0.50533849377371665"/>
    <x v="241"/>
    <n v="1.6639096092347417E-2"/>
    <x v="222"/>
    <x v="228"/>
    <n v="4.6562702499253059E-4"/>
    <n v="1.1856465627118109E-4"/>
    <n v="1.1293820021684134E-4"/>
    <n v="1.2052815437246012E-4"/>
    <n v="1.3103040123692698E-4"/>
    <n v="1.1708939189624319E-4"/>
    <n v="1.7908843984120826E-4"/>
    <n v="2.8059269811463291E-4"/>
    <n v="8.1611959861754282E-4"/>
    <n v="3.7194646569646572E-3"/>
    <n v="2.694448220515588E-4"/>
  </r>
  <r>
    <s v="Oregon, 2009"/>
    <s v="Oregon"/>
    <n v="2009"/>
    <x v="242"/>
    <n v="1830719"/>
    <n v="0.49549908964118033"/>
    <n v="1863978"/>
    <n v="0.50450091035881972"/>
    <x v="242"/>
    <n v="1.9780783106165403E-2"/>
    <x v="223"/>
    <x v="229"/>
    <n v="5.0735667174023336E-4"/>
    <n v="1.2808333955960678E-4"/>
    <n v="1.18805999702985E-4"/>
    <n v="1.200261657041235E-4"/>
    <n v="1.197903668579985E-4"/>
    <n v="1.0962848732786044E-4"/>
    <n v="1.3326551599297248E-4"/>
    <n v="2.5928334084590192E-4"/>
    <n v="6.8640433467374536E-4"/>
    <n v="2.8870888292923213E-3"/>
    <n v="2.5144145785161814E-4"/>
  </r>
  <r>
    <s v="Oregon, 2012"/>
    <s v="Oregon"/>
    <n v="2012"/>
    <x v="243"/>
    <n v="1824112"/>
    <n v="0.49515677373050576"/>
    <n v="1859797"/>
    <n v="0.50484349772035564"/>
    <x v="243"/>
    <n v="1.9533332537077473E-2"/>
    <x v="224"/>
    <x v="230"/>
    <n v="5.2580382259379021E-4"/>
    <n v="1.2912250497659655E-4"/>
    <n v="1.2168509519830615E-4"/>
    <n v="1.172229874278346E-4"/>
    <n v="1.2281466652747672E-4"/>
    <n v="1.1663009017449805E-4"/>
    <n v="1.2465020037519711E-4"/>
    <n v="2.1907964640545071E-4"/>
    <n v="4.9629071034024922E-4"/>
    <n v="2.6820828527355854E-3"/>
    <n v="2.3616224943728237E-4"/>
  </r>
  <r>
    <s v="Oklahoma, 2015"/>
    <s v="Oklahoma"/>
    <n v="2015"/>
    <x v="244"/>
    <n v="1810473"/>
    <n v="0.49496673790320705"/>
    <n v="1847301"/>
    <n v="0.50503517583268698"/>
    <x v="244"/>
    <n v="1.721952218388979E-2"/>
    <x v="192"/>
    <x v="231"/>
    <n v="4.7591286035526895E-4"/>
    <n v="1.1987006085403423E-4"/>
    <n v="1.1609008590666357E-4"/>
    <n v="1.1957217077297429E-4"/>
    <n v="1.3434690610270822E-4"/>
    <n v="1.2646088670158394E-4"/>
    <n v="1.7001742678624559E-4"/>
    <n v="3.671221700999388E-4"/>
    <n v="1.3110394492391621E-3"/>
    <n v="4.0644597920139712E-3"/>
    <n v="3.0920504231133364E-4"/>
  </r>
  <r>
    <s v="Oklahoma, 2013"/>
    <s v="Oklahoma"/>
    <n v="2013"/>
    <x v="245"/>
    <n v="1803974"/>
    <n v="0.49406226643650264"/>
    <n v="1847339"/>
    <n v="0.50593882906102994"/>
    <x v="245"/>
    <n v="1.6753991513728365E-2"/>
    <x v="225"/>
    <x v="199"/>
    <n v="4.7115916934638443E-4"/>
    <n v="1.1973634057804714E-4"/>
    <n v="1.1514811886356483E-4"/>
    <n v="1.2128513731498964E-4"/>
    <n v="1.3378821325841193E-4"/>
    <n v="1.210731927808091E-4"/>
    <n v="1.9951291330131952E-4"/>
    <n v="3.5985449052086264E-4"/>
    <n v="9.9959391497204259E-4"/>
    <n v="4.985778271814823E-3"/>
    <n v="3.1029967608876705E-4"/>
  </r>
  <r>
    <s v="Oklahoma, 2010"/>
    <s v="Oklahoma"/>
    <n v="2010"/>
    <x v="246"/>
    <n v="1786907"/>
    <n v="0.49428253797280503"/>
    <n v="1828246"/>
    <n v="0.50571746202719503"/>
    <x v="246"/>
    <n v="1.6239976565307193E-2"/>
    <x v="118"/>
    <x v="232"/>
    <n v="4.7442081125958726E-4"/>
    <n v="1.2160420264124329E-4"/>
    <n v="1.1316121512512801E-4"/>
    <n v="1.258426212179049E-4"/>
    <n v="1.3028438910735651E-4"/>
    <n v="1.1732499022291749E-4"/>
    <n v="1.5859499474196596E-4"/>
    <n v="3.662612358264532E-4"/>
    <n v="1.4167784347431853E-3"/>
    <n v="5.0757962868335886E-3"/>
    <n v="3.2197807395703586E-4"/>
  </r>
  <r>
    <s v="Connecticut, 2017"/>
    <s v="Connecticut"/>
    <n v="2017"/>
    <x v="247"/>
    <n v="1754046"/>
    <n v="0.48798351248776595"/>
    <n v="1840432"/>
    <n v="0.51201648751223405"/>
    <x v="247"/>
    <n v="2.5068730424834984E-2"/>
    <x v="226"/>
    <x v="233"/>
    <n v="6.4450985025887809E-4"/>
    <n v="1.3877099778660258E-4"/>
    <n v="1.210590243449698E-4"/>
    <n v="1.3659989208608526E-4"/>
    <n v="1.3843992053548561E-4"/>
    <n v="1.120215977640489E-4"/>
    <n v="1.3097207473871072E-4"/>
    <n v="2.4488642607098566E-4"/>
    <n v="7.4790735522009414E-4"/>
    <n v="4.3169938629881591E-3"/>
    <n v="3.163185308130972E-4"/>
  </r>
  <r>
    <s v="Connecticut, 2015"/>
    <s v="Connecticut"/>
    <n v="2015"/>
    <x v="248"/>
    <n v="1751607"/>
    <n v="0.48747530767650871"/>
    <n v="1841615"/>
    <n v="0.51252469232349129"/>
    <x v="248"/>
    <n v="2.4479422646304625E-2"/>
    <x v="227"/>
    <x v="234"/>
    <n v="6.2685444439801083E-4"/>
    <n v="1.3418496054962159E-4"/>
    <n v="1.2143880698516017E-4"/>
    <n v="1.3718769792183503E-4"/>
    <n v="1.3351075429125816E-4"/>
    <n v="1.0798786216429274E-4"/>
    <n v="1.2551776076314799E-4"/>
    <n v="2.3605642090570401E-4"/>
    <n v="9.3727069240872403E-4"/>
    <n v="4.5134151887221462E-3"/>
    <n v="3.2227343593020413E-4"/>
  </r>
  <r>
    <s v="Connecticut, 2014"/>
    <s v="Connecticut"/>
    <n v="2014"/>
    <x v="249"/>
    <n v="1750621"/>
    <n v="0.48735945711268736"/>
    <n v="1841432"/>
    <n v="0.51264054288731264"/>
    <x v="249"/>
    <n v="2.4168630028565837E-2"/>
    <x v="228"/>
    <x v="132"/>
    <n v="6.1828580261225746E-4"/>
    <n v="1.3230400814992691E-4"/>
    <n v="1.2244947938563016E-4"/>
    <n v="1.3842331233144078E-4"/>
    <n v="1.3046910165500055E-4"/>
    <n v="1.0637298268070554E-4"/>
    <n v="1.2782057399959097E-4"/>
    <n v="2.6669795922721598E-4"/>
    <n v="7.8310451998140121E-4"/>
    <n v="4.1928238207683006E-3"/>
    <n v="3.0818030802997617E-4"/>
  </r>
  <r>
    <s v="Connecticut, 2016"/>
    <s v="Connecticut"/>
    <n v="2016"/>
    <x v="250"/>
    <n v="1750270"/>
    <n v="0.48773466868418341"/>
    <n v="1838300"/>
    <n v="0.51226533131581664"/>
    <x v="250"/>
    <n v="2.4335598859712922E-2"/>
    <x v="178"/>
    <x v="235"/>
    <n v="6.3577843121672101E-4"/>
    <n v="1.3642347666135372E-4"/>
    <n v="1.2126748778230061E-4"/>
    <n v="1.3679453916199666E-4"/>
    <n v="1.3637138473776919E-4"/>
    <n v="1.0982071767839003E-4"/>
    <n v="1.2272598968283513E-4"/>
    <n v="1.976720817835293E-4"/>
    <n v="7.1870412118457184E-4"/>
    <n v="3.5154013511966105E-3"/>
    <n v="2.8535043206625481E-4"/>
  </r>
  <r>
    <s v="Oklahoma, 2009"/>
    <s v="Oklahoma"/>
    <n v="2009"/>
    <x v="251"/>
    <n v="1769082"/>
    <n v="0.49339305092701441"/>
    <n v="1816462"/>
    <n v="0.5066072279707704"/>
    <x v="251"/>
    <n v="1.6937741368601631E-2"/>
    <x v="229"/>
    <x v="236"/>
    <n v="4.6439089329458247E-4"/>
    <n v="1.2387378087553989E-4"/>
    <n v="1.1205779193856245E-4"/>
    <n v="1.2575083729099163E-4"/>
    <n v="1.3011825580815363E-4"/>
    <n v="1.3776854883795224E-4"/>
    <n v="1.8373440171485443E-4"/>
    <n v="4.0830079479911997E-4"/>
    <n v="1.4221811640005835E-3"/>
    <n v="5.36793400405065E-3"/>
    <n v="3.4137088859344315E-4"/>
  </r>
  <r>
    <s v="Oklahoma, 2014"/>
    <s v="Oklahoma"/>
    <n v="2014"/>
    <x v="252"/>
    <n v="1774242"/>
    <n v="0.49485811028475563"/>
    <n v="1811117"/>
    <n v="0.50514300536488022"/>
    <x v="252"/>
    <n v="1.6985207880391203E-2"/>
    <x v="230"/>
    <x v="237"/>
    <n v="4.8168590065228299E-4"/>
    <n v="1.225237440805716E-4"/>
    <n v="1.1695222501608094E-4"/>
    <n v="1.2161406182858903E-4"/>
    <n v="1.3672159836663263E-4"/>
    <n v="1.477076822765552E-4"/>
    <n v="2.3149541407584717E-4"/>
    <n v="4.2338673507830859E-4"/>
    <n v="9.8127874088469011E-4"/>
    <n v="4.2201714342014517E-3"/>
    <n v="3.1182407320892909E-4"/>
  </r>
  <r>
    <s v="Connecticut, 2013"/>
    <s v="Connecticut"/>
    <n v="2013"/>
    <x v="253"/>
    <n v="1745364"/>
    <n v="0.4870473810826717"/>
    <n v="1838197"/>
    <n v="0.51295261891732835"/>
    <x v="253"/>
    <n v="2.424794778155025E-2"/>
    <x v="184"/>
    <x v="238"/>
    <n v="6.081831036597418E-4"/>
    <n v="1.3137410747715732E-4"/>
    <n v="1.2367232604972039E-4"/>
    <n v="1.403784603290471E-4"/>
    <n v="1.2791104213389728E-4"/>
    <n v="1.0562896768809879E-4"/>
    <n v="1.3120375067788605E-4"/>
    <n v="2.4521095572827651E-4"/>
    <n v="6.6553911721426091E-4"/>
    <n v="4.3386194673970587E-3"/>
    <n v="3.0472482539016358E-4"/>
  </r>
  <r>
    <s v="Connecticut, 2012"/>
    <s v="Connecticut"/>
    <n v="2012"/>
    <x v="254"/>
    <n v="1739522"/>
    <n v="0.48695920428037187"/>
    <n v="1832691"/>
    <n v="0.51304079571962813"/>
    <x v="254"/>
    <n v="2.3725348964353469E-2"/>
    <x v="231"/>
    <x v="239"/>
    <n v="6.0203487788725897E-4"/>
    <n v="1.307397472800685E-4"/>
    <n v="1.2521233925865947E-4"/>
    <n v="1.4255438449768586E-4"/>
    <n v="1.2368022889087694E-4"/>
    <n v="1.0537518835814919E-4"/>
    <n v="1.3508584705580396E-4"/>
    <n v="2.3217657802680866E-4"/>
    <n v="7.9585437660068458E-4"/>
    <n v="3.7403247121011894E-3"/>
    <n v="2.9393544001995401E-4"/>
  </r>
  <r>
    <s v="Oklahoma, 2017"/>
    <s v="Oklahoma"/>
    <n v="2017"/>
    <x v="255"/>
    <n v="1764926"/>
    <n v="0.49503194281959018"/>
    <n v="1800352"/>
    <n v="0.50496833766352511"/>
    <x v="255"/>
    <n v="1.6879754364106912E-2"/>
    <x v="232"/>
    <x v="240"/>
    <n v="4.9324663153654542E-4"/>
    <n v="1.2225088326263156E-4"/>
    <n v="1.2136707877532526E-4"/>
    <n v="1.20775864151308E-4"/>
    <n v="1.3598935656635941E-4"/>
    <n v="1.3520121320555317E-4"/>
    <n v="1.5885875867765968E-4"/>
    <n v="4.053519862247325E-4"/>
    <n v="1.0335817781458442E-3"/>
    <n v="3.4230072614280255E-3"/>
    <n v="2.9114147371999424E-4"/>
  </r>
  <r>
    <s v="Connecticut, 2011"/>
    <s v="Connecticut"/>
    <n v="2011"/>
    <x v="256"/>
    <n v="1731389"/>
    <n v="0.4865950830932288"/>
    <n v="1826783"/>
    <n v="0.51340491690677126"/>
    <x v="256"/>
    <n v="2.3725384832436431E-2"/>
    <x v="177"/>
    <x v="241"/>
    <n v="5.9066163947982394E-4"/>
    <n v="1.2957955752900422E-4"/>
    <n v="1.2576348918224387E-4"/>
    <n v="1.4464314126331318E-4"/>
    <n v="1.2063696316551391E-4"/>
    <n v="1.0554683816855127E-4"/>
    <n v="1.3904789272918569E-4"/>
    <n v="2.4134088998475529E-4"/>
    <n v="8.3423358540391304E-4"/>
    <n v="4.9159549390540049E-3"/>
    <n v="3.2432383819556786E-4"/>
  </r>
  <r>
    <s v="Oklahoma, 2016"/>
    <s v="Oklahoma"/>
    <n v="2016"/>
    <x v="257"/>
    <n v="1759183"/>
    <n v="0.4945985003331656"/>
    <n v="1797609"/>
    <n v="0.5054020619716092"/>
    <x v="257"/>
    <n v="1.6976262303931355E-2"/>
    <x v="233"/>
    <x v="242"/>
    <n v="4.9145885465513926E-4"/>
    <n v="1.2310192223651572E-4"/>
    <n v="1.1931441934643539E-4"/>
    <n v="1.2171718606094786E-4"/>
    <n v="1.3762730525736306E-4"/>
    <n v="1.3358298508991248E-4"/>
    <n v="1.673594123621291E-4"/>
    <n v="2.7610843903287056E-4"/>
    <n v="8.2119188303148114E-4"/>
    <n v="3.246054222354714E-3"/>
    <n v="2.6934398713446674E-4"/>
  </r>
  <r>
    <s v="Connecticut, 2010"/>
    <s v="Connecticut"/>
    <n v="2010"/>
    <x v="258"/>
    <n v="1724834"/>
    <n v="0.48643916795949727"/>
    <n v="1821003"/>
    <n v="0.51356083204050273"/>
    <x v="258"/>
    <n v="2.2741316084185483E-2"/>
    <x v="110"/>
    <x v="174"/>
    <n v="5.8454463972565374E-4"/>
    <n v="1.2818102579002238E-4"/>
    <n v="1.2651101594671356E-4"/>
    <n v="1.4603265777003263E-4"/>
    <n v="1.1705558384398832E-4"/>
    <n v="1.0634828353870368E-4"/>
    <n v="1.4292213840103474E-4"/>
    <n v="2.9165937518228709E-4"/>
    <n v="7.0164770268848012E-4"/>
    <n v="4.2040254473752741E-3"/>
    <n v="3.0148029929181742E-4"/>
  </r>
  <r>
    <s v="Oklahoma, 2011"/>
    <s v="Oklahoma"/>
    <n v="2011"/>
    <x v="259"/>
    <n v="1742948"/>
    <n v="0.49545872802313462"/>
    <n v="1774899"/>
    <n v="0.50454127197686538"/>
    <x v="259"/>
    <n v="1.6020310149929773E-2"/>
    <x v="229"/>
    <x v="243"/>
    <n v="4.8651146950789363E-4"/>
    <n v="1.2520580704533077E-4"/>
    <n v="1.1798829949363354E-4"/>
    <n v="1.2706480304955527E-4"/>
    <n v="1.3544201501600474E-4"/>
    <n v="1.2138893216179526E-4"/>
    <n v="1.9964261507178507E-4"/>
    <n v="5.251610493884791E-4"/>
    <n v="1.4258462299714179E-3"/>
    <n v="5.7845520520964566E-3"/>
    <n v="3.5277259073518549E-4"/>
  </r>
  <r>
    <s v="Connecticut, 2009"/>
    <s v="Connecticut"/>
    <n v="2009"/>
    <x v="260"/>
    <n v="1704135"/>
    <n v="0.48766385452285271"/>
    <n v="1790352"/>
    <n v="0.51233614547714734"/>
    <x v="260"/>
    <n v="2.2123418973943813E-2"/>
    <x v="228"/>
    <x v="244"/>
    <n v="5.6454382506668677E-4"/>
    <n v="1.3057813469134592E-4"/>
    <n v="1.2550935881452228E-4"/>
    <n v="1.4878111075017917E-4"/>
    <n v="1.1542723467126323E-4"/>
    <n v="1.0941717120140054E-4"/>
    <n v="1.511129468535766E-4"/>
    <n v="2.8637618717889535E-4"/>
    <n v="1.0610626390749958E-3"/>
    <n v="4.7083171646617513E-3"/>
    <n v="3.2794513186055633E-4"/>
  </r>
  <r>
    <s v="Iowa, 2012"/>
    <s v="Iowa"/>
    <n v="2012"/>
    <x v="261"/>
    <n v="1465174"/>
    <n v="0.49488839312102384"/>
    <n v="1495446"/>
    <n v="0.50511329571727492"/>
    <x v="261"/>
    <n v="2.3406285518380473E-2"/>
    <x v="234"/>
    <x v="245"/>
    <n v="6.1718235681369326E-4"/>
    <n v="1.5320035542482459E-4"/>
    <n v="1.414967526495267E-4"/>
    <n v="1.6036906266955688E-4"/>
    <n v="1.6777444403743606E-4"/>
    <n v="1.4248024867552736E-4"/>
    <n v="1.6600633037473162E-4"/>
    <n v="2.7374136003832379E-4"/>
    <n v="8.6119210686919372E-4"/>
    <n v="5.9309926836659593E-3"/>
    <n v="3.8437959680674455E-4"/>
  </r>
  <r>
    <s v="Iowa, 2009"/>
    <s v="Iowa"/>
    <n v="2009"/>
    <x v="262"/>
    <n v="1448667"/>
    <n v="0.49284395504801487"/>
    <n v="1490736"/>
    <n v="0.50715604495198519"/>
    <x v="262"/>
    <n v="2.3772514350703187E-2"/>
    <x v="235"/>
    <x v="246"/>
    <n v="6.1626318546440569E-4"/>
    <n v="1.57331242575932E-4"/>
    <n v="1.3598781549173193E-4"/>
    <n v="1.7078981751107998E-4"/>
    <n v="1.575464762104821E-4"/>
    <n v="1.5497456797947858E-4"/>
    <n v="1.9896538002387584E-4"/>
    <n v="3.4354118381388777E-4"/>
    <n v="1.0222765711032176E-3"/>
    <n v="4.8943142951185653E-3"/>
    <n v="3.8205036873133761E-4"/>
  </r>
  <r>
    <s v="Mississippi, 2009"/>
    <s v="Mississippi"/>
    <n v="2009"/>
    <x v="263"/>
    <n v="1416675"/>
    <n v="0.48479077693823913"/>
    <n v="1505566"/>
    <n v="0.51520956526500217"/>
    <x v="263"/>
    <n v="1.5954883924660535E-2"/>
    <x v="236"/>
    <x v="247"/>
    <n v="5.5830832577290809E-4"/>
    <n v="1.4406834602335349E-4"/>
    <n v="1.3431262158090433E-4"/>
    <n v="1.5748362170334284E-4"/>
    <n v="1.5624267612455666E-4"/>
    <n v="1.4859761005510494E-4"/>
    <n v="1.9283365847230747E-4"/>
    <n v="3.9003561641023536E-4"/>
    <n v="1.3147978899097279E-3"/>
    <n v="4.6971516815374056E-3"/>
    <n v="3.4186103810775295E-4"/>
  </r>
  <r>
    <s v="Iowa, 2010"/>
    <s v="Iowa"/>
    <n v="2010"/>
    <x v="264"/>
    <n v="1430884"/>
    <n v="0.49362223556900353"/>
    <n v="1467862"/>
    <n v="0.50637879936234431"/>
    <x v="264"/>
    <n v="2.3288025188849096E-2"/>
    <x v="237"/>
    <x v="248"/>
    <n v="6.3019914292916559E-4"/>
    <n v="1.5668946498382182E-4"/>
    <n v="1.4239334738281028E-4"/>
    <n v="1.6830861066852181E-4"/>
    <n v="1.6452645174027856E-4"/>
    <n v="1.4208413749008372E-4"/>
    <n v="1.7871397424135918E-4"/>
    <n v="3.1223880023441926E-4"/>
    <n v="8.6581239843354558E-4"/>
    <n v="4.7255058809587292E-3"/>
    <n v="3.6360588020393667E-4"/>
  </r>
  <r>
    <s v="Utah, 2017"/>
    <s v="Utah"/>
    <n v="2017"/>
    <x v="265"/>
    <n v="1451756"/>
    <n v="0.50273607806878118"/>
    <n v="1435955"/>
    <n v="0.49726426822638009"/>
    <x v="265"/>
    <n v="1.1752218886245502E-2"/>
    <x v="238"/>
    <x v="249"/>
    <n v="4.920775514221041E-4"/>
    <n v="1.221592875670349E-4"/>
    <n v="1.2842355801748274E-4"/>
    <n v="1.3922664241029163E-4"/>
    <n v="1.5677011752533143E-4"/>
    <n v="2.0097540061096521E-4"/>
    <n v="2.1917327839389821E-4"/>
    <n v="3.4016112298525399E-4"/>
    <n v="9.7531445483285131E-4"/>
    <n v="3.1529009635501075E-3"/>
    <n v="2.7495835800686358E-4"/>
  </r>
  <r>
    <s v="Utah, 2016"/>
    <s v="Utah"/>
    <n v="2016"/>
    <x v="266"/>
    <n v="1446212"/>
    <n v="0.50270922638621041"/>
    <n v="1430624"/>
    <n v="0.49729077361378959"/>
    <x v="266"/>
    <n v="1.1511605110614578E-2"/>
    <x v="239"/>
    <x v="250"/>
    <n v="4.8462917790737122E-4"/>
    <n v="1.2115166775366635E-4"/>
    <n v="1.2908583562639978E-4"/>
    <n v="1.3873955117755195E-4"/>
    <n v="1.5936170325788442E-4"/>
    <n v="1.9930972398925058E-4"/>
    <n v="2.2158455112509555E-4"/>
    <n v="3.5635378804076687E-4"/>
    <n v="9.462463660719375E-4"/>
    <n v="4.8313554971766764E-3"/>
    <n v="2.930302596324573E-4"/>
  </r>
  <r>
    <s v="Iowa, 2013"/>
    <s v="Iowa"/>
    <n v="2013"/>
    <x v="267"/>
    <n v="1419708"/>
    <n v="0.49478642263799799"/>
    <n v="1449630"/>
    <n v="0.50521462290042818"/>
    <x v="267"/>
    <n v="2.3622546687647138E-2"/>
    <x v="74"/>
    <x v="203"/>
    <n v="6.4485619706805379E-4"/>
    <n v="1.5844889098980383E-4"/>
    <n v="1.4564520827264782E-4"/>
    <n v="1.6374383913805244E-4"/>
    <n v="1.7502968211692565E-4"/>
    <n v="1.4968864761296503E-4"/>
    <n v="1.6684463427656167E-4"/>
    <n v="3.2523951567189836E-4"/>
    <n v="1.1730121378146212E-3"/>
    <n v="6.668535430282823E-3"/>
    <n v="4.2727670348704491E-4"/>
  </r>
  <r>
    <s v="Iowa, 2015"/>
    <s v="Iowa"/>
    <n v="2015"/>
    <x v="268"/>
    <n v="1424155"/>
    <n v="0.49788126334807586"/>
    <n v="1436280"/>
    <n v="0.50212013504258624"/>
    <x v="268"/>
    <n v="2.346149933349205E-2"/>
    <x v="240"/>
    <x v="251"/>
    <n v="6.6056742742015388E-4"/>
    <n v="1.6020762908729714E-4"/>
    <n v="1.448225923244026E-4"/>
    <n v="1.6362505863231269E-4"/>
    <n v="1.7763935066896018E-4"/>
    <n v="1.5709273707912238E-4"/>
    <n v="1.793648852472382E-4"/>
    <n v="2.9496733670521485E-4"/>
    <n v="8.6779190350154032E-4"/>
    <n v="5.2600208612725375E-3"/>
    <n v="3.8001266242744536E-4"/>
  </r>
  <r>
    <s v="Arkansas, 2010"/>
    <s v="Arkansas"/>
    <n v="2010"/>
    <x v="269"/>
    <n v="1399104"/>
    <n v="0.49076456066332125"/>
    <n v="1451767"/>
    <n v="0.5092371931897185"/>
    <x v="269"/>
    <n v="1.7146018087135628E-2"/>
    <x v="241"/>
    <x v="252"/>
    <n v="6.1923977996346485E-4"/>
    <n v="1.5514700178419051E-4"/>
    <n v="1.5045399492970036E-4"/>
    <n v="1.6345878795308733E-4"/>
    <n v="1.6103362113619956E-4"/>
    <n v="1.5092668987583765E-4"/>
    <n v="1.7939686773068943E-4"/>
    <n v="3.4397078058737537E-4"/>
    <n v="1.3976400504066904E-3"/>
    <n v="5.3804136576583944E-3"/>
    <n v="3.7251838564141562E-4"/>
  </r>
  <r>
    <s v="Iowa, 2011"/>
    <s v="Iowa"/>
    <n v="2011"/>
    <x v="270"/>
    <n v="1404196"/>
    <n v="0.49446219776079331"/>
    <n v="1435653"/>
    <n v="0.50553921076678476"/>
    <x v="270"/>
    <n v="2.3145981558852682E-2"/>
    <x v="242"/>
    <x v="183"/>
    <n v="6.4076550118541615E-4"/>
    <n v="1.601593051221615E-4"/>
    <n v="1.4662935764122239E-4"/>
    <n v="1.6817604668567057E-4"/>
    <n v="1.7146090405619345E-4"/>
    <n v="1.4676996010303252E-4"/>
    <n v="1.7734374538167329E-4"/>
    <n v="2.918642831083546E-4"/>
    <n v="8.9691087208938519E-4"/>
    <n v="5.9028464499246928E-3"/>
    <n v="3.9333132618153455E-4"/>
  </r>
  <r>
    <s v="Arkansas, 2009"/>
    <s v="Arkansas"/>
    <n v="2009"/>
    <x v="271"/>
    <n v="1388758"/>
    <n v="0.48931924853680736"/>
    <n v="1449385"/>
    <n v="0.51068075146319269"/>
    <x v="271"/>
    <n v="1.8087531177956855E-2"/>
    <x v="243"/>
    <x v="253"/>
    <n v="6.0307265517813263E-4"/>
    <n v="1.5692797790454072E-4"/>
    <n v="1.5333699638380249E-4"/>
    <n v="1.5905542286209629E-4"/>
    <n v="1.5992110558790996E-4"/>
    <n v="1.5247078913798099E-4"/>
    <n v="2.0150540034472923E-4"/>
    <n v="3.1786998643122146E-4"/>
    <n v="1.4417090805828E-3"/>
    <n v="5.610207460796727E-3"/>
    <n v="3.8687268400499904E-4"/>
  </r>
  <r>
    <s v="Utah, 2015"/>
    <s v="Utah"/>
    <n v="2015"/>
    <x v="272"/>
    <n v="1421166"/>
    <n v="0.5016785382208977"/>
    <n v="1411657"/>
    <n v="0.49832181478398574"/>
    <x v="272"/>
    <n v="1.1561262938511492E-2"/>
    <x v="244"/>
    <x v="254"/>
    <n v="4.8222789286503647E-4"/>
    <n v="1.2294401744165795E-4"/>
    <n v="1.3137036809977141E-4"/>
    <n v="1.3858765322597409E-4"/>
    <n v="1.6452600059229359E-4"/>
    <n v="1.9936204146730463E-4"/>
    <n v="2.2680451340981685E-4"/>
    <n v="3.777029366403324E-4"/>
    <n v="9.2044554224728526E-4"/>
    <n v="4.9158804311318742E-3"/>
    <n v="2.9652410211442867E-4"/>
  </r>
  <r>
    <s v="Arkansas, 2011"/>
    <s v="Arkansas"/>
    <n v="2011"/>
    <x v="273"/>
    <n v="1389008"/>
    <n v="0.49124204300341323"/>
    <n v="1438537"/>
    <n v="0.50875866432446826"/>
    <x v="273"/>
    <n v="1.7240056119394116E-2"/>
    <x v="245"/>
    <x v="255"/>
    <n v="6.2256163360172652E-4"/>
    <n v="1.5645534764378247E-4"/>
    <n v="1.5166451808599379E-4"/>
    <n v="1.6338223000405733E-4"/>
    <n v="1.6476183676495626E-4"/>
    <n v="1.5304482682977844E-4"/>
    <n v="1.9757521329142344E-4"/>
    <n v="3.5413337207612958E-4"/>
    <n v="1.4862406626156288E-3"/>
    <n v="7.0363304408476417E-3"/>
    <n v="4.0989650732102041E-4"/>
  </r>
  <r>
    <s v="Nevada, 2016"/>
    <s v="Nevada"/>
    <n v="2016"/>
    <x v="274"/>
    <n v="1415326"/>
    <n v="0.50154806222015902"/>
    <n v="1406590"/>
    <n v="0.49845229214912568"/>
    <x v="274"/>
    <n v="1.3211595671733557E-2"/>
    <x v="246"/>
    <x v="256"/>
    <n v="6.7293241515443795E-4"/>
    <n v="1.618201530818648E-4"/>
    <n v="1.6636812830310056E-4"/>
    <n v="1.4819022685453895E-4"/>
    <n v="1.5731185502139441E-4"/>
    <n v="1.754666233674402E-4"/>
    <n v="2.3394275420804528E-4"/>
    <n v="4.4969444868263618E-4"/>
    <n v="1.3536795471326606E-3"/>
    <n v="3.2455340378735047E-3"/>
    <n v="3.3806829759223787E-4"/>
  </r>
  <r>
    <s v="Mississippi, 2010"/>
    <s v="Mississippi"/>
    <n v="2010"/>
    <x v="275"/>
    <n v="1369939"/>
    <n v="0.48551213355934869"/>
    <n v="1451698"/>
    <n v="0.51448786644065125"/>
    <x v="275"/>
    <n v="1.4657094445529316E-2"/>
    <x v="247"/>
    <x v="257"/>
    <n v="5.9998500037499066E-4"/>
    <n v="1.5063568258048967E-4"/>
    <n v="1.4132278123233464E-4"/>
    <n v="1.6462215100789912E-4"/>
    <n v="1.6224503868192132E-4"/>
    <n v="1.5111104395064713E-4"/>
    <n v="2.0570922210266473E-4"/>
    <n v="3.8795105691139914E-4"/>
    <n v="1.2112594465070964E-3"/>
    <n v="5.3678941896172349E-3"/>
    <n v="3.4767051892217179E-4"/>
  </r>
  <r>
    <s v="Nevada, 2017"/>
    <s v="Nevada"/>
    <n v="2017"/>
    <x v="276"/>
    <n v="1411573"/>
    <n v="0.50084836451217796"/>
    <n v="1406792"/>
    <n v="0.49915199030359458"/>
    <x v="276"/>
    <n v="1.3592637430793184E-2"/>
    <x v="248"/>
    <x v="258"/>
    <n v="6.7762154836523798E-4"/>
    <n v="1.6316230298151914E-4"/>
    <n v="1.6968853669090386E-4"/>
    <n v="1.4667452190217299E-4"/>
    <n v="1.5818988586599735E-4"/>
    <n v="1.5863279680196281E-4"/>
    <n v="2.5910506856094791E-4"/>
    <n v="6.2087789791830182E-4"/>
    <n v="1.1689829848032212E-3"/>
    <n v="4.0199430943120415E-3"/>
    <n v="3.6084764068800197E-4"/>
  </r>
  <r>
    <s v="Arkansas, 2013"/>
    <s v="Arkansas"/>
    <n v="2013"/>
    <x v="277"/>
    <n v="1382700"/>
    <n v="0.49159118470737934"/>
    <n v="1430008"/>
    <n v="0.50841059294209168"/>
    <x v="277"/>
    <n v="1.7356613904845268E-2"/>
    <x v="249"/>
    <x v="259"/>
    <n v="6.3744681303153766E-4"/>
    <n v="1.576628065556195E-4"/>
    <n v="1.5373538552991307E-4"/>
    <n v="1.6268936364055412E-4"/>
    <n v="1.695633743111488E-4"/>
    <n v="1.5629965770374963E-4"/>
    <n v="1.7586591982272717E-4"/>
    <n v="5.6937382019174761E-4"/>
    <n v="1.4680637869831678E-3"/>
    <n v="6.8620823859562871E-3"/>
    <n v="4.2450269367224339E-4"/>
  </r>
  <r>
    <s v="Mississippi, 2013"/>
    <s v="Mississippi"/>
    <n v="2013"/>
    <x v="278"/>
    <n v="1364091"/>
    <n v="0.48528292704272163"/>
    <n v="1446831"/>
    <n v="0.51471814022389117"/>
    <x v="278"/>
    <n v="1.5560391459163355E-2"/>
    <x v="195"/>
    <x v="234"/>
    <n v="6.1801832424331386E-4"/>
    <n v="1.526713672484294E-4"/>
    <n v="1.453977962540681E-4"/>
    <n v="1.6425890488588112E-4"/>
    <n v="1.7031858090558389E-4"/>
    <n v="1.5590935430140915E-4"/>
    <n v="2.4627983917629781E-4"/>
    <n v="5.1049347702779356E-4"/>
    <n v="1.7585245550075059E-3"/>
    <n v="6.447335330025835E-3"/>
    <n v="4.1196491254283743E-4"/>
  </r>
  <r>
    <s v="Arkansas, 2017"/>
    <s v="Arkansas"/>
    <n v="2017"/>
    <x v="279"/>
    <n v="1378812"/>
    <n v="0.49163325077712894"/>
    <n v="1425744"/>
    <n v="0.50836746234873709"/>
    <x v="279"/>
    <n v="1.8192553967582726E-2"/>
    <x v="250"/>
    <x v="189"/>
    <n v="6.6192288598378288E-4"/>
    <n v="1.5945911468299528E-4"/>
    <n v="1.5445446682318053E-4"/>
    <n v="1.6206711199107552E-4"/>
    <n v="1.7187397054653058E-4"/>
    <n v="1.6821235127224609E-4"/>
    <n v="1.8992641790142818E-4"/>
    <n v="4.6831771618372224E-4"/>
    <n v="1.6928936939709901E-3"/>
    <n v="4.703853239778919E-3"/>
    <n v="4.0113329962625075E-4"/>
  </r>
  <r>
    <s v="Arkansas, 2012"/>
    <s v="Arkansas"/>
    <n v="2012"/>
    <x v="280"/>
    <n v="1375074"/>
    <n v="0.49059797285123408"/>
    <n v="1427783"/>
    <n v="0.50940345426606393"/>
    <x v="280"/>
    <n v="1.7229587138533488E-2"/>
    <x v="240"/>
    <x v="260"/>
    <n v="6.3619976672675224E-4"/>
    <n v="1.5865418939608282E-4"/>
    <n v="1.5532452470695441E-4"/>
    <n v="1.6587186398507153E-4"/>
    <n v="1.6875595919480906E-4"/>
    <n v="1.546236331915091E-4"/>
    <n v="1.9068237889468759E-4"/>
    <n v="3.5416878799013639E-4"/>
    <n v="1.2539426109700745E-3"/>
    <n v="7.3096993290814212E-3"/>
    <n v="4.0708520924928994E-4"/>
  </r>
  <r>
    <s v="Mississippi, 2012"/>
    <s v="Mississippi"/>
    <n v="2012"/>
    <x v="281"/>
    <n v="1353152"/>
    <n v="0.48537370653290557"/>
    <n v="1434709"/>
    <n v="0.51462808696001516"/>
    <x v="281"/>
    <n v="1.4943741714062707E-2"/>
    <x v="251"/>
    <x v="185"/>
    <n v="6.1370401055570894E-4"/>
    <n v="1.5366057914672281E-4"/>
    <n v="1.4544185234743149E-4"/>
    <n v="1.6610100048169291E-4"/>
    <n v="1.6955810332305624E-4"/>
    <n v="1.5456627415420048E-4"/>
    <n v="1.826378382985459E-4"/>
    <n v="4.471546712921787E-4"/>
    <n v="1.0767872903795234E-3"/>
    <n v="5.6887736732195576E-3"/>
    <n v="3.5511159830349916E-4"/>
  </r>
  <r>
    <s v="Nevada, 2015"/>
    <s v="Nevada"/>
    <n v="2015"/>
    <x v="282"/>
    <n v="1399888"/>
    <n v="0.50243935879301538"/>
    <n v="1386295"/>
    <n v="0.49756064120698462"/>
    <x v="282"/>
    <n v="1.3006683337024165E-2"/>
    <x v="215"/>
    <x v="235"/>
    <n v="6.6783909530063895E-4"/>
    <n v="1.6172986261048171E-4"/>
    <n v="1.6600954554886905E-4"/>
    <n v="1.5067918643284605E-4"/>
    <n v="1.5734980960673038E-4"/>
    <n v="1.5838071556407293E-4"/>
    <n v="2.2943980929678189E-4"/>
    <n v="5.3541674697917875E-4"/>
    <n v="1.5591884750763255E-3"/>
    <n v="4.8290515742708132E-3"/>
    <n v="3.6752790466383579E-4"/>
  </r>
  <r>
    <s v="Kansas, 2012"/>
    <s v="Kansas"/>
    <n v="2012"/>
    <x v="283"/>
    <n v="1380266"/>
    <n v="0.49614519155421677"/>
    <n v="1401717"/>
    <n v="0.50385588681442717"/>
    <x v="283"/>
    <n v="2.0530341699077637E-2"/>
    <x v="125"/>
    <x v="261"/>
    <n v="6.0479603253802653E-4"/>
    <n v="1.533409151896955E-4"/>
    <n v="1.4965243222615475E-4"/>
    <n v="1.62381157290508E-4"/>
    <n v="1.7527766904070532E-4"/>
    <n v="1.5272888332276959E-4"/>
    <n v="1.852818291022169E-4"/>
    <n v="3.2176239991848685E-4"/>
    <n v="1.2674479852515144E-3"/>
    <n v="6.092970323032478E-3"/>
    <n v="3.9612074853162137E-4"/>
  </r>
  <r>
    <s v="Utah, 2014"/>
    <s v="Utah"/>
    <n v="2014"/>
    <x v="284"/>
    <n v="1394045"/>
    <n v="0.50258023719290956"/>
    <n v="1379732"/>
    <n v="0.49742012332646907"/>
    <x v="284"/>
    <n v="1.1444327155473262E-2"/>
    <x v="252"/>
    <x v="262"/>
    <n v="4.8202643915018739E-4"/>
    <n v="1.2490944065552474E-4"/>
    <n v="1.3521766663887193E-4"/>
    <n v="1.3920564618100911E-4"/>
    <n v="1.7109810765492933E-4"/>
    <n v="2.0090743190075174E-4"/>
    <n v="2.3695933777763737E-4"/>
    <n v="3.9776456315506853E-4"/>
    <n v="1.1367209229206472E-3"/>
    <n v="4.6307963709677422E-3"/>
    <n v="3.0319679743425566E-4"/>
  </r>
  <r>
    <s v="Kansas, 2015"/>
    <s v="Kansas"/>
    <n v="2015"/>
    <x v="285"/>
    <n v="1377333"/>
    <n v="0.49762448081808908"/>
    <n v="1390490"/>
    <n v="0.50237804825176235"/>
    <x v="285"/>
    <n v="2.0319992369434964E-2"/>
    <x v="253"/>
    <x v="183"/>
    <n v="6.2900993835702601E-4"/>
    <n v="1.5570826499470593E-4"/>
    <n v="1.4935627445708993E-4"/>
    <n v="1.6230253191949794E-4"/>
    <n v="1.8041694355655922E-4"/>
    <n v="1.6539177175935497E-4"/>
    <n v="1.7508995246307791E-4"/>
    <n v="3.7500180289328313E-4"/>
    <n v="1.1673609244826659E-3"/>
    <n v="6.4009103516944636E-3"/>
    <n v="4.0356728915505945E-4"/>
  </r>
  <r>
    <s v="Kansas, 2009"/>
    <s v="Kansas"/>
    <n v="2009"/>
    <x v="286"/>
    <n v="1370683"/>
    <n v="0.4955849833754431"/>
    <n v="1395109"/>
    <n v="0.50441646286700215"/>
    <x v="286"/>
    <n v="2.080275133162773E-2"/>
    <x v="254"/>
    <x v="263"/>
    <n v="6.0531466273884712E-4"/>
    <n v="1.5827292583330696E-4"/>
    <n v="1.4245555386719345E-4"/>
    <n v="1.692901944297883E-4"/>
    <n v="1.659539864913455E-4"/>
    <n v="1.4967557818428557E-4"/>
    <n v="2.0479423299439887E-4"/>
    <n v="3.4390654912705052E-4"/>
    <n v="1.0907990700340774E-3"/>
    <n v="5.596496106785317E-3"/>
    <n v="3.8289268736432439E-4"/>
  </r>
  <r>
    <s v="Mississippi, 2011"/>
    <s v="Mississippi"/>
    <n v="2011"/>
    <x v="287"/>
    <n v="1337640"/>
    <n v="0.48584001755015521"/>
    <n v="1415615"/>
    <n v="0.51416107207040984"/>
    <x v="287"/>
    <n v="1.4698618215840759E-2"/>
    <x v="255"/>
    <x v="264"/>
    <n v="6.1729347675118442E-4"/>
    <n v="1.5491986769843299E-4"/>
    <n v="1.4851668956298965E-4"/>
    <n v="1.6877114913462594E-4"/>
    <n v="1.6779602714939718E-4"/>
    <n v="1.5464276233211595E-4"/>
    <n v="1.8887584246495565E-4"/>
    <n v="3.6163602098507612E-4"/>
    <n v="1.7969532255757402E-3"/>
    <n v="5.362129037040698E-3"/>
    <n v="3.7373985381650501E-4"/>
  </r>
  <r>
    <s v="Utah, 2013"/>
    <s v="Utah"/>
    <n v="2013"/>
    <x v="288"/>
    <n v="1384457"/>
    <n v="0.50287386173354298"/>
    <n v="1368634"/>
    <n v="0.49712650149468418"/>
    <x v="288"/>
    <n v="1.1636742714549833E-2"/>
    <x v="256"/>
    <x v="220"/>
    <n v="4.7874568630188906E-4"/>
    <n v="1.2702821720131431E-4"/>
    <n v="1.3654797613141378E-4"/>
    <n v="1.3860718262420358E-4"/>
    <n v="1.7527715700451339E-4"/>
    <n v="1.9827173140789451E-4"/>
    <n v="2.4016234974842993E-4"/>
    <n v="4.0729879439556859E-4"/>
    <n v="1.28517879454989E-3"/>
    <n v="5.5248618784530384E-3"/>
    <n v="3.2145698106491254E-4"/>
  </r>
  <r>
    <s v="Mississippi, 2015"/>
    <s v="Mississippi"/>
    <n v="2015"/>
    <x v="289"/>
    <n v="1337702"/>
    <n v="0.48693518133275965"/>
    <n v="1409488"/>
    <n v="0.5130659106933747"/>
    <x v="289"/>
    <n v="1.5804530234017559E-2"/>
    <x v="257"/>
    <x v="109"/>
    <n v="6.6239056755831795E-4"/>
    <n v="1.5738654397511194E-4"/>
    <n v="1.5012009607686148E-4"/>
    <n v="1.668571619265328E-4"/>
    <n v="1.7476406850751484E-4"/>
    <n v="1.6418159579038389E-4"/>
    <n v="2.3064708334935048E-4"/>
    <n v="6.4799709987311941E-4"/>
    <n v="1.8156666090264569E-3"/>
    <n v="6.6792574508268464E-3"/>
    <n v="4.3717446245923559E-4"/>
  </r>
  <r>
    <s v="Utah, 2012"/>
    <s v="Utah"/>
    <n v="2012"/>
    <x v="290"/>
    <n v="1379707"/>
    <n v="0.50242142080721308"/>
    <n v="1366411"/>
    <n v="0.49757967164521516"/>
    <x v="290"/>
    <n v="1.0988614824943602E-2"/>
    <x v="258"/>
    <x v="265"/>
    <n v="4.6356029760571108E-4"/>
    <n v="1.2678127694102135E-4"/>
    <n v="1.3375033716230827E-4"/>
    <n v="1.3655046222331462E-4"/>
    <n v="1.7987552613591394E-4"/>
    <n v="1.9789831984326454E-4"/>
    <n v="2.5154595954302483E-4"/>
    <n v="4.3705338607110859E-4"/>
    <n v="9.6931325996000054E-4"/>
    <n v="4.7388653234358433E-3"/>
    <n v="2.9933196534012593E-4"/>
  </r>
  <r>
    <s v="Kansas, 2016"/>
    <s v="Kansas"/>
    <n v="2016"/>
    <x v="291"/>
    <n v="1365043"/>
    <n v="0.4978491043192611"/>
    <n v="1376847"/>
    <n v="0.50215417809890361"/>
    <x v="291"/>
    <n v="2.0373240122383139E-2"/>
    <x v="183"/>
    <x v="247"/>
    <n v="6.3813155081920135E-4"/>
    <n v="1.5719357078295497E-4"/>
    <n v="1.5033035094620429E-4"/>
    <n v="1.631299193866315E-4"/>
    <n v="1.8133023863059405E-4"/>
    <n v="1.7122261508300017E-4"/>
    <n v="1.7589479146206682E-4"/>
    <n v="3.7317839344339733E-4"/>
    <n v="9.1657472630060253E-4"/>
    <n v="4.8692289790730568E-3"/>
    <n v="3.643484162879425E-4"/>
  </r>
  <r>
    <s v="Arkansas, 2015"/>
    <s v="Arkansas"/>
    <n v="2015"/>
    <x v="292"/>
    <n v="1346510"/>
    <n v="0.49144817185557627"/>
    <n v="1393376"/>
    <n v="0.50855328806131062"/>
    <x v="292"/>
    <n v="1.8238741668436816E-2"/>
    <x v="259"/>
    <x v="266"/>
    <n v="6.7240075084750513E-4"/>
    <n v="1.6298855820321413E-4"/>
    <n v="1.6221784234047903E-4"/>
    <n v="1.6660742846987738E-4"/>
    <n v="1.7621559390528998E-4"/>
    <n v="1.6611433649781144E-4"/>
    <n v="1.757170720850002E-4"/>
    <n v="4.3487444553508194E-4"/>
    <n v="1.4184287220189743E-3"/>
    <n v="5.363003281837829E-3"/>
    <n v="4.0001722701926582E-4"/>
  </r>
  <r>
    <s v="Mississippi, 2016"/>
    <s v="Mississippi"/>
    <n v="2016"/>
    <x v="293"/>
    <n v="1329287"/>
    <n v="0.48614422383113776"/>
    <n v="1405064"/>
    <n v="0.5138572390409849"/>
    <x v="293"/>
    <n v="1.6319801400480626E-2"/>
    <x v="241"/>
    <x v="267"/>
    <n v="6.8355425427079003E-4"/>
    <n v="1.5870412789436653E-4"/>
    <n v="1.517366256809181E-4"/>
    <n v="1.6742192557537335E-4"/>
    <n v="1.762523463593609E-4"/>
    <n v="1.6754581679981906E-4"/>
    <n v="2.6358873128886105E-4"/>
    <n v="6.4730904383206958E-4"/>
    <n v="1.7775936904053087E-3"/>
    <n v="5.8936894944424528E-3"/>
    <n v="4.3374158437096684E-4"/>
  </r>
  <r>
    <s v="Kansas, 2011"/>
    <s v="Kansas"/>
    <n v="2011"/>
    <x v="294"/>
    <n v="1355641"/>
    <n v="0.49583603231980677"/>
    <n v="1378415"/>
    <n v="0.5041657964683175"/>
    <x v="294"/>
    <n v="2.0167875434657218E-2"/>
    <x v="214"/>
    <x v="268"/>
    <n v="6.1571931408868413E-4"/>
    <n v="1.550736212016655E-4"/>
    <n v="1.5439365750854954E-4"/>
    <n v="1.6758325396404222E-4"/>
    <n v="1.7332724762108353E-4"/>
    <n v="1.5233800757119898E-4"/>
    <n v="1.9287581048022862E-4"/>
    <n v="3.3508695506483934E-4"/>
    <n v="1.0521083588766464E-3"/>
    <n v="6.7827348567283275E-3"/>
    <n v="4.0269914496840036E-4"/>
  </r>
  <r>
    <s v="Kansas, 2010"/>
    <s v="Kansas"/>
    <n v="2010"/>
    <x v="295"/>
    <n v="1350925"/>
    <n v="0.4951156384597567"/>
    <n v="1377581"/>
    <n v="0.50488509454265051"/>
    <x v="295"/>
    <n v="2.0549355984085051E-2"/>
    <x v="260"/>
    <x v="269"/>
    <n v="6.2130131560553584E-4"/>
    <n v="1.5647044403704178E-4"/>
    <n v="1.4953680973185557E-4"/>
    <n v="1.7091533708777357E-4"/>
    <n v="1.7254369669118705E-4"/>
    <n v="1.5140847736064741E-4"/>
    <n v="1.9934614464556255E-4"/>
    <n v="3.4055885708447563E-4"/>
    <n v="1.0040892343819588E-3"/>
    <n v="5.4040557170629043E-3"/>
    <n v="3.7639673608688131E-4"/>
  </r>
  <r>
    <s v="Iowa, 2016"/>
    <s v="Iowa"/>
    <n v="2016"/>
    <x v="296"/>
    <n v="1355303"/>
    <n v="0.49675040262606757"/>
    <n v="1373039"/>
    <n v="0.50325106346794279"/>
    <x v="296"/>
    <n v="2.2879863125463196E-2"/>
    <x v="261"/>
    <x v="270"/>
    <n v="6.8886337543053958E-4"/>
    <n v="1.6756874507766812E-4"/>
    <n v="1.5107984317912278E-4"/>
    <n v="1.7004489185144879E-4"/>
    <n v="1.8430405253894191E-4"/>
    <n v="1.6846834199073425E-4"/>
    <n v="1.7185723246841407E-4"/>
    <n v="2.6547028060208661E-4"/>
    <n v="7.6682316118935833E-4"/>
    <n v="4.7097270280661288E-3"/>
    <n v="3.6359131456586389E-4"/>
  </r>
  <r>
    <s v="Nevada, 2013"/>
    <s v="Nevada"/>
    <n v="2013"/>
    <x v="297"/>
    <n v="1374060"/>
    <n v="0.50430327342393755"/>
    <n v="1350610"/>
    <n v="0.4956967265760624"/>
    <x v="297"/>
    <n v="1.2274513977839518E-2"/>
    <x v="262"/>
    <x v="271"/>
    <n v="6.5782260717026639E-4"/>
    <n v="1.6367728295710291E-4"/>
    <n v="1.6645120482930428E-4"/>
    <n v="1.5375665958531829E-4"/>
    <n v="1.5730690577316344E-4"/>
    <n v="1.5989468270232674E-4"/>
    <n v="2.2662995054499845E-4"/>
    <n v="4.6850376932578049E-4"/>
    <n v="1.1807328617129708E-3"/>
    <n v="3.6478890084918072E-3"/>
    <n v="3.2701207852694087E-4"/>
  </r>
  <r>
    <s v="Kansas, 2014"/>
    <s v="Kansas"/>
    <n v="2014"/>
    <x v="298"/>
    <n v="1352370"/>
    <n v="0.49652746161776673"/>
    <n v="1371294"/>
    <n v="0.50347547561072326"/>
    <x v="298"/>
    <n v="2.0523149766343472E-2"/>
    <x v="178"/>
    <x v="179"/>
    <n v="6.2936952907424986E-4"/>
    <n v="1.5781541383146891E-4"/>
    <n v="1.5266165597186955E-4"/>
    <n v="1.6387353333187669E-4"/>
    <n v="1.8179779842866103E-4"/>
    <n v="1.6425620683141565E-4"/>
    <n v="2.0238940325333413E-4"/>
    <n v="3.6480411046885036E-4"/>
    <n v="1.1915096427173228E-3"/>
    <n v="5.4921464095316471E-3"/>
    <n v="3.9101854272345703E-4"/>
  </r>
  <r>
    <s v="Iowa, 2014"/>
    <s v="Iowa"/>
    <n v="2014"/>
    <x v="299"/>
    <n v="1346769"/>
    <n v="0.49596512697154177"/>
    <n v="1368688"/>
    <n v="0.50403708260616742"/>
    <x v="299"/>
    <n v="2.3044054192102894E-2"/>
    <x v="263"/>
    <x v="239"/>
    <n v="6.8707272664811575E-4"/>
    <n v="1.6757155305315369E-4"/>
    <n v="1.5274132492916622E-4"/>
    <n v="1.713213731979133E-4"/>
    <n v="1.8556261037109428E-4"/>
    <n v="1.6175079055698885E-4"/>
    <n v="1.745373306260654E-4"/>
    <n v="2.8713904229558094E-4"/>
    <n v="8.9614656975007471E-4"/>
    <n v="5.3216140631242512E-3"/>
    <n v="3.8667609910839859E-4"/>
  </r>
  <r>
    <s v="Kansas, 2017"/>
    <s v="Kansas"/>
    <n v="2017"/>
    <x v="300"/>
    <n v="1349283"/>
    <n v="0.49718828797856313"/>
    <n v="1364553"/>
    <n v="0.50281502837137371"/>
    <x v="300"/>
    <n v="2.1122201230955401E-2"/>
    <x v="264"/>
    <x v="235"/>
    <n v="6.5535451948860505E-4"/>
    <n v="1.6020848464134659E-4"/>
    <n v="1.5352768232051976E-4"/>
    <n v="1.6544148059095698E-4"/>
    <n v="1.8305295722052391E-4"/>
    <n v="1.7840682703458119E-4"/>
    <n v="1.7550479566854165E-4"/>
    <n v="3.5829289310172795E-4"/>
    <n v="1.0079883073356348E-3"/>
    <n v="4.9719130525801613E-3"/>
    <n v="3.7732692614525542E-4"/>
  </r>
  <r>
    <s v="Nevada, 2014"/>
    <s v="Nevada"/>
    <n v="2014"/>
    <x v="301"/>
    <n v="1363769"/>
    <n v="0.50320552675244989"/>
    <n v="1346394"/>
    <n v="0.49679447324755005"/>
    <x v="301"/>
    <n v="1.3088142668909583E-2"/>
    <x v="265"/>
    <x v="272"/>
    <n v="6.7702133181379658E-4"/>
    <n v="1.6518823199035301E-4"/>
    <n v="1.6820433462570332E-4"/>
    <n v="1.5413585020050506E-4"/>
    <n v="1.6013194872575002E-4"/>
    <n v="1.6185245530174691E-4"/>
    <n v="2.378290225536042E-4"/>
    <n v="7.1680005843974997E-4"/>
    <n v="1.7538936438894345E-3"/>
    <n v="4.8208395590764288E-3"/>
    <n v="3.9112038648597886E-4"/>
  </r>
  <r>
    <s v="Mississippi, 2014"/>
    <s v="Mississippi"/>
    <n v="2014"/>
    <x v="302"/>
    <n v="1305102"/>
    <n v="0.48615063233755362"/>
    <n v="1379469"/>
    <n v="0.51385234766328824"/>
    <x v="302"/>
    <n v="1.5987704516526525E-2"/>
    <x v="266"/>
    <x v="202"/>
    <n v="6.6859444732311497E-4"/>
    <n v="1.608458346290359E-4"/>
    <n v="1.5634486550432944E-4"/>
    <n v="1.7180851368454812E-4"/>
    <n v="1.7823405696360461E-4"/>
    <n v="1.8338529249954154E-4"/>
    <n v="3.3389589733004698E-4"/>
    <n v="5.564274504208874E-4"/>
    <n v="1.7115105601070346E-3"/>
    <n v="5.6150978564771664E-3"/>
    <n v="4.2912012122643423E-4"/>
  </r>
  <r>
    <s v="Kansas, 2013"/>
    <s v="Kansas"/>
    <n v="2013"/>
    <x v="303"/>
    <n v="1325647"/>
    <n v="0.49633174572211725"/>
    <n v="1345246"/>
    <n v="0.50366975190657493"/>
    <x v="303"/>
    <n v="2.0655669329575285E-2"/>
    <x v="267"/>
    <x v="273"/>
    <n v="6.3952589813418318E-4"/>
    <n v="1.6039521380682001E-4"/>
    <n v="1.562947719398786E-4"/>
    <n v="1.6897124672618209E-4"/>
    <n v="1.8444172563678507E-4"/>
    <n v="1.6281695032997569E-4"/>
    <n v="2.0587684821261464E-4"/>
    <n v="3.6562678108634168E-4"/>
    <n v="1.187627713642E-3"/>
    <n v="7.3048269861697695E-3"/>
    <n v="4.3169147051786875E-4"/>
  </r>
  <r>
    <s v="Nevada, 2012"/>
    <s v="Nevada"/>
    <n v="2012"/>
    <x v="304"/>
    <n v="1346506"/>
    <n v="0.50441251282097388"/>
    <n v="1322949"/>
    <n v="0.49558786178746667"/>
    <x v="304"/>
    <n v="1.2125700611435896E-2"/>
    <x v="268"/>
    <x v="274"/>
    <n v="6.5224480921839331E-4"/>
    <n v="1.6684045881126174E-4"/>
    <n v="1.6734907902223511E-4"/>
    <n v="1.5680125441003528E-4"/>
    <n v="1.5812610029411454E-4"/>
    <n v="1.6277454640159736E-4"/>
    <n v="1.9206822263267913E-4"/>
    <n v="4.0403428230885392E-4"/>
    <n v="1.6356211193065799E-3"/>
    <n v="4.2324446229417036E-3"/>
    <n v="3.4239211464217028E-4"/>
  </r>
  <r>
    <s v="Nevada, 2011"/>
    <s v="Nevada"/>
    <n v="2011"/>
    <x v="305"/>
    <n v="1347657"/>
    <n v="0.50524664223519822"/>
    <n v="1319668"/>
    <n v="0.49475335776480184"/>
    <x v="305"/>
    <n v="1.1109632309523587E-2"/>
    <x v="238"/>
    <x v="230"/>
    <n v="6.3485681333622546E-4"/>
    <n v="1.6567354580045173E-4"/>
    <n v="1.6803992628648567E-4"/>
    <n v="1.5581946756487933E-4"/>
    <n v="1.5563798604446057E-4"/>
    <n v="1.6263335935467083E-4"/>
    <n v="1.9554165037152912E-4"/>
    <n v="4.6067751003805822E-4"/>
    <n v="1.4364758459246647E-3"/>
    <n v="3.6108392670333748E-3"/>
    <n v="3.2616947691038777E-4"/>
  </r>
  <r>
    <s v="Iowa, 2017"/>
    <s v="Iowa"/>
    <n v="2017"/>
    <x v="306"/>
    <n v="1320190"/>
    <n v="0.49597528895794812"/>
    <n v="1341623"/>
    <n v="0.50402734083550793"/>
    <x v="306"/>
    <n v="2.2777016807385662E-2"/>
    <x v="200"/>
    <x v="240"/>
    <n v="7.0980297052543166E-4"/>
    <n v="1.7146090405619345E-4"/>
    <n v="1.5459933006956969E-4"/>
    <n v="1.7456525976765363E-4"/>
    <n v="1.8868933244859003E-4"/>
    <n v="1.7674922819503689E-4"/>
    <n v="1.7539038977590953E-4"/>
    <n v="3.3095925229685721E-4"/>
    <n v="7.722007722007722E-4"/>
    <n v="5.3935475357920429E-3"/>
    <n v="3.8996080105011411E-4"/>
  </r>
  <r>
    <s v="Utah, 2010"/>
    <s v="Utah"/>
    <n v="2010"/>
    <x v="307"/>
    <n v="1333785"/>
    <n v="0.50225845626653365"/>
    <n v="1321790"/>
    <n v="0.49774154373346641"/>
    <x v="307"/>
    <n v="1.0750967304632706E-2"/>
    <x v="269"/>
    <x v="275"/>
    <n v="4.70604844876878E-4"/>
    <n v="1.3316584029864659E-4"/>
    <n v="1.3400933598374019E-4"/>
    <n v="1.4122963939365408E-4"/>
    <n v="1.8789928598271326E-4"/>
    <n v="1.9955432866597931E-4"/>
    <n v="2.6922852565972207E-4"/>
    <n v="4.6972982706113535E-4"/>
    <n v="1.0233216261970337E-3"/>
    <n v="5.3239929947460594E-3"/>
    <n v="3.1367971155022925E-4"/>
  </r>
  <r>
    <s v="Utah, 2011"/>
    <s v="Utah"/>
    <n v="2011"/>
    <x v="308"/>
    <n v="1323745"/>
    <n v="0.50234676041564674"/>
    <n v="1311379"/>
    <n v="0.49765399856249543"/>
    <x v="308"/>
    <n v="1.1131552922407388E-2"/>
    <x v="270"/>
    <x v="276"/>
    <n v="4.79925131679458E-4"/>
    <n v="1.3393215889711331E-4"/>
    <n v="1.3654859764590218E-4"/>
    <n v="1.4172804278297184E-4"/>
    <n v="1.8887703160857123E-4"/>
    <n v="2.0335122824141857E-4"/>
    <n v="2.6591147806895082E-4"/>
    <n v="4.5922116091109478E-4"/>
    <n v="1.0346016783538338E-3"/>
    <n v="5.284150956260867E-3"/>
    <n v="3.1725286343478593E-4"/>
  </r>
  <r>
    <s v="Nevada, 2010"/>
    <s v="Nevada"/>
    <n v="2010"/>
    <x v="309"/>
    <n v="1331625"/>
    <n v="0.50568082781845503"/>
    <n v="1301706"/>
    <n v="0.49431917218154497"/>
    <x v="309"/>
    <n v="1.0889250155031782E-2"/>
    <x v="271"/>
    <x v="277"/>
    <n v="6.3510545396808595E-4"/>
    <n v="1.6742753178332646E-4"/>
    <n v="1.7004440993172718E-4"/>
    <n v="1.575431668277108E-4"/>
    <n v="1.5571755949059596E-4"/>
    <n v="1.6429578718219035E-4"/>
    <n v="2.0008403529482382E-4"/>
    <n v="3.9206591124953062E-4"/>
    <n v="1.53200921378591E-3"/>
    <n v="4.0453356582388841E-3"/>
    <n v="3.2962054523339449E-4"/>
  </r>
  <r>
    <s v="Utah, 2009"/>
    <s v="Utah"/>
    <n v="2009"/>
    <x v="310"/>
    <n v="1324265"/>
    <n v="0.50308667770905835"/>
    <n v="1308015"/>
    <n v="0.49691332229094171"/>
    <x v="310"/>
    <n v="1.112495631163858E-2"/>
    <x v="272"/>
    <x v="278"/>
    <n v="4.6480100706884864E-4"/>
    <n v="1.3678424792600883E-4"/>
    <n v="1.2953116195928835E-4"/>
    <n v="1.4522394742893103E-4"/>
    <n v="1.8863653512412283E-4"/>
    <n v="1.9999000049997499E-4"/>
    <n v="2.8402904670384293E-4"/>
    <n v="4.8620002268933441E-4"/>
    <n v="9.0833396412080846E-4"/>
    <n v="4.0295041660975278E-3"/>
    <n v="3.0012004801920766E-4"/>
  </r>
  <r>
    <s v="Arkansas, 2016"/>
    <s v="Arkansas"/>
    <n v="2016"/>
    <x v="311"/>
    <n v="1289217"/>
    <n v="0.49087671282948692"/>
    <n v="1337146"/>
    <n v="0.50912595246036718"/>
    <x v="311"/>
    <n v="1.8074092011897854E-2"/>
    <x v="273"/>
    <x v="279"/>
    <n v="7.050611640559819E-4"/>
    <n v="1.6999719504628174E-4"/>
    <n v="1.6329463250542954E-4"/>
    <n v="1.7264398508355969E-4"/>
    <n v="1.8352440262806943E-4"/>
    <n v="1.7639276789651625E-4"/>
    <n v="1.8573091305316858E-4"/>
    <n v="4.9056849508346179E-4"/>
    <n v="1.4021754461655894E-3"/>
    <n v="5.0348648591712489E-3"/>
    <n v="4.0398179073971696E-4"/>
  </r>
  <r>
    <s v="Arkansas, 2014"/>
    <s v="Arkansas"/>
    <n v="2014"/>
    <x v="312"/>
    <n v="1280674"/>
    <n v="0.49171228929410765"/>
    <n v="1323849"/>
    <n v="0.50828924649810581"/>
    <x v="312"/>
    <n v="1.7099126556573401E-2"/>
    <x v="186"/>
    <x v="127"/>
    <n v="6.9007953166602448E-4"/>
    <n v="1.6883478671945567E-4"/>
    <n v="1.6527605232639816E-4"/>
    <n v="1.749515967249061E-4"/>
    <n v="1.8363055979776153E-4"/>
    <n v="1.8662394413914682E-4"/>
    <n v="2.6227228919469767E-4"/>
    <n v="4.3975373790677223E-4"/>
    <n v="1.5265751286987644E-3"/>
    <n v="5.8381048613450094E-3"/>
    <n v="4.2349470286068177E-4"/>
  </r>
  <r>
    <s v="Nevada, 2009"/>
    <s v="Nevada"/>
    <n v="2009"/>
    <x v="313"/>
    <n v="1289477"/>
    <n v="0.50868728724598222"/>
    <n v="1245434"/>
    <n v="0.49131271275401778"/>
    <x v="313"/>
    <n v="1.1165678006052284E-2"/>
    <x v="274"/>
    <x v="280"/>
    <n v="6.1485804464894169E-4"/>
    <n v="1.6868526702877771E-4"/>
    <n v="1.8293184873975201E-4"/>
    <n v="1.592614515619567E-4"/>
    <n v="1.6180095246827353E-4"/>
    <n v="1.732656827101063E-4"/>
    <n v="2.3375745326649068E-4"/>
    <n v="4.8694381885689938E-4"/>
    <n v="1.3265112753458404E-3"/>
    <n v="5.2996042962125496E-3"/>
    <n v="3.5543654195354394E-4"/>
  </r>
  <r>
    <s v="Mississippi, 2017"/>
    <s v="Mississippi"/>
    <n v="2017"/>
    <x v="314"/>
    <n v="1145340"/>
    <n v="0.48535427972346834"/>
    <n v="1214467"/>
    <n v="0.51464783909836498"/>
    <x v="314"/>
    <n v="1.6517911248486103E-2"/>
    <x v="236"/>
    <x v="281"/>
    <n v="8.0938345215532067E-4"/>
    <n v="1.8747597964010861E-4"/>
    <n v="1.7916812240766124E-4"/>
    <n v="1.9690530495709106E-4"/>
    <n v="2.0583825915722955E-4"/>
    <n v="1.9566408390075919E-4"/>
    <n v="3.1107389990700876E-4"/>
    <n v="7.5352854230869551E-4"/>
    <n v="2.0071766031376334E-3"/>
    <n v="5.6184099130300929E-3"/>
    <n v="4.9199042970554305E-4"/>
  </r>
  <r>
    <s v="New Mexico, 2017"/>
    <s v="New Mexico"/>
    <n v="2017"/>
    <x v="315"/>
    <n v="1001174"/>
    <n v="0.49497032424562282"/>
    <n v="1021521"/>
    <n v="0.50502967575437718"/>
    <x v="315"/>
    <n v="1.7351108298581844E-2"/>
    <x v="275"/>
    <x v="282"/>
    <n v="9.2807424593967518E-4"/>
    <n v="2.1697308087309966E-4"/>
    <n v="2.1348362580590069E-4"/>
    <n v="2.1929503954620547E-4"/>
    <n v="2.5075435267763856E-4"/>
    <n v="2.3874705545298274E-4"/>
    <n v="2.2978821186473133E-4"/>
    <n v="3.5960247580856073E-4"/>
    <n v="1.0338110628665949E-3"/>
    <n v="2.8208342831091862E-3"/>
    <n v="3.9551192839256538E-4"/>
  </r>
  <r>
    <s v="New Mexico, 2013"/>
    <s v="New Mexico"/>
    <n v="2013"/>
    <x v="316"/>
    <n v="996695"/>
    <n v="0.4954328684349969"/>
    <n v="1015072"/>
    <n v="0.5045676286407067"/>
    <x v="316"/>
    <n v="1.6039141729207076E-2"/>
    <x v="276"/>
    <x v="283"/>
    <n v="8.6580711260543009E-4"/>
    <n v="2.1563419814626467E-4"/>
    <n v="2.099421609346625E-4"/>
    <n v="2.2586279588026261E-4"/>
    <n v="2.4626801347906927E-4"/>
    <n v="2.1805336492684309E-4"/>
    <n v="2.3755884530563925E-4"/>
    <n v="3.8621222361687749E-4"/>
    <n v="1.0038144950813091E-3"/>
    <n v="4.3697895682895836E-3"/>
    <n v="4.1058453120293312E-4"/>
  </r>
  <r>
    <s v="New Mexico, 2011"/>
    <s v="New Mexico"/>
    <n v="2011"/>
    <x v="317"/>
    <n v="989097"/>
    <n v="0.49331668822949098"/>
    <n v="1015899"/>
    <n v="0.50668430927972852"/>
    <x v="317"/>
    <n v="1.5280843733198204E-2"/>
    <x v="277"/>
    <x v="284"/>
    <n v="8.42963014997717E-4"/>
    <n v="2.1586771626347376E-4"/>
    <n v="2.0721595010239922E-4"/>
    <n v="2.325455207856938E-4"/>
    <n v="2.4240367483971056E-4"/>
    <n v="2.1060612442609831E-4"/>
    <n v="2.4548110204649412E-4"/>
    <n v="4.1096734864415021E-4"/>
    <n v="8.9892008114575872E-4"/>
    <n v="4.9937985508192442E-3"/>
    <n v="4.1247006225455038E-4"/>
  </r>
  <r>
    <s v="New Mexico, 2012"/>
    <s v="New Mexico"/>
    <n v="2012"/>
    <x v="318"/>
    <n v="989025"/>
    <n v="0.49435455372008641"/>
    <n v="1011615"/>
    <n v="0.50564594612021463"/>
    <x v="318"/>
    <n v="1.5797952554158945E-2"/>
    <x v="272"/>
    <x v="285"/>
    <n v="8.5321198762842619E-4"/>
    <n v="2.1630975556997619E-4"/>
    <n v="2.0928967085711097E-4"/>
    <n v="2.283200590587886E-4"/>
    <n v="2.4533154513895985E-4"/>
    <n v="2.1476510067114095E-4"/>
    <n v="2.421884145135444E-4"/>
    <n v="4.0384460059769001E-4"/>
    <n v="7.8612548981665136E-4"/>
    <n v="3.7334683287983295E-3"/>
    <n v="3.9137495570165334E-4"/>
  </r>
  <r>
    <s v="New Mexico, 2016"/>
    <s v="New Mexico"/>
    <n v="2016"/>
    <x v="319"/>
    <n v="983056"/>
    <n v="0.49478791014599688"/>
    <n v="1003768"/>
    <n v="0.50521259317010125"/>
    <x v="319"/>
    <n v="1.6928533643912919E-2"/>
    <x v="278"/>
    <x v="249"/>
    <n v="9.4880411148448314E-4"/>
    <n v="2.2225761880595798E-4"/>
    <n v="2.1660884413910619E-4"/>
    <n v="2.2618293675925088E-4"/>
    <n v="2.5439898240407039E-4"/>
    <n v="2.3625953897888626E-4"/>
    <n v="2.3231322017098254E-4"/>
    <n v="3.3792536355137031E-4"/>
    <n v="9.3052456921196897E-4"/>
    <n v="3.300231908188143E-3"/>
    <n v="3.9963298190125645E-4"/>
  </r>
  <r>
    <s v="New Mexico, 2014"/>
    <s v="New Mexico"/>
    <n v="2014"/>
    <x v="320"/>
    <n v="981070"/>
    <n v="0.49460460670396017"/>
    <n v="1002475"/>
    <n v="0.50539589744417068"/>
    <x v="320"/>
    <n v="1.6035943745134972E-2"/>
    <x v="262"/>
    <x v="286"/>
    <n v="8.9753850066193468E-4"/>
    <n v="2.1888703240257703E-4"/>
    <n v="2.1292451825827744E-4"/>
    <n v="2.2875443211712226E-4"/>
    <n v="2.5387798623981313E-4"/>
    <n v="2.2660321776569228E-4"/>
    <n v="2.3709417380583567E-4"/>
    <n v="4.0373673880096401E-4"/>
    <n v="8.3095779426869943E-4"/>
    <n v="3.8355130784708249E-3"/>
    <n v="4.0281435652549173E-4"/>
  </r>
  <r>
    <s v="New Mexico, 2010"/>
    <s v="New Mexico"/>
    <n v="2010"/>
    <x v="321"/>
    <n v="977507"/>
    <n v="0.49295321491446376"/>
    <n v="1005454"/>
    <n v="0.50704678508553624"/>
    <x v="321"/>
    <n v="1.4978610270196943E-2"/>
    <x v="279"/>
    <x v="287"/>
    <n v="8.4836230726268835E-4"/>
    <n v="2.1863897239682973E-4"/>
    <n v="2.0510786964711192E-4"/>
    <n v="2.3608662805338706E-4"/>
    <n v="2.39204882969011E-4"/>
    <n v="2.1227816931306784E-4"/>
    <n v="2.5664057487488769E-4"/>
    <n v="4.2599113938430078E-4"/>
    <n v="8.9058058534323956E-4"/>
    <n v="4.3431418759679484E-3"/>
    <n v="4.0444567492754524E-4"/>
  </r>
  <r>
    <s v="New Mexico, 2009"/>
    <s v="New Mexico"/>
    <n v="2009"/>
    <x v="322"/>
    <n v="971454"/>
    <n v="0.49441385136854532"/>
    <n v="993406"/>
    <n v="0.50558614863145468"/>
    <x v="322"/>
    <n v="1.5824537117148294E-2"/>
    <x v="280"/>
    <x v="288"/>
    <n v="8.2357059029422054E-4"/>
    <n v="2.2088464299519576E-4"/>
    <n v="2.0757726198672197E-4"/>
    <n v="2.2809265123493162E-4"/>
    <n v="2.359028394838446E-4"/>
    <n v="2.1765785636032532E-4"/>
    <n v="2.7517886626307099E-4"/>
    <n v="4.5234882125436327E-4"/>
    <n v="7.0575780744574492E-4"/>
    <n v="4.24532853053742E-3"/>
    <n v="4.0308215343586821E-4"/>
  </r>
  <r>
    <s v="New Mexico, 2015"/>
    <s v="New Mexico"/>
    <n v="2015"/>
    <x v="323"/>
    <n v="960332"/>
    <n v="0.49532901170635496"/>
    <n v="978444"/>
    <n v="0.5046709882936451"/>
    <x v="323"/>
    <n v="1.6476374784915843E-2"/>
    <x v="281"/>
    <x v="289"/>
    <n v="9.3169148589263809E-4"/>
    <n v="2.252742714254605E-4"/>
    <n v="2.201091741503786E-4"/>
    <n v="2.30118702897578E-4"/>
    <n v="2.6177553620355666E-4"/>
    <n v="2.3763882067774593E-4"/>
    <n v="2.4183212014219728E-4"/>
    <n v="4.0334655413705228E-4"/>
    <n v="9.3548651145386301E-4"/>
    <n v="3.412221387427999E-3"/>
    <n v="4.1005252798672975E-4"/>
  </r>
  <r>
    <s v="Nebraska, 2016"/>
    <s v="Nebraska"/>
    <n v="2016"/>
    <x v="324"/>
    <n v="895157"/>
    <n v="0.49867137136757944"/>
    <n v="899936"/>
    <n v="0.50133364232537303"/>
    <x v="324"/>
    <n v="2.0625218652720431E-2"/>
    <x v="282"/>
    <x v="290"/>
    <n v="9.5987713572662703E-4"/>
    <n v="2.3930601256356567E-4"/>
    <n v="2.3701643708991219E-4"/>
    <n v="2.44821015435965E-4"/>
    <n v="2.7485993595763493E-4"/>
    <n v="2.6340396949782035E-4"/>
    <n v="2.7064331916966627E-4"/>
    <n v="4.3134435657800146E-4"/>
    <n v="8.8400338227381044E-4"/>
    <n v="4.807692307692308E-3"/>
    <n v="4.71844214532579E-4"/>
  </r>
  <r>
    <s v="West Virginia, 2010"/>
    <s v="West Virginia"/>
    <n v="2010"/>
    <x v="325"/>
    <n v="871083"/>
    <n v="0.49133671464122863"/>
    <n v="901801"/>
    <n v="0.50866328535877137"/>
    <x v="325"/>
    <n v="1.9177791666008605E-2"/>
    <x v="217"/>
    <x v="291"/>
    <n v="1.1941605548866044E-3"/>
    <n v="2.8862388939932557E-4"/>
    <n v="2.5835676485659045E-4"/>
    <n v="2.8256170441220101E-4"/>
    <n v="2.5700334104343357E-4"/>
    <n v="2.2339962096530976E-4"/>
    <n v="2.5102291839244922E-4"/>
    <n v="3.9969090569959233E-4"/>
    <n v="1.2901466361786487E-3"/>
    <n v="5.4705882352941177E-3"/>
    <n v="5.127239007177006E-4"/>
  </r>
  <r>
    <s v="West Virginia, 2009"/>
    <s v="West Virginia"/>
    <n v="2009"/>
    <x v="326"/>
    <n v="866678"/>
    <n v="0.48911332626385701"/>
    <n v="905259"/>
    <n v="0.51088667373614294"/>
    <x v="326"/>
    <n v="1.9798672300426031E-2"/>
    <x v="283"/>
    <x v="292"/>
    <n v="1.1641217671368425E-3"/>
    <n v="2.8961722257083556E-4"/>
    <n v="2.5442163601592678E-4"/>
    <n v="2.7611088613187056E-4"/>
    <n v="2.535550531409132E-4"/>
    <n v="2.4197391148966584E-4"/>
    <n v="2.6278331325960803E-4"/>
    <n v="4.5182502554549182E-4"/>
    <n v="1.2289706596164372E-3"/>
    <n v="4.9598084487771504E-3"/>
    <n v="5.0961179771064091E-4"/>
  </r>
  <r>
    <s v="Nebraska, 2011"/>
    <s v="Nebraska"/>
    <n v="2011"/>
    <x v="327"/>
    <n v="861857"/>
    <n v="0.49562974110838209"/>
    <n v="877059"/>
    <n v="0.50437198410731299"/>
    <x v="327"/>
    <n v="2.0578947882959067E-2"/>
    <x v="284"/>
    <x v="293"/>
    <n v="9.5910228026567133E-4"/>
    <n v="2.5210189958781338E-4"/>
    <n v="2.3942537909018357E-4"/>
    <n v="2.5846471956577927E-4"/>
    <n v="2.7601562248423262E-4"/>
    <n v="2.4190329512605176E-4"/>
    <n v="3.0167732593218291E-4"/>
    <n v="5.2113642483041353E-4"/>
    <n v="7.4704915583445391E-4"/>
    <n v="5.421265893530809E-3"/>
    <n v="4.9111140120293537E-4"/>
  </r>
  <r>
    <s v="Nebraska, 2009"/>
    <s v="Nebraska"/>
    <n v="2009"/>
    <x v="328"/>
    <n v="859996"/>
    <n v="0.49520598073409444"/>
    <n v="876648"/>
    <n v="0.50479459508949165"/>
    <x v="328"/>
    <n v="2.0825811637740169E-2"/>
    <x v="285"/>
    <x v="282"/>
    <n v="9.3528600266556516E-4"/>
    <n v="2.5641135218526577E-4"/>
    <n v="2.2465767786335571E-4"/>
    <n v="2.7251545389719807E-4"/>
    <n v="2.6737372161939353E-4"/>
    <n v="2.4110328864885718E-4"/>
    <n v="3.2691490405047568E-4"/>
    <n v="5.3422132789614739E-4"/>
    <n v="7.815036129513183E-4"/>
    <n v="3.7326844913871762E-3"/>
    <n v="4.6065886886366398E-4"/>
  </r>
  <r>
    <s v="Nebraska, 2010"/>
    <s v="Nebraska"/>
    <n v="2010"/>
    <x v="329"/>
    <n v="859343"/>
    <n v="0.49491004755920714"/>
    <n v="877021"/>
    <n v="0.50509110427433912"/>
    <x v="329"/>
    <n v="2.0625307395577649E-2"/>
    <x v="286"/>
    <x v="294"/>
    <n v="9.5655639697090472E-4"/>
    <n v="2.5259010099394207E-4"/>
    <n v="2.3701643708991219E-4"/>
    <n v="2.6268092148467258E-4"/>
    <n v="2.7365022028842732E-4"/>
    <n v="2.4072313228939735E-4"/>
    <n v="3.1234545407220383E-4"/>
    <n v="5.2697682180278768E-4"/>
    <n v="7.3251129288243199E-4"/>
    <n v="4.1605003769580881E-3"/>
    <n v="4.659166694502644E-4"/>
  </r>
  <r>
    <s v="Nebraska, 2013"/>
    <s v="Nebraska"/>
    <n v="2013"/>
    <x v="330"/>
    <n v="857298"/>
    <n v="0.49702727945776187"/>
    <n v="867555"/>
    <n v="0.50297388006268362"/>
    <x v="330"/>
    <n v="2.0399443198282054E-2"/>
    <x v="287"/>
    <x v="295"/>
    <n v="9.7425530360230903E-4"/>
    <n v="2.5043304046580545E-4"/>
    <n v="2.4450475561749678E-4"/>
    <n v="2.5346936189088145E-4"/>
    <n v="2.8551714292512312E-4"/>
    <n v="2.5375128990239032E-4"/>
    <n v="2.9314480864972613E-4"/>
    <n v="5.0612410162971955E-4"/>
    <n v="8.6989758932925619E-4"/>
    <n v="5.8830216563405899E-3"/>
    <n v="5.0613067447565039E-4"/>
  </r>
  <r>
    <s v="West Virginia, 2011"/>
    <s v="West Virginia"/>
    <n v="2011"/>
    <x v="331"/>
    <n v="843577"/>
    <n v="0.49174944810753496"/>
    <n v="871884"/>
    <n v="0.50825055189246504"/>
    <x v="331"/>
    <n v="1.9855887134711894E-2"/>
    <x v="288"/>
    <x v="296"/>
    <n v="1.2383261957587327E-3"/>
    <n v="3.0113679138748774E-4"/>
    <n v="2.666536302669647E-4"/>
    <n v="2.9316629369399304E-4"/>
    <n v="2.7082045055495626E-4"/>
    <n v="2.3470780833760371E-4"/>
    <n v="2.5248274701228748E-4"/>
    <n v="4.5836001482929458E-4"/>
    <n v="1.2607736367885051E-3"/>
    <n v="4.8147495743056778E-3"/>
    <n v="5.1764511113922148E-4"/>
  </r>
  <r>
    <s v="West Virginia, 2013"/>
    <s v="West Virginia"/>
    <n v="2013"/>
    <x v="332"/>
    <n v="844738"/>
    <n v="0.49386597757328438"/>
    <n v="865722"/>
    <n v="0.50613402242671557"/>
    <x v="332"/>
    <n v="1.9643253861534322E-2"/>
    <x v="289"/>
    <x v="297"/>
    <n v="1.2522436031222608E-3"/>
    <n v="3.0179872037342561E-4"/>
    <n v="2.7104800711952765E-4"/>
    <n v="2.9388138947120942E-4"/>
    <n v="2.7529376138454408E-4"/>
    <n v="2.4088839640594513E-4"/>
    <n v="2.4385485758876316E-4"/>
    <n v="5.3241221691252853E-4"/>
    <n v="1.3795423956931359E-3"/>
    <n v="5.9227953212893239E-3"/>
    <n v="5.5189831975024266E-4"/>
  </r>
  <r>
    <s v="Nebraska, 2017"/>
    <s v="Nebraska"/>
    <n v="2017"/>
    <x v="333"/>
    <n v="848480"/>
    <n v="0.49744295979968139"/>
    <n v="857207"/>
    <n v="0.50255938530195821"/>
    <x v="333"/>
    <n v="1.9998440507409641E-2"/>
    <x v="290"/>
    <x v="298"/>
    <n v="1.0029168164077192E-3"/>
    <n v="2.5140051034303599E-4"/>
    <n v="2.4807740014884643E-4"/>
    <n v="2.5580899594969088E-4"/>
    <n v="2.8677535452603203E-4"/>
    <n v="2.8567347521782604E-4"/>
    <n v="2.8547910530848399E-4"/>
    <n v="4.4386905862770485E-4"/>
    <n v="1.0786740606546722E-3"/>
    <n v="6.3029521268798917E-3"/>
    <n v="5.2354394104883501E-4"/>
  </r>
  <r>
    <s v="Nebraska, 2012"/>
    <s v="Nebraska"/>
    <n v="2012"/>
    <x v="334"/>
    <n v="847424"/>
    <n v="0.4970391989414315"/>
    <n v="857523"/>
    <n v="0.50296256064715317"/>
    <x v="334"/>
    <n v="2.0068107808819527E-2"/>
    <x v="291"/>
    <x v="299"/>
    <n v="9.7973579791316265E-4"/>
    <n v="2.5615738309617427E-4"/>
    <n v="2.440631635467259E-4"/>
    <n v="2.5814445763849451E-4"/>
    <n v="2.8565987430965528E-4"/>
    <n v="2.5264328032035166E-4"/>
    <n v="3.0279938027060171E-4"/>
    <n v="5.2479205114973196E-4"/>
    <n v="9.2947752889889642E-4"/>
    <n v="4.588630717521555E-3"/>
    <n v="4.8564644938484781E-4"/>
  </r>
  <r>
    <s v="West Virginia, 2016"/>
    <s v="West Virginia"/>
    <n v="2016"/>
    <x v="335"/>
    <n v="832920"/>
    <n v="0.49430837953948348"/>
    <n v="852103"/>
    <n v="0.50569280738934408"/>
    <x v="335"/>
    <n v="2.0545738005639098E-2"/>
    <x v="292"/>
    <x v="300"/>
    <n v="1.2646221941195069E-3"/>
    <n v="3.0574338957313127E-4"/>
    <n v="2.7624309392265195E-4"/>
    <n v="2.9561164512807372E-4"/>
    <n v="2.8798940199000676E-4"/>
    <n v="2.6179266893262766E-4"/>
    <n v="2.4727176815799015E-4"/>
    <n v="3.99009517550551E-4"/>
    <n v="1.0264161158609489E-3"/>
    <n v="4.5638359329867127E-3"/>
    <n v="5.0859900262370614E-4"/>
  </r>
  <r>
    <s v="Nebraska, 2014"/>
    <s v="Nebraska"/>
    <n v="2014"/>
    <x v="336"/>
    <n v="830346"/>
    <n v="0.49783949747556655"/>
    <n v="837558"/>
    <n v="0.50216350030787238"/>
    <x v="336"/>
    <n v="2.0560597494212778E-2"/>
    <x v="293"/>
    <x v="290"/>
    <n v="1.0151768945738794E-3"/>
    <n v="2.592016588906169E-4"/>
    <n v="2.5589627670917389E-4"/>
    <n v="2.6164996467725477E-4"/>
    <n v="2.9604484092523881E-4"/>
    <n v="2.6663704032885236E-4"/>
    <n v="2.9545152379123398E-4"/>
    <n v="5.052333757167998E-4"/>
    <n v="1.0997067448680353E-3"/>
    <n v="4.8406380310850611E-3"/>
    <n v="5.0782451455393877E-4"/>
  </r>
  <r>
    <s v="West Virginia, 2012"/>
    <s v="West Virginia"/>
    <n v="2012"/>
    <x v="337"/>
    <n v="821652"/>
    <n v="0.49352025371197922"/>
    <n v="843231"/>
    <n v="0.50648154821969149"/>
    <x v="337"/>
    <n v="1.9590000480515114E-2"/>
    <x v="215"/>
    <x v="298"/>
    <n v="1.2562156503533107E-3"/>
    <n v="3.055627702320749E-4"/>
    <n v="2.7423431493982844E-4"/>
    <n v="2.9945798105429172E-4"/>
    <n v="2.8068337044591233E-4"/>
    <n v="2.4629834118067214E-4"/>
    <n v="2.5902150310178252E-4"/>
    <n v="4.1110532518431225E-4"/>
    <n v="1.3661676681370335E-3"/>
    <n v="5.3656293116664108E-3"/>
    <n v="5.3637499399356112E-4"/>
  </r>
  <r>
    <s v="Nebraska, 2015"/>
    <s v="Nebraska"/>
    <n v="2015"/>
    <x v="338"/>
    <n v="819633"/>
    <n v="0.49685176215846605"/>
    <n v="830024"/>
    <n v="0.50315066259389096"/>
    <x v="338"/>
    <n v="1.9829018587545381E-2"/>
    <x v="294"/>
    <x v="295"/>
    <n v="1.0484286675345325E-3"/>
    <n v="2.6365282196403776E-4"/>
    <n v="2.5269328930854691E-4"/>
    <n v="2.6399968320038017E-4"/>
    <n v="2.9710177221207122E-4"/>
    <n v="2.8012643039558523E-4"/>
    <n v="2.986188876446435E-4"/>
    <n v="4.8904936953385444E-4"/>
    <n v="1.0699306684926818E-3"/>
    <n v="6.0530096909296571E-3"/>
    <n v="5.2920220191761543E-4"/>
  </r>
  <r>
    <s v="West Virginia, 2014"/>
    <s v="West Virginia"/>
    <n v="2014"/>
    <x v="339"/>
    <n v="812969"/>
    <n v="0.49345315051198474"/>
    <n v="834543"/>
    <n v="0.50654806344119307"/>
    <x v="339"/>
    <n v="2.0549799394237366E-2"/>
    <x v="295"/>
    <x v="226"/>
    <n v="1.2937865899019956E-3"/>
    <n v="3.1417889346193722E-4"/>
    <n v="2.8072145413713241E-4"/>
    <n v="3.0431364593107296E-4"/>
    <n v="2.9191824343062321E-4"/>
    <n v="2.5888850535036245E-4"/>
    <n v="3.0468844562980769E-4"/>
    <n v="4.9686074348434886E-4"/>
    <n v="1.0555663916839726E-3"/>
    <n v="5.434782608695652E-3"/>
    <n v="5.4992078955514681E-4"/>
  </r>
  <r>
    <s v="West Virginia, 2017"/>
    <s v="West Virginia"/>
    <n v="2017"/>
    <x v="340"/>
    <n v="770112"/>
    <n v="0.4949662186481289"/>
    <n v="785779"/>
    <n v="0.50503570951122445"/>
    <x v="340"/>
    <n v="2.1137125551453573E-2"/>
    <x v="296"/>
    <x v="274"/>
    <n v="1.4001680201624195E-3"/>
    <n v="3.3153384131685241E-4"/>
    <n v="3.0124716325587934E-4"/>
    <n v="3.1932558436581937E-4"/>
    <n v="3.1808976493166372E-4"/>
    <n v="2.8834370569719105E-4"/>
    <n v="2.665339919684424E-4"/>
    <n v="4.7907722356322897E-4"/>
    <n v="1.4882006944936575E-3"/>
    <n v="5.1692157995560555E-3"/>
    <n v="5.8744588299414863E-4"/>
  </r>
  <r>
    <s v="Idaho, 2013"/>
    <s v="Idaho"/>
    <n v="2013"/>
    <x v="341"/>
    <n v="775924"/>
    <n v="0.50022112455049828"/>
    <n v="775241"/>
    <n v="0.49978080948347109"/>
    <x v="341"/>
    <n v="1.584231692112107E-2"/>
    <x v="297"/>
    <x v="301"/>
    <n v="1.0401678137406168E-3"/>
    <n v="2.5557145777959517E-4"/>
    <n v="2.7176374671618808E-4"/>
    <n v="2.908329455560726E-4"/>
    <n v="3.1510619078629497E-4"/>
    <n v="2.9773719730051605E-4"/>
    <n v="3.2760211630967134E-4"/>
    <n v="5.251273433807698E-4"/>
    <n v="1.1018468268455934E-3"/>
    <n v="4.8425164808334016E-3"/>
    <n v="5.0671689997563117E-4"/>
  </r>
  <r>
    <s v="Idaho, 2012"/>
    <s v="Idaho"/>
    <n v="2012"/>
    <x v="342"/>
    <n v="769619"/>
    <n v="0.5009033741153377"/>
    <n v="766846"/>
    <n v="0.49909857842237554"/>
    <x v="342"/>
    <n v="1.5625508473362831E-2"/>
    <x v="298"/>
    <x v="302"/>
    <n v="1.0164839819065852E-3"/>
    <n v="2.5785268875891203E-4"/>
    <n v="2.6887502688750271E-4"/>
    <n v="2.923791377739227E-4"/>
    <n v="3.1816735602927139E-4"/>
    <n v="2.9639875512522848E-4"/>
    <n v="3.4025178632187818E-4"/>
    <n v="5.548619780829519E-4"/>
    <n v="1.009421265141319E-3"/>
    <n v="3.7904031989336889E-3"/>
    <n v="4.8878527422090493E-4"/>
  </r>
  <r>
    <s v="West Virginia, 2015"/>
    <s v="West Virginia"/>
    <n v="2015"/>
    <x v="343"/>
    <n v="757361"/>
    <n v="0.49375022410269281"/>
    <n v="776536"/>
    <n v="0.50625107976751993"/>
    <x v="343"/>
    <n v="2.1348266993503468E-2"/>
    <x v="299"/>
    <x v="303"/>
    <n v="1.3817243920412675E-3"/>
    <n v="3.3738191632928474E-4"/>
    <n v="2.952973890789182E-4"/>
    <n v="3.2432081815331724E-4"/>
    <n v="3.1465505939114245E-4"/>
    <n v="2.8421202216853773E-4"/>
    <n v="2.7234846077728249E-4"/>
    <n v="5.7737897117860035E-4"/>
    <n v="1.4801991996889073E-3"/>
    <n v="6.4740731692420452E-3"/>
    <n v="6.2259802659243304E-4"/>
  </r>
  <r>
    <s v="Idaho, 2011"/>
    <s v="Idaho"/>
    <n v="2011"/>
    <x v="344"/>
    <n v="765688"/>
    <n v="0.50083593882863908"/>
    <n v="763132"/>
    <n v="0.49916406117136092"/>
    <x v="344"/>
    <n v="1.5803037636870267E-2"/>
    <x v="300"/>
    <x v="304"/>
    <n v="1.0195758564437193E-3"/>
    <n v="2.6044944893237429E-4"/>
    <n v="2.7002214181562887E-4"/>
    <n v="2.9553738547926311E-4"/>
    <n v="3.1612723067277144E-4"/>
    <n v="2.9269434904776771E-4"/>
    <n v="3.4669856293445664E-4"/>
    <n v="5.7551196585295665E-4"/>
    <n v="1.0071169598496038E-3"/>
    <n v="4.1804635761589406E-3"/>
    <n v="4.9776952159181586E-4"/>
  </r>
  <r>
    <s v="Idaho, 2010"/>
    <s v="Idaho"/>
    <n v="2010"/>
    <x v="345"/>
    <n v="751041"/>
    <n v="0.50045478261391052"/>
    <n v="749677"/>
    <n v="0.49954588373424169"/>
    <x v="345"/>
    <n v="1.5559895703187211E-2"/>
    <x v="301"/>
    <x v="305"/>
    <n v="1.0255270781878937E-3"/>
    <n v="2.6501532671972865E-4"/>
    <n v="2.7159767331326527E-4"/>
    <n v="3.0251541568139078E-4"/>
    <n v="3.160772703566932E-4"/>
    <n v="2.9431818739238992E-4"/>
    <n v="3.6250271877039076E-4"/>
    <n v="6.1104152027130249E-4"/>
    <n v="1.1371787470039715E-3"/>
    <n v="4.4109459980300626E-3"/>
    <n v="5.117553809279164E-4"/>
  </r>
  <r>
    <s v="Idaho, 2016"/>
    <s v="Idaho"/>
    <n v="2016"/>
    <x v="346"/>
    <n v="749600"/>
    <n v="0.50050310711207169"/>
    <n v="748094"/>
    <n v="0.49949756058150768"/>
    <x v="346"/>
    <n v="1.6161523089177822E-2"/>
    <x v="302"/>
    <x v="306"/>
    <n v="1.1526491720136782E-3"/>
    <n v="2.6750484852537952E-4"/>
    <n v="2.8542885685742828E-4"/>
    <n v="3.025138904294689E-4"/>
    <n v="3.249725127416306E-4"/>
    <n v="3.2824014048678013E-4"/>
    <n v="3.3122819414388552E-4"/>
    <n v="4.7734595648196032E-4"/>
    <n v="9.7570494682408038E-4"/>
    <n v="3.5942986986159885E-3"/>
    <n v="4.987671038056531E-4"/>
  </r>
  <r>
    <s v="Idaho, 2009"/>
    <s v="Idaho"/>
    <n v="2009"/>
    <x v="347"/>
    <n v="746910"/>
    <n v="0.50180591275184017"/>
    <n v="741534"/>
    <n v="0.49819408724815983"/>
    <x v="347"/>
    <n v="1.576276971118833E-2"/>
    <x v="303"/>
    <x v="307"/>
    <n v="1.0149364818918417E-3"/>
    <n v="2.732539075308777E-4"/>
    <n v="2.6450594697537448E-4"/>
    <n v="3.0196123824238427E-4"/>
    <n v="3.146171109759423E-4"/>
    <n v="2.974302030456853E-4"/>
    <n v="3.7826012949105102E-4"/>
    <n v="6.4348684069410783E-4"/>
    <n v="1.0327733406774993E-3"/>
    <n v="2.7704373028727305E-3"/>
    <n v="4.8708584266522623E-4"/>
  </r>
  <r>
    <s v="Idaho, 2015"/>
    <s v="Idaho"/>
    <n v="2015"/>
    <x v="348"/>
    <n v="740336"/>
    <n v="0.5006844090006547"/>
    <n v="738315"/>
    <n v="0.49931761987978207"/>
    <x v="348"/>
    <n v="1.5708268634590516E-2"/>
    <x v="304"/>
    <x v="308"/>
    <n v="1.1424654404204272E-3"/>
    <n v="2.7107984656880683E-4"/>
    <n v="2.852538045726185E-4"/>
    <n v="3.013031360634745E-4"/>
    <n v="3.2428400793414871E-4"/>
    <n v="3.2168649506479304E-4"/>
    <n v="3.417362479638215E-4"/>
    <n v="5.2509057812472656E-4"/>
    <n v="1.1725553083992897E-3"/>
    <n v="4.4775476815774743E-3"/>
    <n v="5.2209856571678996E-4"/>
  </r>
  <r>
    <s v="Idaho, 2017"/>
    <s v="Idaho"/>
    <n v="2017"/>
    <x v="349"/>
    <n v="740504"/>
    <n v="0.50099284676737887"/>
    <n v="737572"/>
    <n v="0.49900918290233298"/>
    <x v="349"/>
    <n v="1.6477535277350984E-2"/>
    <x v="305"/>
    <x v="278"/>
    <n v="1.198609612849095E-3"/>
    <n v="2.7315936117130736E-4"/>
    <n v="2.9807147754031416E-4"/>
    <n v="3.0544921397735603E-4"/>
    <n v="3.2391811350090699E-4"/>
    <n v="3.3265877526127575E-4"/>
    <n v="3.3351676755548885E-4"/>
    <n v="4.6551684007168959E-4"/>
    <n v="1.2284218012542833E-3"/>
    <n v="4.680763703551632E-3"/>
    <n v="5.3447969078658497E-4"/>
  </r>
  <r>
    <s v="Idaho, 2014"/>
    <s v="Idaho"/>
    <n v="2014"/>
    <x v="350"/>
    <n v="725250"/>
    <n v="0.50141037872817029"/>
    <n v="721177"/>
    <n v="0.49859446080668135"/>
    <x v="350"/>
    <n v="1.586952614040182E-2"/>
    <x v="298"/>
    <x v="302"/>
    <n v="1.1553236350332636E-3"/>
    <n v="2.7613121755458192E-4"/>
    <n v="2.9869321717486001E-4"/>
    <n v="3.0829466804371618E-4"/>
    <n v="3.331408519522054E-4"/>
    <n v="3.2360714093090985E-4"/>
    <n v="3.4791281304904993E-4"/>
    <n v="5.4148203633344464E-4"/>
    <n v="1.0377391123871458E-3"/>
    <n v="3.9644506404112574E-3"/>
    <n v="5.1921295336071125E-4"/>
  </r>
  <r>
    <s v="Hawaii, 2017"/>
    <s v="Hawaii"/>
    <n v="2017"/>
    <x v="351"/>
    <n v="713980"/>
    <n v="0.50221854574818592"/>
    <n v="707672"/>
    <n v="0.49778145425181408"/>
    <x v="351"/>
    <n v="2.6625362606319973E-2"/>
    <x v="306"/>
    <x v="309"/>
    <n v="1.3126804935678655E-3"/>
    <n v="3.5578325683993309E-4"/>
    <n v="3.384419261858159E-4"/>
    <n v="2.9211010603596846E-4"/>
    <n v="3.3821108881423195E-4"/>
    <n v="3.3377837116154872E-4"/>
    <n v="3.2676534980230699E-4"/>
    <n v="4.4882967661821798E-4"/>
    <n v="1.5916632881361023E-3"/>
    <n v="1.0091937017859031E-2"/>
    <n v="7.6530684021124725E-4"/>
  </r>
  <r>
    <s v="Hawaii, 2016"/>
    <s v="Hawaii"/>
    <n v="2016"/>
    <x v="352"/>
    <n v="709870"/>
    <n v="0.50214582863222257"/>
    <n v="703803"/>
    <n v="0.49785417136777743"/>
    <x v="352"/>
    <n v="2.6873965903005857E-2"/>
    <x v="260"/>
    <x v="310"/>
    <n v="1.3020692049782445E-3"/>
    <n v="3.5716411691172096E-4"/>
    <n v="3.3293566018366953E-4"/>
    <n v="2.9528576279694676E-4"/>
    <n v="3.4040621808691704E-4"/>
    <n v="3.300475268438655E-4"/>
    <n v="3.2601431202829807E-4"/>
    <n v="4.7508195163665731E-4"/>
    <n v="1.3305365975831195E-3"/>
    <n v="7.9755731620646999E-3"/>
    <n v="6.9888863973493164E-4"/>
  </r>
  <r>
    <s v="Hawaii, 2015"/>
    <s v="Hawaii"/>
    <n v="2015"/>
    <x v="353"/>
    <n v="709829"/>
    <n v="0.50478021126229722"/>
    <n v="696385"/>
    <n v="0.49521978873770278"/>
    <x v="353"/>
    <n v="2.6156758501906539E-2"/>
    <x v="229"/>
    <x v="311"/>
    <n v="1.3115757489644017E-3"/>
    <n v="3.5636013755501307E-4"/>
    <n v="3.2528787977359962E-4"/>
    <n v="2.9280290460481368E-4"/>
    <n v="3.4200311222832127E-4"/>
    <n v="3.3046380595165315E-4"/>
    <n v="3.3496348897970121E-4"/>
    <n v="5.0089325964636938E-4"/>
    <n v="1.6416473299553282E-3"/>
    <n v="8.8630308302974289E-3"/>
    <n v="7.324631955022493E-4"/>
  </r>
  <r>
    <s v="Hawaii, 2014"/>
    <s v="Hawaii"/>
    <n v="2014"/>
    <x v="354"/>
    <n v="699626"/>
    <n v="0.5029401785098111"/>
    <n v="691446"/>
    <n v="0.49705982149018885"/>
    <x v="354"/>
    <n v="2.5513416990637437E-2"/>
    <x v="307"/>
    <x v="312"/>
    <n v="1.3404526261701034E-3"/>
    <n v="3.5712797681049002E-4"/>
    <n v="3.2243849485710601E-4"/>
    <n v="3.0131675421592359E-4"/>
    <n v="3.4426963197576341E-4"/>
    <n v="3.2547492215724777E-4"/>
    <n v="3.3858134416793635E-4"/>
    <n v="5.3136374505167517E-4"/>
    <n v="1.5044357590421242E-3"/>
    <n v="6.311459243188414E-3"/>
    <n v="6.6207931724598012E-4"/>
  </r>
  <r>
    <s v="Hawaii, 2013"/>
    <s v="Hawaii"/>
    <n v="2013"/>
    <x v="355"/>
    <n v="691426"/>
    <n v="0.50238102503963533"/>
    <n v="684872"/>
    <n v="0.49761897496036467"/>
    <x v="355"/>
    <n v="2.3672925485614307E-2"/>
    <x v="308"/>
    <x v="313"/>
    <n v="1.3494366102152352E-3"/>
    <n v="3.6172034194629658E-4"/>
    <n v="3.2852950194927504E-4"/>
    <n v="3.1146341083581209E-4"/>
    <n v="3.4442971050682833E-4"/>
    <n v="3.1832096302702014E-4"/>
    <n v="3.3875721270565384E-4"/>
    <n v="5.6137199315126171E-4"/>
    <n v="1.5455950540958269E-3"/>
    <n v="7.7345692274638595E-3"/>
    <n v="6.8953090101126358E-4"/>
  </r>
  <r>
    <s v="Hawaii, 2012"/>
    <s v="Hawaii"/>
    <n v="2012"/>
    <x v="356"/>
    <n v="683498"/>
    <n v="0.50156524036309469"/>
    <n v="679232"/>
    <n v="0.49843475963690531"/>
    <x v="356"/>
    <n v="2.3323035377514255E-2"/>
    <x v="273"/>
    <x v="314"/>
    <n v="1.3576349998302955E-3"/>
    <n v="3.6772141425655923E-4"/>
    <n v="3.2886443111934492E-4"/>
    <n v="3.1811000243884337E-4"/>
    <n v="3.4065940305117272E-4"/>
    <n v="3.1313115498426513E-4"/>
    <n v="3.4359341445955619E-4"/>
    <n v="5.8746352830595105E-4"/>
    <n v="1.2024555407885577E-3"/>
    <n v="7.5197432589749237E-3"/>
    <n v="6.7144628796606811E-4"/>
  </r>
  <r>
    <s v="Hawaii, 2011"/>
    <s v="Hawaii"/>
    <n v="2011"/>
    <x v="357"/>
    <n v="674569"/>
    <n v="0.50095948621444075"/>
    <n v="671985"/>
    <n v="0.4990405137855593"/>
    <x v="357"/>
    <n v="2.1373075272139105E-2"/>
    <x v="309"/>
    <x v="315"/>
    <n v="1.3749799482090886E-3"/>
    <n v="3.6727573225599116E-4"/>
    <n v="3.2997129249755274E-4"/>
    <n v="3.2738046520764107E-4"/>
    <n v="3.3768382663312341E-4"/>
    <n v="3.1135512127281972E-4"/>
    <n v="3.51638047236711E-4"/>
    <n v="6.1226988856688026E-4"/>
    <n v="1.0144793876233514E-3"/>
    <n v="6.4975677553856847E-3"/>
    <n v="6.3346883971975877E-4"/>
  </r>
  <r>
    <s v="Hawaii, 2010"/>
    <s v="Hawaii"/>
    <n v="2010"/>
    <x v="358"/>
    <n v="668202"/>
    <n v="0.50105467118479352"/>
    <n v="665389"/>
    <n v="0.49894532881520648"/>
    <x v="358"/>
    <n v="2.0277581357402683E-2"/>
    <x v="310"/>
    <x v="316"/>
    <n v="1.3912398265587683E-3"/>
    <n v="3.6995930447650759E-4"/>
    <n v="3.3159247285086628E-4"/>
    <n v="3.3372082028577629E-4"/>
    <n v="3.3492609297548342E-4"/>
    <n v="3.0881989623651485E-4"/>
    <n v="3.6325549575293782E-4"/>
    <n v="6.3837257551415587E-4"/>
    <n v="1.109587141117909E-3"/>
    <n v="5.1401523555950008E-3"/>
    <n v="6.0813247839854945E-4"/>
  </r>
  <r>
    <s v="New Hampshire, 2017"/>
    <s v="New Hampshire"/>
    <n v="2017"/>
    <x v="359"/>
    <n v="659015"/>
    <n v="0.49472666410926081"/>
    <n v="673064"/>
    <n v="0.50527333589073919"/>
    <x v="359"/>
    <n v="2.1232224214930196E-2"/>
    <x v="305"/>
    <x v="285"/>
    <n v="1.8527954050673954E-3"/>
    <n v="3.9898922729086314E-4"/>
    <n v="3.3467015467338984E-4"/>
    <n v="3.8231414753502952E-4"/>
    <n v="3.8304392236976505E-4"/>
    <n v="2.9281147820994584E-4"/>
    <n v="2.9839908888811527E-4"/>
    <n v="4.6523168537931892E-4"/>
    <n v="1.1341036472115843E-3"/>
    <n v="4.0306898136689886E-3"/>
    <n v="5.8780297564934214E-4"/>
  </r>
  <r>
    <s v="Maine, 2011"/>
    <s v="Maine"/>
    <n v="2011"/>
    <x v="360"/>
    <n v="650905"/>
    <n v="0.48989509747400017"/>
    <n v="677757"/>
    <n v="0.51010490252599983"/>
    <x v="360"/>
    <n v="2.0499570244351083E-2"/>
    <x v="311"/>
    <x v="317"/>
    <n v="1.710888378790687E-3"/>
    <n v="3.8330575661362138E-4"/>
    <n v="3.518401238477236E-4"/>
    <n v="4.1142669062084285E-4"/>
    <n v="3.3812722600423786E-4"/>
    <n v="2.7544541819500616E-4"/>
    <n v="3.2367871650599612E-4"/>
    <n v="5.4990880678954077E-4"/>
    <n v="1.0980913438615248E-3"/>
    <n v="5.2134963468810809E-3"/>
    <n v="6.1565695413882536E-4"/>
  </r>
  <r>
    <s v="Maine, 2014"/>
    <s v="Maine"/>
    <n v="2014"/>
    <x v="361"/>
    <n v="649540"/>
    <n v="0.48886885197782126"/>
    <n v="679119"/>
    <n v="0.51113114802217874"/>
    <x v="361"/>
    <n v="2.2485077058899235E-2"/>
    <x v="312"/>
    <x v="318"/>
    <n v="1.8160905623827107E-3"/>
    <n v="4.002321346380901E-4"/>
    <n v="3.6509008597871524E-4"/>
    <n v="4.0227958431109621E-4"/>
    <n v="3.693989878467733E-4"/>
    <n v="2.8625134776676239E-4"/>
    <n v="2.9880478087649401E-4"/>
    <n v="4.7656492005623466E-4"/>
    <n v="8.4505852030253097E-4"/>
    <n v="3.2133891213389121E-3"/>
    <n v="5.6899475335657978E-4"/>
  </r>
  <r>
    <s v="Maine, 2013"/>
    <s v="Maine"/>
    <n v="2013"/>
    <x v="362"/>
    <n v="649600"/>
    <n v="0.48903878583473864"/>
    <n v="678720"/>
    <n v="0.51096121416526141"/>
    <x v="362"/>
    <n v="2.2331968200433632E-2"/>
    <x v="262"/>
    <x v="282"/>
    <n v="1.7852892168531303E-3"/>
    <n v="3.9629071887136401E-4"/>
    <n v="3.6079591579023327E-4"/>
    <n v="4.0932720252145557E-4"/>
    <n v="3.6028895173929491E-4"/>
    <n v="2.8020754038491177E-4"/>
    <n v="3.0440010349603517E-4"/>
    <n v="4.9957952057018678E-4"/>
    <n v="1.1036590542490873E-3"/>
    <n v="4.1127292340884577E-3"/>
    <n v="6.022645145748012E-4"/>
  </r>
  <r>
    <s v="Maine, 2010"/>
    <s v="Maine"/>
    <n v="2010"/>
    <x v="363"/>
    <n v="649666"/>
    <n v="0.48932976315561533"/>
    <n v="677999"/>
    <n v="0.51067023684438473"/>
    <x v="363"/>
    <n v="2.0585012032402754E-2"/>
    <x v="313"/>
    <x v="319"/>
    <n v="1.7176473956171364E-3"/>
    <n v="3.8361454410608219E-4"/>
    <n v="3.4934091014951789E-4"/>
    <n v="4.1594742424557536E-4"/>
    <n v="3.2851331300200941E-4"/>
    <n v="2.7397010072967369E-4"/>
    <n v="3.3184555907680568E-4"/>
    <n v="5.6445088336563246E-4"/>
    <n v="8.5927877867842924E-4"/>
    <n v="4.5737285034760334E-3"/>
    <n v="5.9126360941954485E-4"/>
  </r>
  <r>
    <s v="New Hampshire, 2016"/>
    <s v="New Hampshire"/>
    <n v="2016"/>
    <x v="364"/>
    <n v="656507"/>
    <n v="0.49454276186193175"/>
    <n v="670996"/>
    <n v="0.5054572381380682"/>
    <x v="364"/>
    <n v="2.0465490473467858E-2"/>
    <x v="314"/>
    <x v="320"/>
    <n v="1.8497109826589595E-3"/>
    <n v="3.9593506664906955E-4"/>
    <n v="3.354635267280565E-4"/>
    <n v="3.8777224843275385E-4"/>
    <n v="3.7760785424336828E-4"/>
    <n v="2.8584223414290208E-4"/>
    <n v="3.0319415037419211E-4"/>
    <n v="4.8583389339184935E-4"/>
    <n v="1.0021546324597886E-3"/>
    <n v="3.1286808009422852E-3"/>
    <n v="5.6120400481204187E-4"/>
  </r>
  <r>
    <s v="New Hampshire, 2013"/>
    <s v="New Hampshire"/>
    <n v="2013"/>
    <x v="365"/>
    <n v="651106"/>
    <n v="0.4935720994473044"/>
    <n v="668065"/>
    <n v="0.5064279005526956"/>
    <x v="365"/>
    <n v="1.8912635283825977E-2"/>
    <x v="305"/>
    <x v="321"/>
    <n v="1.7633315210203813E-3"/>
    <n v="3.7712604809614201E-4"/>
    <n v="3.3532479000285026E-4"/>
    <n v="4.0791629557614779E-4"/>
    <n v="3.4819547694075456E-4"/>
    <n v="2.7030070953936255E-4"/>
    <n v="3.2492147730965018E-4"/>
    <n v="5.7682324213116957E-4"/>
    <n v="1.1394830890350651E-3"/>
    <n v="4.5693214156880034E-3"/>
    <n v="5.9128043293856522E-4"/>
  </r>
  <r>
    <s v="New Hampshire, 2012"/>
    <s v="New Hampshire"/>
    <n v="2012"/>
    <x v="366"/>
    <n v="650048"/>
    <n v="0.49340480343445109"/>
    <n v="667426"/>
    <n v="0.50659519656554897"/>
    <x v="366"/>
    <n v="1.848309719964113E-2"/>
    <x v="315"/>
    <x v="285"/>
    <n v="1.7293807375808846E-3"/>
    <n v="3.7109652839197689E-4"/>
    <n v="3.3557797713595384E-4"/>
    <n v="4.118220379699919E-4"/>
    <n v="3.345712469470374E-4"/>
    <n v="2.6877746569727593E-4"/>
    <n v="3.3474857592376658E-4"/>
    <n v="6.0573020776546126E-4"/>
    <n v="1.0384755179396645E-3"/>
    <n v="5.0511272637674019E-3"/>
    <n v="5.9431912887844465E-4"/>
  </r>
  <r>
    <s v="Maine, 2009"/>
    <s v="Maine"/>
    <n v="2009"/>
    <x v="367"/>
    <n v="642611"/>
    <n v="0.48816527142618393"/>
    <n v="673769"/>
    <n v="0.51183472857381607"/>
    <x v="367"/>
    <n v="2.0469773165803187E-2"/>
    <x v="316"/>
    <x v="322"/>
    <n v="1.6921189559626043E-3"/>
    <n v="3.8913534127169432E-4"/>
    <n v="3.458292986581823E-4"/>
    <n v="4.0704182354736948E-4"/>
    <n v="3.2445761502022453E-4"/>
    <n v="2.7692137279155204E-4"/>
    <n v="3.4916404308684291E-4"/>
    <n v="5.884891521832947E-4"/>
    <n v="9.5756256800870508E-4"/>
    <n v="3.8966822533956801E-3"/>
    <n v="5.856971391239612E-4"/>
  </r>
  <r>
    <s v="New Hampshire, 2009"/>
    <s v="New Hampshire"/>
    <n v="2009"/>
    <x v="368"/>
    <n v="648885"/>
    <n v="0.49329149115224885"/>
    <n v="666534"/>
    <n v="0.5067085088477512"/>
    <x v="368"/>
    <n v="1.8071808298344483E-2"/>
    <x v="317"/>
    <x v="323"/>
    <n v="1.5816736743597517E-3"/>
    <n v="3.6221822440626395E-4"/>
    <n v="3.2474210064840171E-4"/>
    <n v="4.0399687575749414E-4"/>
    <n v="3.0378208698293756E-4"/>
    <n v="2.761540939844433E-4"/>
    <n v="3.8108303799397889E-4"/>
    <n v="6.8263268672848286E-4"/>
    <n v="1.0428616122640526E-3"/>
    <n v="3.7439003870099277E-3"/>
    <n v="5.6940032035419897E-4"/>
  </r>
  <r>
    <s v="New Hampshire, 2010"/>
    <s v="New Hampshire"/>
    <n v="2010"/>
    <x v="369"/>
    <n v="648504"/>
    <n v="0.49355715904619618"/>
    <n v="665435"/>
    <n v="0.50644284095380376"/>
    <x v="369"/>
    <n v="1.7547998803597427E-2"/>
    <x v="318"/>
    <x v="324"/>
    <n v="1.6596133100987469E-3"/>
    <n v="3.609261364661722E-4"/>
    <n v="3.3390653955957727E-4"/>
    <n v="4.1597337770382697E-4"/>
    <n v="3.1224629988134639E-4"/>
    <n v="2.7065186501689319E-4"/>
    <n v="3.5965185700242167E-4"/>
    <n v="6.6303470986706157E-4"/>
    <n v="1.0564868291308635E-3"/>
    <n v="4.2503361235199724E-3"/>
    <n v="5.7689131687239665E-4"/>
  </r>
  <r>
    <s v="Maine, 2012"/>
    <s v="Maine"/>
    <n v="2012"/>
    <x v="370"/>
    <n v="641608"/>
    <n v="0.48916023457441454"/>
    <n v="670044"/>
    <n v="0.5108397654255854"/>
    <x v="359"/>
    <n v="2.1562884057661637E-2"/>
    <x v="319"/>
    <x v="302"/>
    <n v="1.7645501867482281E-3"/>
    <n v="3.9534286109628577E-4"/>
    <n v="3.6010082823190496E-4"/>
    <n v="4.1766151318766229E-4"/>
    <n v="3.5447375417245149E-4"/>
    <n v="2.8041052100274803E-4"/>
    <n v="3.1713479285812448E-4"/>
    <n v="5.3437358057017656E-4"/>
    <n v="9.8257376528046707E-4"/>
    <n v="2.9346250397765442E-3"/>
    <n v="5.7256040474150155E-4"/>
  </r>
  <r>
    <s v="Maine, 2015"/>
    <s v="Maine"/>
    <n v="2015"/>
    <x v="371"/>
    <n v="633099"/>
    <n v="0.48934091525677881"/>
    <n v="660680"/>
    <n v="0.51065908474322119"/>
    <x v="370"/>
    <n v="2.2823836219323393E-2"/>
    <x v="320"/>
    <x v="325"/>
    <n v="1.8554883800040202E-3"/>
    <n v="4.1203414389605754E-4"/>
    <n v="3.7500000000000001E-4"/>
    <n v="4.0725179699855425E-4"/>
    <n v="3.8917067728670203E-4"/>
    <n v="3.0175470360144241E-4"/>
    <n v="3.0484087306426044E-4"/>
    <n v="4.6889286579504693E-4"/>
    <n v="1.2541082857637088E-3"/>
    <n v="5.5199972907988759E-3"/>
    <n v="6.5699010418317195E-4"/>
  </r>
  <r>
    <s v="Hawaii, 2009"/>
    <s v="Hawaii"/>
    <n v="2009"/>
    <x v="372"/>
    <n v="647624"/>
    <n v="0.50586100585749094"/>
    <n v="632617"/>
    <n v="0.49413899414250911"/>
    <x v="371"/>
    <n v="2.022666044908732E-2"/>
    <x v="313"/>
    <x v="319"/>
    <n v="1.3843544870389812E-3"/>
    <n v="3.8948140550856532E-4"/>
    <n v="3.4337318369893037E-4"/>
    <n v="3.2694875078331472E-4"/>
    <n v="3.4148146040237901E-4"/>
    <n v="3.3322040863929445E-4"/>
    <n v="4.0810774044347709E-4"/>
    <n v="6.9036934760096649E-4"/>
    <n v="8.8429057788389268E-4"/>
    <n v="4.8271867155821584E-3"/>
    <n v="6.1316580237627137E-4"/>
  </r>
  <r>
    <s v="New Hampshire, 2014"/>
    <s v="New Hampshire"/>
    <n v="2014"/>
    <x v="373"/>
    <n v="630603"/>
    <n v="0.49351530547559908"/>
    <n v="647175"/>
    <n v="0.50648469452440092"/>
    <x v="372"/>
    <n v="1.9074518421822884E-2"/>
    <x v="321"/>
    <x v="326"/>
    <n v="1.8568665377176016E-3"/>
    <n v="3.964478274659055E-4"/>
    <n v="3.4357767432272252E-4"/>
    <n v="4.1474845506200489E-4"/>
    <n v="3.6969032273965173E-4"/>
    <n v="2.8367318957406469E-4"/>
    <n v="3.2822936668143698E-4"/>
    <n v="5.6852099263765316E-4"/>
    <n v="1.064924922792943E-3"/>
    <n v="3.856726705780987E-3"/>
    <n v="5.9008685389793844E-4"/>
  </r>
  <r>
    <s v="Maine, 2016"/>
    <s v="Maine"/>
    <n v="2016"/>
    <x v="374"/>
    <n v="618738"/>
    <n v="0.48983071913689957"/>
    <n v="644430"/>
    <n v="0.51017007252406055"/>
    <x v="373"/>
    <n v="2.3167166336675989E-2"/>
    <x v="316"/>
    <x v="327"/>
    <n v="1.9135093761959434E-3"/>
    <n v="4.2845207406508188E-4"/>
    <n v="3.8597868111084663E-4"/>
    <n v="4.0961503014083932E-4"/>
    <n v="4.0493753838470418E-4"/>
    <n v="3.155536388593788E-4"/>
    <n v="3.1000062000124002E-4"/>
    <n v="4.6150296131066841E-4"/>
    <n v="9.7203529235830716E-4"/>
    <n v="3.5880262438490978E-3"/>
    <n v="6.0957893928514602E-4"/>
  </r>
  <r>
    <s v="New Hampshire, 2011"/>
    <s v="New Hampshire"/>
    <n v="2011"/>
    <x v="375"/>
    <n v="620407"/>
    <n v="0.4940797112644762"/>
    <n v="635275"/>
    <n v="0.50592028873552375"/>
    <x v="374"/>
    <n v="1.7490097015008577E-2"/>
    <x v="315"/>
    <x v="328"/>
    <n v="1.7496026943881493E-3"/>
    <n v="3.8003787710841845E-4"/>
    <n v="3.5054304960768388E-4"/>
    <n v="4.3335692721048144E-4"/>
    <n v="3.3643036171871057E-4"/>
    <n v="2.8161742273121961E-4"/>
    <n v="3.6715212336311344E-4"/>
    <n v="6.7357454786308479E-4"/>
    <n v="1.198333394786328E-3"/>
    <n v="5.6005828248793374E-3"/>
    <n v="6.2754742044562233E-4"/>
  </r>
  <r>
    <s v="New Hampshire, 2015"/>
    <s v="New Hampshire"/>
    <n v="2015"/>
    <x v="376"/>
    <n v="613546"/>
    <n v="0.49288008367488262"/>
    <n v="631272"/>
    <n v="0.50711991632511744"/>
    <x v="375"/>
    <n v="1.9275910213380591E-2"/>
    <x v="270"/>
    <x v="329"/>
    <n v="1.9172391755871545E-3"/>
    <n v="4.0909276860349363E-4"/>
    <n v="3.503690554050266E-4"/>
    <n v="4.1626196753156655E-4"/>
    <n v="3.8922116844194765E-4"/>
    <n v="2.9727105174498107E-4"/>
    <n v="3.3315935011716104E-4"/>
    <n v="5.673115107505531E-4"/>
    <n v="1.1017462678345176E-3"/>
    <n v="6.4596790998124607E-3"/>
    <n v="6.5471418311753202E-4"/>
  </r>
  <r>
    <s v="Maine, 2017"/>
    <s v="Maine"/>
    <n v="2017"/>
    <x v="377"/>
    <n v="608408"/>
    <n v="0.48966241584540909"/>
    <n v="634097"/>
    <n v="0.51033758415459096"/>
    <x v="376"/>
    <n v="2.3492058382058825E-2"/>
    <x v="258"/>
    <x v="330"/>
    <n v="1.9569471624266144E-3"/>
    <n v="4.3819289251128347E-4"/>
    <n v="3.9629857134365029E-4"/>
    <n v="4.1243633014153441E-4"/>
    <n v="4.1472838746690812E-4"/>
    <n v="3.3027280533720854E-4"/>
    <n v="3.1401282219023941E-4"/>
    <n v="4.4870548467670771E-4"/>
    <n v="9.99000999000999E-4"/>
    <n v="4.8991058275377709E-3"/>
    <n v="6.5190884543724168E-4"/>
  </r>
  <r>
    <s v="Rhode Island, 2009"/>
    <s v="Rhode Island"/>
    <n v="2009"/>
    <x v="378"/>
    <n v="512141"/>
    <n v="0.48434859336417052"/>
    <n v="545240"/>
    <n v="0.51565140663582942"/>
    <x v="377"/>
    <n v="2.2277684202761352E-2"/>
    <x v="318"/>
    <x v="331"/>
    <n v="1.9641863358103905E-3"/>
    <n v="4.6431722152574638E-4"/>
    <n v="3.9325695409380491E-4"/>
    <n v="4.5249892531505235E-4"/>
    <n v="3.9057922899660196E-4"/>
    <n v="3.7338046224501227E-4"/>
    <n v="5.0763139192527666E-4"/>
    <n v="8.5363077623491919E-4"/>
    <n v="1.2060771889400921E-3"/>
    <n v="4.1602988622856177E-3"/>
    <n v="7.2348566883649319E-4"/>
  </r>
  <r>
    <s v="Rhode Island, 2010"/>
    <s v="Rhode Island"/>
    <n v="2010"/>
    <x v="379"/>
    <n v="509859"/>
    <n v="0.48264323085530048"/>
    <n v="546530"/>
    <n v="0.51735676914469952"/>
    <x v="378"/>
    <n v="2.325185135399933E-2"/>
    <x v="322"/>
    <x v="332"/>
    <n v="2.024086630907803E-3"/>
    <n v="4.7044433467409967E-4"/>
    <n v="3.7336187477442722E-4"/>
    <n v="4.6950561059204659E-4"/>
    <n v="4.0838273630046081E-4"/>
    <n v="3.7306240712300492E-4"/>
    <n v="4.8873068495605492E-4"/>
    <n v="8.4935307607372388E-4"/>
    <n v="1.1888866533755235E-3"/>
    <n v="4.4782803403493054E-3"/>
    <n v="7.3363126651261991E-4"/>
  </r>
  <r>
    <s v="Rhode Island, 2017"/>
    <s v="Rhode Island"/>
    <n v="2017"/>
    <x v="380"/>
    <n v="512581"/>
    <n v="0.48533524974955922"/>
    <n v="543557"/>
    <n v="0.51466475025044078"/>
    <x v="379"/>
    <n v="2.6182184525128344E-2"/>
    <x v="281"/>
    <x v="333"/>
    <n v="2.1989701489802276E-3"/>
    <n v="5.0936380460804456E-4"/>
    <n v="3.883193538365952E-4"/>
    <n v="4.2690345578347456E-4"/>
    <n v="4.8188513464673803E-4"/>
    <n v="4.0154192097654996E-4"/>
    <n v="4.1483734918933867E-4"/>
    <n v="6.4281811461446979E-4"/>
    <n v="1.2206782902366082E-3"/>
    <n v="3.9418486908722695E-3"/>
    <n v="7.2812454433038103E-4"/>
  </r>
  <r>
    <s v="Rhode Island, 2016"/>
    <s v="Rhode Island"/>
    <n v="2016"/>
    <x v="381"/>
    <n v="511297"/>
    <n v="0.48487564142320799"/>
    <n v="543194"/>
    <n v="0.51512435857679206"/>
    <x v="380"/>
    <n v="2.7445468951370851E-2"/>
    <x v="323"/>
    <x v="334"/>
    <n v="2.1794801939737374E-3"/>
    <n v="5.0563360103823428E-4"/>
    <n v="3.8390417751729168E-4"/>
    <n v="4.3453700082562031E-4"/>
    <n v="4.7668607838308082E-4"/>
    <n v="3.9315388042879983E-4"/>
    <n v="4.217985490129914E-4"/>
    <n v="6.7497637582684608E-4"/>
    <n v="1.2562814070351759E-3"/>
    <n v="2.453266991465395E-3"/>
    <n v="6.9322545190049034E-4"/>
  </r>
  <r>
    <s v="Rhode Island, 2011"/>
    <s v="Rhode Island"/>
    <n v="2011"/>
    <x v="382"/>
    <n v="508799"/>
    <n v="0.48275027776222795"/>
    <n v="545160"/>
    <n v="0.5172497222377721"/>
    <x v="381"/>
    <n v="2.3804531295809419E-2"/>
    <x v="324"/>
    <x v="301"/>
    <n v="2.0687871735195242E-3"/>
    <n v="4.7511580947856037E-4"/>
    <n v="3.7161367042822283E-4"/>
    <n v="4.7101307061270953E-4"/>
    <n v="4.221071589374156E-4"/>
    <n v="3.7343158733320054E-4"/>
    <n v="4.7015679729189684E-4"/>
    <n v="8.306107757904646E-4"/>
    <n v="1.1175889880231714E-3"/>
    <n v="5.0221212483558533E-3"/>
    <n v="7.4575955990697931E-4"/>
  </r>
  <r>
    <s v="Rhode Island, 2015"/>
    <s v="Rhode Island"/>
    <n v="2015"/>
    <x v="383"/>
    <n v="510067"/>
    <n v="0.4840668038325463"/>
    <n v="543646"/>
    <n v="0.51593414519337355"/>
    <x v="382"/>
    <n v="2.6856484504304782E-2"/>
    <x v="274"/>
    <x v="330"/>
    <n v="2.1486123545210387E-3"/>
    <n v="4.9483311753111263E-4"/>
    <n v="3.823433825919058E-4"/>
    <n v="4.4264109184802655E-4"/>
    <n v="4.669333374838519E-4"/>
    <n v="3.8907225720270018E-4"/>
    <n v="4.2956864148917132E-4"/>
    <n v="7.0203355720403434E-4"/>
    <n v="1.2385946079848066E-3"/>
    <n v="5.3005406551468251E-3"/>
    <n v="7.6871099503469638E-4"/>
  </r>
  <r>
    <s v="Rhode Island, 2014"/>
    <s v="Rhode Island"/>
    <n v="2014"/>
    <x v="384"/>
    <n v="509826"/>
    <n v="0.48404940128288387"/>
    <n v="543426"/>
    <n v="0.51595059871711613"/>
    <x v="383"/>
    <n v="2.6402038638426512E-2"/>
    <x v="312"/>
    <x v="318"/>
    <n v="2.1684918139434025E-3"/>
    <n v="4.9240061714210677E-4"/>
    <n v="3.7692940740414999E-4"/>
    <n v="4.5406043544395758E-4"/>
    <n v="4.6035570150536315E-4"/>
    <n v="3.8230440350955441E-4"/>
    <n v="4.3737835414525336E-4"/>
    <n v="7.3405270498421782E-4"/>
    <n v="1.2155837841123199E-3"/>
    <n v="3.4522439585730723E-3"/>
    <n v="7.1777694227022598E-4"/>
  </r>
  <r>
    <s v="Rhode Island, 2012"/>
    <s v="Rhode Island"/>
    <n v="2012"/>
    <x v="385"/>
    <n v="508521"/>
    <n v="0.48316865737868314"/>
    <n v="543950"/>
    <n v="0.51683134262131691"/>
    <x v="384"/>
    <n v="2.4816835808302556E-2"/>
    <x v="325"/>
    <x v="335"/>
    <n v="2.1192427239333147E-3"/>
    <n v="4.8088482808367395E-4"/>
    <n v="3.7171727184303618E-4"/>
    <n v="4.6825979053178706E-4"/>
    <n v="4.3758250253433202E-4"/>
    <n v="3.7468854015099948E-4"/>
    <n v="4.5889803285709916E-4"/>
    <n v="7.9926467649762219E-4"/>
    <n v="1.1659767970617384E-3"/>
    <n v="2.9097591791416209E-3"/>
    <n v="6.9930667923391717E-4"/>
  </r>
  <r>
    <s v="Rhode Island, 2013"/>
    <s v="Rhode Island"/>
    <n v="2013"/>
    <x v="386"/>
    <n v="508455"/>
    <n v="0.48346241067990242"/>
    <n v="543240"/>
    <n v="0.51653758932009752"/>
    <x v="385"/>
    <n v="2.5866814998645044E-2"/>
    <x v="300"/>
    <x v="336"/>
    <n v="2.1321582772161119E-3"/>
    <n v="4.8694184291256148E-4"/>
    <n v="3.7332005973120957E-4"/>
    <n v="4.6210009087968454E-4"/>
    <n v="4.4872897517780886E-4"/>
    <n v="3.7609773526480416E-4"/>
    <n v="4.4741061108832629E-4"/>
    <n v="7.6269893730614732E-4"/>
    <n v="1.2989089165101316E-3"/>
    <n v="3.7126893103955299E-3"/>
    <n v="7.2834804767541925E-4"/>
  </r>
  <r>
    <s v="Montana, 2015"/>
    <s v="Montana"/>
    <n v="2015"/>
    <x v="387"/>
    <n v="477002"/>
    <n v="0.50250619965741228"/>
    <n v="472247"/>
    <n v="0.49749696074568656"/>
    <x v="386"/>
    <n v="2.0896585289798431E-2"/>
    <x v="318"/>
    <x v="324"/>
    <n v="2.1425128104411791E-3"/>
    <n v="5.1490654446218007E-4"/>
    <n v="4.6358895112999808E-4"/>
    <n v="4.9761559195521464E-4"/>
    <n v="5.5519056916286517E-4"/>
    <n v="4.7273500839104638E-4"/>
    <n v="4.340905802344089E-4"/>
    <n v="6.7757563438018773E-4"/>
    <n v="1.3103011508811776E-3"/>
    <n v="4.9405122000403309E-3"/>
    <n v="7.9852851631716118E-4"/>
  </r>
  <r>
    <s v="Montana, 2016"/>
    <s v="Montana"/>
    <n v="2016"/>
    <x v="388"/>
    <n v="474328"/>
    <n v="0.50100448479752924"/>
    <n v="472429"/>
    <n v="0.49899868392422952"/>
    <x v="387"/>
    <n v="2.0417130532324131E-2"/>
    <x v="326"/>
    <x v="337"/>
    <n v="2.0979754536871917E-3"/>
    <n v="5.0943732647291062E-4"/>
    <n v="4.6999843333855553E-4"/>
    <n v="4.9425022241260006E-4"/>
    <n v="5.5339322277766503E-4"/>
    <n v="4.9259466027388261E-4"/>
    <n v="4.3861572876003333E-4"/>
    <n v="6.6330591668877685E-4"/>
    <n v="1.2996014555536302E-3"/>
    <n v="3.4143817899637868E-3"/>
    <n v="7.6683066562169267E-4"/>
  </r>
  <r>
    <s v="Delaware, 2017"/>
    <s v="Delaware"/>
    <n v="2017"/>
    <x v="389"/>
    <n v="456876"/>
    <n v="0.48411625334311015"/>
    <n v="486856"/>
    <n v="0.51588374665688985"/>
    <x v="388"/>
    <n v="1.9411231154607453E-2"/>
    <x v="327"/>
    <x v="307"/>
    <n v="2.1706884700264102E-3"/>
    <n v="5.2620500947169022E-4"/>
    <n v="4.8825740930618625E-4"/>
    <n v="4.7907634081490884E-4"/>
    <n v="5.4390688314160621E-4"/>
    <n v="4.6731883606455232E-4"/>
    <n v="4.7233308929457051E-4"/>
    <n v="6.2758223942262431E-4"/>
    <n v="1.3936236358568642E-3"/>
    <n v="3.2752879523991483E-3"/>
    <n v="7.6822657279820969E-4"/>
  </r>
  <r>
    <s v="Montana, 2009"/>
    <s v="Montana"/>
    <n v="2009"/>
    <x v="390"/>
    <n v="468185"/>
    <n v="0.49917583237731311"/>
    <n v="469732"/>
    <n v="0.50082523381624788"/>
    <x v="389"/>
    <n v="1.8992105902874031E-2"/>
    <x v="328"/>
    <x v="338"/>
    <n v="2.0516678349775173E-3"/>
    <n v="5.1409916972984093E-4"/>
    <n v="4.1974479516453995E-4"/>
    <n v="5.4057463083257502E-4"/>
    <n v="5.2180719224246641E-4"/>
    <n v="4.0987806127677014E-4"/>
    <n v="5.1474310029769313E-4"/>
    <n v="8.8184717588441928E-4"/>
    <n v="1.3049151805132667E-3"/>
    <n v="4.3226856789984839E-3"/>
    <n v="7.8578465448931462E-4"/>
  </r>
  <r>
    <s v="Montana, 2010"/>
    <s v="Montana"/>
    <n v="2010"/>
    <x v="391"/>
    <n v="469741"/>
    <n v="0.50088556344974144"/>
    <n v="468080"/>
    <n v="0.4991144365502585"/>
    <x v="390"/>
    <n v="1.8360646647921086E-2"/>
    <x v="329"/>
    <x v="339"/>
    <n v="2.0817069997397866E-3"/>
    <n v="5.1031690679912225E-4"/>
    <n v="4.5025101494082953E-4"/>
    <n v="5.3585781905867639E-4"/>
    <n v="5.3069636207643794E-4"/>
    <n v="4.0891154561749051E-4"/>
    <n v="4.8346158494822931E-4"/>
    <n v="8.3471292831207135E-4"/>
    <n v="1.3301704835169707E-3"/>
    <n v="5.1106336024159356E-3"/>
    <n v="7.9759357062808361E-4"/>
  </r>
  <r>
    <s v="Delaware, 2016"/>
    <s v="Delaware"/>
    <n v="2016"/>
    <x v="392"/>
    <n v="452416"/>
    <n v="0.48402527027533043"/>
    <n v="482279"/>
    <n v="0.51597472972466951"/>
    <x v="391"/>
    <n v="1.9215893954712501E-2"/>
    <x v="327"/>
    <x v="340"/>
    <n v="2.1538958591352107E-3"/>
    <n v="5.2405865963263485E-4"/>
    <n v="4.8257113902874517E-4"/>
    <n v="4.9074134659425508E-4"/>
    <n v="5.4349302970189408E-4"/>
    <n v="4.624099263997534E-4"/>
    <n v="4.815100154083205E-4"/>
    <n v="6.6037839682137869E-4"/>
    <n v="1.3379119653926773E-3"/>
    <n v="3.3405712376816435E-3"/>
    <n v="7.7030475181743782E-4"/>
  </r>
  <r>
    <s v="Delaware, 2015"/>
    <s v="Delaware"/>
    <n v="2015"/>
    <x v="393"/>
    <n v="448413"/>
    <n v="0.48400999941713241"/>
    <n v="478041"/>
    <n v="0.51599000058286759"/>
    <x v="392"/>
    <n v="1.9202248573593508E-2"/>
    <x v="302"/>
    <x v="341"/>
    <n v="2.1580016904346575E-3"/>
    <n v="5.2782054101605457E-4"/>
    <n v="4.7709164930583167E-4"/>
    <n v="4.9984171678968327E-4"/>
    <n v="5.3892860992347212E-4"/>
    <n v="4.5772176619572185E-4"/>
    <n v="4.9481679408199116E-4"/>
    <n v="7.5620084694494858E-4"/>
    <n v="1.3695503309746632E-3"/>
    <n v="4.8903878583473866E-3"/>
    <n v="8.116970729253692E-4"/>
  </r>
  <r>
    <s v="Montana, 2011"/>
    <s v="Montana"/>
    <n v="2011"/>
    <x v="394"/>
    <n v="461425"/>
    <n v="0.50088089037772454"/>
    <n v="459804"/>
    <n v="0.49912128063984229"/>
    <x v="393"/>
    <n v="1.9363305678187896E-2"/>
    <x v="328"/>
    <x v="338"/>
    <n v="2.1138297310151666E-3"/>
    <n v="5.2538944492605143E-4"/>
    <n v="4.6638890616255209E-4"/>
    <n v="5.2226593781553568E-4"/>
    <n v="5.5177995015587788E-4"/>
    <n v="4.2902496925321053E-4"/>
    <n v="4.8174197899604969E-4"/>
    <n v="8.3079479368595955E-4"/>
    <n v="1.3742241359565746E-3"/>
    <n v="4.31662742459917E-3"/>
    <n v="8.0001997336161441E-4"/>
  </r>
  <r>
    <s v="Delaware, 2014"/>
    <s v="Delaware"/>
    <n v="2014"/>
    <x v="395"/>
    <n v="443923"/>
    <n v="0.48407192550105771"/>
    <n v="473137"/>
    <n v="0.51592807449894229"/>
    <x v="394"/>
    <n v="1.9191764988114191E-2"/>
    <x v="330"/>
    <x v="335"/>
    <n v="2.1441972661484857E-3"/>
    <n v="5.2552289528080441E-4"/>
    <n v="4.7602424550157086E-4"/>
    <n v="5.1252263641644175E-4"/>
    <n v="5.3438309924384788E-4"/>
    <n v="4.5449380752187249E-4"/>
    <n v="5.0624367195410062E-4"/>
    <n v="7.3847971642378889E-4"/>
    <n v="1.5622780854992189E-3"/>
    <n v="3.9772727272727269E-3"/>
    <n v="8.0256471768477529E-4"/>
  </r>
  <r>
    <s v="Montana, 2012"/>
    <s v="Montana"/>
    <n v="2012"/>
    <x v="396"/>
    <n v="459300"/>
    <n v="0.50117847322246956"/>
    <n v="457144"/>
    <n v="0.49882589149316919"/>
    <x v="395"/>
    <n v="2.0090786085286545E-2"/>
    <x v="331"/>
    <x v="342"/>
    <n v="2.1748586341887779E-3"/>
    <n v="5.3278870487945653E-4"/>
    <n v="4.7852995597524406E-4"/>
    <n v="5.2830388039200153E-4"/>
    <n v="5.6393627520090234E-4"/>
    <n v="4.3907472319997659E-4"/>
    <n v="4.6327395705450416E-4"/>
    <n v="7.9282231530543475E-4"/>
    <n v="1.3744444953497962E-3"/>
    <n v="4.562242016076472E-3"/>
    <n v="8.1183710881236085E-4"/>
  </r>
  <r>
    <s v="Delaware, 2013"/>
    <s v="Delaware"/>
    <n v="2013"/>
    <x v="397"/>
    <n v="439985"/>
    <n v="0.48432708163170951"/>
    <n v="468461"/>
    <n v="0.51567291836829043"/>
    <x v="396"/>
    <n v="1.8405056547114523E-2"/>
    <x v="303"/>
    <x v="307"/>
    <n v="2.1372088053002777E-3"/>
    <n v="5.2716665495185211E-4"/>
    <n v="4.7145349111310167E-4"/>
    <n v="5.2449844835875689E-4"/>
    <n v="5.2732418132920851E-4"/>
    <n v="4.5244433049550193E-4"/>
    <n v="5.2168469377108476E-4"/>
    <n v="7.7305640734918958E-4"/>
    <n v="1.4608136732159813E-3"/>
    <n v="3.8875598086124401E-3"/>
    <n v="7.9806614812548025E-4"/>
  </r>
  <r>
    <s v="Delaware, 2012"/>
    <s v="Delaware"/>
    <n v="2012"/>
    <x v="398"/>
    <n v="436338"/>
    <n v="0.48474944202566073"/>
    <n v="463793"/>
    <n v="0.51525055797433927"/>
    <x v="397"/>
    <n v="1.7957386202674945E-2"/>
    <x v="323"/>
    <x v="334"/>
    <n v="2.1367901850104167E-3"/>
    <n v="5.286902580008459E-4"/>
    <n v="4.7227360384115866E-4"/>
    <n v="5.3579082726103731E-4"/>
    <n v="5.1782616575615564E-4"/>
    <n v="4.5338794139205212E-4"/>
    <n v="5.3596312573694926E-4"/>
    <n v="8.1795130463233089E-4"/>
    <n v="1.4554981442398661E-3"/>
    <n v="4.3924771096263302E-3"/>
    <n v="8.1210401597100871E-4"/>
  </r>
  <r>
    <s v="Montana, 2013"/>
    <s v="Montana"/>
    <n v="2013"/>
    <x v="399"/>
    <n v="447751"/>
    <n v="0.50180267515423882"/>
    <n v="444536"/>
    <n v="0.49819956628207357"/>
    <x v="398"/>
    <n v="2.013033952156542E-2"/>
    <x v="332"/>
    <x v="322"/>
    <n v="2.2097819681791398E-3"/>
    <n v="5.424758598242378E-4"/>
    <n v="4.8823754383966279E-4"/>
    <n v="5.2984811020840693E-4"/>
    <n v="5.8665936601677842E-4"/>
    <n v="4.682049801403054E-4"/>
    <n v="4.7315253649188939E-4"/>
    <n v="7.9977606270244326E-4"/>
    <n v="1.6520614854187616E-3"/>
    <n v="5.678654938202873E-3"/>
    <n v="8.6407369842595133E-4"/>
  </r>
  <r>
    <s v="Delaware, 2011"/>
    <s v="Delaware"/>
    <n v="2011"/>
    <x v="400"/>
    <n v="432225"/>
    <n v="0.48517942293704031"/>
    <n v="458631"/>
    <n v="0.51482057706295969"/>
    <x v="399"/>
    <n v="1.8131998886464256E-2"/>
    <x v="327"/>
    <x v="340"/>
    <n v="2.1516558785031649E-3"/>
    <n v="5.3415474462951919E-4"/>
    <n v="4.7553001783237565E-4"/>
    <n v="5.4194667244743114E-4"/>
    <n v="5.088195386702849E-4"/>
    <n v="4.5538723094204437E-4"/>
    <n v="5.515263491713317E-4"/>
    <n v="8.5273300929478981E-4"/>
    <n v="1.4972301242701003E-3"/>
    <n v="3.7144802823005016E-3"/>
    <n v="8.0821142810959343E-4"/>
  </r>
  <r>
    <s v="Montana, 2014"/>
    <s v="Montana"/>
    <n v="2014"/>
    <x v="401"/>
    <n v="443822"/>
    <n v="0.500555455930634"/>
    <n v="442838"/>
    <n v="0.49944567189866679"/>
    <x v="400"/>
    <n v="2.0012203113034435E-2"/>
    <x v="333"/>
    <x v="343"/>
    <n v="2.2034116156515672E-3"/>
    <n v="5.4447449137007926E-4"/>
    <n v="4.9119130263933458E-4"/>
    <n v="5.2750498931802392E-4"/>
    <n v="5.9346594000059347E-4"/>
    <n v="4.9164611312777059E-4"/>
    <n v="4.728803139925285E-4"/>
    <n v="7.7724234416291001E-4"/>
    <n v="1.4439738159414709E-3"/>
    <n v="4.846708746618575E-3"/>
    <n v="8.4136065838163261E-4"/>
  </r>
  <r>
    <s v="Delaware, 2010"/>
    <s v="Delaware"/>
    <n v="2010"/>
    <x v="402"/>
    <n v="427218"/>
    <n v="0.48477098032629884"/>
    <n v="454060"/>
    <n v="0.51522901967370116"/>
    <x v="401"/>
    <n v="1.7727663688416141E-2"/>
    <x v="303"/>
    <x v="307"/>
    <n v="2.1483430903915354E-3"/>
    <n v="5.3311534839088019E-4"/>
    <n v="4.7914903132037501E-4"/>
    <n v="5.4586146036136028E-4"/>
    <n v="4.9827679275837725E-4"/>
    <n v="4.6081533593437992E-4"/>
    <n v="5.7269395235186316E-4"/>
    <n v="8.8610586011342155E-4"/>
    <n v="1.5208354456047856E-3"/>
    <n v="4.160532548166165E-3"/>
    <n v="8.2266889676129438E-4"/>
  </r>
  <r>
    <s v="Delaware, 2009"/>
    <s v="Delaware"/>
    <n v="2009"/>
    <x v="403"/>
    <n v="419541"/>
    <n v="0.48567429778012389"/>
    <n v="444291"/>
    <n v="0.51432570221987606"/>
    <x v="402"/>
    <n v="1.7934042730530935E-2"/>
    <x v="327"/>
    <x v="340"/>
    <n v="2.0593080724876441E-3"/>
    <n v="5.397188065018125E-4"/>
    <n v="5.0862112812166216E-4"/>
    <n v="5.3414523408914887E-4"/>
    <n v="4.9460876446730641E-4"/>
    <n v="4.7970066678392685E-4"/>
    <n v="6.051925520969922E-4"/>
    <n v="9.5093191327500946E-4"/>
    <n v="1.4791076050782695E-3"/>
    <n v="3.8729666924864447E-3"/>
    <n v="8.3349540188369957E-4"/>
  </r>
  <r>
    <s v="Montana, 2017"/>
    <s v="Montana"/>
    <n v="2017"/>
    <x v="404"/>
    <n v="404864"/>
    <n v="0.50249906603069872"/>
    <n v="400839"/>
    <n v="0.49750341627973654"/>
    <x v="403"/>
    <n v="2.0245723909986458E-2"/>
    <x v="321"/>
    <x v="326"/>
    <n v="2.4581097136302183E-3"/>
    <n v="5.987545904518601E-4"/>
    <n v="5.3499777084262145E-4"/>
    <n v="5.6652944064659893E-4"/>
    <n v="6.3719295264594376E-4"/>
    <n v="6.0307568599859279E-4"/>
    <n v="5.3445926084284227E-4"/>
    <n v="7.7166448028397256E-4"/>
    <n v="1.5512694555044212E-3"/>
    <n v="5.7626287395782247E-3"/>
    <n v="9.3583103409329267E-4"/>
  </r>
  <r>
    <s v="South Dakota, 2009"/>
    <s v="South Dakota"/>
    <n v="2009"/>
    <x v="405"/>
    <n v="392549"/>
    <n v="0.49881633270263709"/>
    <n v="394412"/>
    <n v="0.50118366729736286"/>
    <x v="404"/>
    <n v="2.3589479021196732E-2"/>
    <x v="334"/>
    <x v="344"/>
    <n v="2.159904964181576E-3"/>
    <n v="5.7547332681130226E-4"/>
    <n v="5.0183168565263211E-4"/>
    <n v="6.1844831318222577E-4"/>
    <n v="6.1951471347444504E-4"/>
    <n v="5.2263442592963597E-4"/>
    <n v="6.9273665616016071E-4"/>
    <n v="1.1217049915872126E-3"/>
    <n v="1.4632361907084503E-3"/>
    <n v="4.0400775694893346E-3"/>
    <n v="9.3397258568086604E-4"/>
  </r>
  <r>
    <s v="South Dakota, 2011"/>
    <s v="South Dakota"/>
    <n v="2011"/>
    <x v="406"/>
    <n v="383216"/>
    <n v="0.50054794126905544"/>
    <n v="382379"/>
    <n v="0.49945467108502822"/>
    <x v="405"/>
    <n v="2.2109658787371356E-2"/>
    <x v="314"/>
    <x v="320"/>
    <n v="2.1800741225201656E-3"/>
    <n v="5.7659596959417259E-4"/>
    <n v="5.455239757787355E-4"/>
    <n v="6.1407458959348259E-4"/>
    <n v="6.543574754888596E-4"/>
    <n v="5.392289026691831E-4"/>
    <n v="6.6908279899637578E-4"/>
    <n v="1.1294117647058823E-3"/>
    <n v="1.6380910778639292E-3"/>
    <n v="5.0215631830802859E-3"/>
    <n v="9.7310189617721163E-4"/>
  </r>
  <r>
    <s v="South Dakota, 2012"/>
    <s v="South Dakota"/>
    <n v="2012"/>
    <x v="407"/>
    <n v="366067"/>
    <n v="0.50145683534541452"/>
    <n v="363944"/>
    <n v="0.4985486440540981"/>
    <x v="406"/>
    <n v="2.3346351473342037E-2"/>
    <x v="316"/>
    <x v="331"/>
    <n v="2.3488881929220168E-3"/>
    <n v="6.2468765617191408E-4"/>
    <n v="5.7367409574620657E-4"/>
    <n v="6.3372694818225985E-4"/>
    <n v="7.093372425696924E-4"/>
    <n v="5.7382771779152842E-4"/>
    <n v="6.6840451841454452E-4"/>
    <n v="1.1427700746609781E-3"/>
    <n v="1.6728002676480427E-3"/>
    <n v="6.1608871677521562E-3"/>
    <n v="1.0479351567861679E-3"/>
  </r>
  <r>
    <s v="South Dakota, 2017"/>
    <s v="South Dakota"/>
    <n v="2017"/>
    <x v="408"/>
    <n v="364672"/>
    <n v="0.50581376801241673"/>
    <n v="356294"/>
    <n v="0.49419316717547829"/>
    <x v="407"/>
    <n v="2.1080197125780728E-2"/>
    <x v="335"/>
    <x v="345"/>
    <n v="2.4533355140760127E-3"/>
    <n v="6.1021499908467749E-4"/>
    <n v="6.3110063951531473E-4"/>
    <n v="6.159342182254935E-4"/>
    <n v="6.9313679054561423E-4"/>
    <n v="6.7570611288796795E-4"/>
    <n v="6.3182502658930316E-4"/>
    <n v="9.5498822181193095E-4"/>
    <n v="1.8197258279752516E-3"/>
    <n v="6.5798131333070142E-3"/>
    <n v="1.0541485600469374E-3"/>
  </r>
  <r>
    <s v="South Dakota, 2016"/>
    <s v="South Dakota"/>
    <n v="2016"/>
    <x v="409"/>
    <n v="360522"/>
    <n v="0.50294845127835974"/>
    <n v="356299"/>
    <n v="0.49705712894643961"/>
    <x v="408"/>
    <n v="2.2479935604205817E-2"/>
    <x v="321"/>
    <x v="345"/>
    <n v="2.396453249191197E-3"/>
    <n v="6.1728395061728394E-4"/>
    <n v="6.0776726565507178E-4"/>
    <n v="6.2461612134209179E-4"/>
    <n v="7.1869198059531657E-4"/>
    <n v="6.582628443537505E-4"/>
    <n v="6.3814173127851696E-4"/>
    <n v="1.040113719099955E-3"/>
    <n v="2.0159442866306242E-3"/>
    <n v="5.8334367630631751E-3"/>
    <n v="1.0602427118776481E-3"/>
  </r>
  <r>
    <s v="North Dakota, 2017"/>
    <s v="North Dakota"/>
    <n v="2017"/>
    <x v="410"/>
    <n v="361194"/>
    <n v="0.51524652930335002"/>
    <n v="339822"/>
    <n v="0.4847591767330659"/>
    <x v="409"/>
    <n v="2.294682544664E-2"/>
    <x v="327"/>
    <x v="340"/>
    <n v="2.5105652956190637E-3"/>
    <n v="6.9745545003312918E-4"/>
    <n v="5.341024408481547E-4"/>
    <n v="5.7135783188748054E-4"/>
    <n v="7.5107027514207747E-4"/>
    <n v="7.3079827531607024E-4"/>
    <n v="6.8960761326805045E-4"/>
    <n v="1.1123676745953763E-3"/>
    <n v="1.9419361103019711E-3"/>
    <n v="3.7299515106303618E-3"/>
    <n v="1.0270865548663933E-3"/>
  </r>
  <r>
    <s v="Alaska, 2016"/>
    <s v="Alaska"/>
    <n v="2016"/>
    <x v="411"/>
    <n v="363220"/>
    <n v="0.51900582706283449"/>
    <n v="336619"/>
    <n v="0.4809956018392828"/>
    <x v="410"/>
    <n v="9.7365390276035312E-3"/>
    <x v="327"/>
    <x v="340"/>
    <n v="2.3799607306479445E-3"/>
    <n v="6.2523446292359639E-4"/>
    <n v="5.863383172090296E-4"/>
    <n v="5.5522139453106922E-4"/>
    <n v="6.8834968163827229E-4"/>
    <n v="6.3837257551415587E-4"/>
    <n v="6.6278568824770507E-4"/>
    <n v="1.2875812785682096E-3"/>
    <n v="3.3967391304347825E-3"/>
    <n v="8.8054006457293811E-3"/>
    <n v="1.0288095244899533E-3"/>
  </r>
  <r>
    <s v="South Dakota, 2010"/>
    <s v="South Dakota"/>
    <n v="2010"/>
    <x v="412"/>
    <n v="348700"/>
    <n v="0.50044203081586258"/>
    <n v="348087"/>
    <n v="0.49956227467909708"/>
    <x v="411"/>
    <n v="2.2435934234999656E-2"/>
    <x v="302"/>
    <x v="306"/>
    <n v="2.3951139675062873E-3"/>
    <n v="6.3004032258064514E-4"/>
    <n v="5.9030134883858204E-4"/>
    <n v="6.7854881027775262E-4"/>
    <n v="7.0078721764115024E-4"/>
    <n v="5.8969218068168419E-4"/>
    <n v="7.691617418949581E-4"/>
    <n v="1.2777103430652271E-3"/>
    <n v="1.7856079995238379E-3"/>
    <n v="5.5651506428708499E-3"/>
    <n v="1.0720682449654412E-3"/>
  </r>
  <r>
    <s v="Alaska, 2017"/>
    <s v="Alaska"/>
    <n v="2017"/>
    <x v="413"/>
    <n v="362204"/>
    <n v="0.52002997820550001"/>
    <n v="334305"/>
    <n v="0.47997432900793391"/>
    <x v="412"/>
    <n v="9.0236121440447035E-3"/>
    <x v="327"/>
    <x v="340"/>
    <n v="2.3617862977031627E-3"/>
    <n v="6.3019252381602583E-4"/>
    <n v="5.9531487195769301E-4"/>
    <n v="5.4260831818551773E-4"/>
    <n v="6.8870523415977963E-4"/>
    <n v="6.6737853710624668E-4"/>
    <n v="6.7620110220779656E-4"/>
    <n v="1.225114854517611E-3"/>
    <n v="3.3085194375516956E-3"/>
    <n v="9.5465393794749408E-3"/>
    <n v="1.0337312241387726E-3"/>
  </r>
  <r>
    <s v="Alaska, 2013"/>
    <s v="Alaska"/>
    <n v="2013"/>
    <x v="414"/>
    <n v="357648"/>
    <n v="0.5184559161420228"/>
    <n v="332185"/>
    <n v="0.4815440838579772"/>
    <x v="413"/>
    <n v="7.4873193946940779E-3"/>
    <x v="327"/>
    <x v="340"/>
    <n v="2.3369491129330657E-3"/>
    <n v="6.184674376894057E-4"/>
    <n v="5.7546780737174257E-4"/>
    <n v="5.8424296717528258E-4"/>
    <n v="6.7963254533715434E-4"/>
    <n v="5.8863348735909587E-4"/>
    <n v="6.9729333968645039E-4"/>
    <n v="1.5962965919067763E-3"/>
    <n v="3.8555455596966971E-3"/>
    <n v="1.1616650532429816E-2"/>
    <n v="1.0437308739941406E-3"/>
  </r>
  <r>
    <s v="Alaska, 2009"/>
    <s v="Alaska"/>
    <n v="2009"/>
    <x v="415"/>
    <n v="355087"/>
    <n v="0.51978505200968461"/>
    <n v="328057"/>
    <n v="0.48021787563932533"/>
    <x v="414"/>
    <n v="6.8097115972960229E-3"/>
    <x v="327"/>
    <x v="340"/>
    <n v="2.310402587650898E-3"/>
    <n v="6.106497313141182E-4"/>
    <n v="5.2841554598536289E-4"/>
    <n v="6.2032815359325082E-4"/>
    <n v="6.2561257898358807E-4"/>
    <n v="5.6259317949535392E-4"/>
    <n v="8.4133772698590762E-4"/>
    <n v="1.9679874048806087E-3"/>
    <n v="4.1881893061566384E-3"/>
    <n v="1.2897678417884782E-2"/>
    <n v="1.0539536436055754E-3"/>
  </r>
  <r>
    <s v="Alaska, 2015"/>
    <s v="Alaska"/>
    <n v="2015"/>
    <x v="416"/>
    <n v="354562"/>
    <n v="0.52163640135292788"/>
    <n v="325151"/>
    <n v="0.47836654107407411"/>
    <x v="415"/>
    <n v="8.7507779041386714E-3"/>
    <x v="327"/>
    <x v="340"/>
    <n v="2.4129818423116365E-3"/>
    <n v="6.4347303847968774E-4"/>
    <n v="5.8370301190754145E-4"/>
    <n v="5.692653630489853E-4"/>
    <n v="7.0894331998156747E-4"/>
    <n v="6.4299033371198315E-4"/>
    <n v="6.9879574200461204E-4"/>
    <n v="1.4252797111433118E-3"/>
    <n v="3.5431675918270933E-3"/>
    <n v="1.0087424344317418E-2"/>
    <n v="1.0592737207430806E-3"/>
  </r>
  <r>
    <s v="South Dakota, 2013"/>
    <s v="South Dakota"/>
    <n v="2013"/>
    <x v="417"/>
    <n v="339452"/>
    <n v="0.50077376430062481"/>
    <n v="338405"/>
    <n v="0.4992291861828857"/>
    <x v="416"/>
    <n v="2.2709871580205206E-2"/>
    <x v="238"/>
    <x v="346"/>
    <n v="2.5432888964245599E-3"/>
    <n v="6.5907268473258131E-4"/>
    <n v="6.5659881812212733E-4"/>
    <n v="6.7692585405478586E-4"/>
    <n v="7.5414781297134241E-4"/>
    <n v="6.3602442333785621E-4"/>
    <n v="6.9606375944036478E-4"/>
    <n v="1.1554237516609217E-3"/>
    <n v="1.8226556092226375E-3"/>
    <n v="6.9507600363778099E-3"/>
    <n v="1.1315104262711051E-3"/>
  </r>
  <r>
    <s v="Alaska, 2010"/>
    <s v="Alaska"/>
    <n v="2010"/>
    <x v="418"/>
    <n v="348803"/>
    <n v="0.51764089565351601"/>
    <n v="325030"/>
    <n v="0.48236058839592066"/>
    <x v="417"/>
    <n v="6.5817592515641883E-3"/>
    <x v="327"/>
    <x v="340"/>
    <n v="2.3937761819269898E-3"/>
    <n v="6.1076161973981559E-4"/>
    <n v="5.6263010821252417E-4"/>
    <n v="6.5490743974851552E-4"/>
    <n v="6.4071760371616209E-4"/>
    <n v="5.6044910655071592E-4"/>
    <n v="7.855459544383347E-4"/>
    <n v="1.8900614269963774E-3"/>
    <n v="4.1922861934041364E-3"/>
    <n v="1.3528748590755355E-2"/>
    <n v="1.0685155943914804E-3"/>
  </r>
  <r>
    <s v="District of Columbia, 2017"/>
    <s v="District of Columbia"/>
    <n v="2017"/>
    <x v="419"/>
    <n v="319046"/>
    <n v="0.47449475082206632"/>
    <n v="353345"/>
    <n v="0.52550524917793362"/>
    <x v="418"/>
    <n v="1.6551381562216031E-2"/>
    <x v="327"/>
    <x v="340"/>
    <n v="2.7518517669181553E-3"/>
    <n v="1.0186757215619694E-3"/>
    <n v="6.5188339978922431E-4"/>
    <n v="3.8365624400537121E-4"/>
    <n v="6.2758880381573988E-4"/>
    <n v="7.8349438495690785E-4"/>
    <n v="8.6330935251798565E-4"/>
    <n v="1.3163090693694879E-3"/>
    <n v="2.6021337496747333E-3"/>
    <n v="5.3913199748405064E-3"/>
    <n v="1.0708055283309859E-3"/>
  </r>
  <r>
    <s v="Alaska, 2011"/>
    <s v="Alaska"/>
    <n v="2011"/>
    <x v="420"/>
    <n v="343110"/>
    <n v="0.51548978365384612"/>
    <n v="322492"/>
    <n v="0.48451322115384615"/>
    <x v="419"/>
    <n v="6.3641826923076924E-3"/>
    <x v="327"/>
    <x v="340"/>
    <n v="2.4277246151044934E-3"/>
    <n v="6.266842138246538E-4"/>
    <n v="5.8760160611105673E-4"/>
    <n v="6.4179359917850422E-4"/>
    <n v="6.669408534619788E-4"/>
    <n v="5.7259011136877671E-4"/>
    <n v="7.6148896475575244E-4"/>
    <n v="1.8406601834524648E-3"/>
    <n v="4.0352411056560631E-3"/>
    <n v="1.4164305949008499E-2"/>
    <n v="1.0817307692307693E-3"/>
  </r>
  <r>
    <s v="Alaska, 2012"/>
    <s v="Alaska"/>
    <n v="2012"/>
    <x v="421"/>
    <n v="345178"/>
    <n v="0.51919114130058752"/>
    <n v="319661"/>
    <n v="0.4808103628252296"/>
    <x v="420"/>
    <n v="6.5218895430164941E-3"/>
    <x v="327"/>
    <x v="340"/>
    <n v="2.4064492840813381E-3"/>
    <n v="6.3393451456464551E-4"/>
    <n v="5.8892237021623264E-4"/>
    <n v="6.2147185250401363E-4"/>
    <n v="6.8340243291266118E-4"/>
    <n v="5.884372088461727E-4"/>
    <n v="7.4433375925765113E-4"/>
    <n v="1.8097363817337275E-3"/>
    <n v="4.1981528127623844E-3"/>
    <n v="1.3837638376383764E-2"/>
    <n v="1.082970588323772E-3"/>
  </r>
  <r>
    <s v="District of Columbia, 2016"/>
    <s v="District of Columbia"/>
    <n v="2016"/>
    <x v="422"/>
    <n v="312629"/>
    <n v="0.47439261072307054"/>
    <n v="346380"/>
    <n v="0.5256073892769294"/>
    <x v="421"/>
    <n v="1.60012989200451E-2"/>
    <x v="327"/>
    <x v="340"/>
    <n v="2.8451525713066362E-3"/>
    <n v="1.0464812069416586E-3"/>
    <n v="6.1935483870967747E-4"/>
    <n v="4.0108024278724029E-4"/>
    <n v="6.4570979649379578E-4"/>
    <n v="7.7815965242202195E-4"/>
    <n v="8.6708961371157714E-4"/>
    <n v="1.4006583094054205E-3"/>
    <n v="2.7587475286220057E-3"/>
    <n v="5.6899004267425323E-3"/>
    <n v="1.092549570643193E-3"/>
  </r>
  <r>
    <s v="North Dakota, 2015"/>
    <s v="North Dakota"/>
    <n v="2015"/>
    <x v="423"/>
    <n v="331737"/>
    <n v="0.50904423295881762"/>
    <n v="319952"/>
    <n v="0.49096037048517233"/>
    <x v="422"/>
    <n v="2.2277599948441428E-2"/>
    <x v="329"/>
    <x v="339"/>
    <n v="2.7677830058123443E-3"/>
    <n v="7.5894607688123763E-4"/>
    <n v="5.6719888829017892E-4"/>
    <n v="6.3734862970044612E-4"/>
    <n v="8.2050159997811999E-4"/>
    <n v="7.2466393709917025E-4"/>
    <n v="7.3252023587151596E-4"/>
    <n v="1.2507556648808655E-3"/>
    <n v="2.0498804236419544E-3"/>
    <n v="6.0614409698305548E-3"/>
    <n v="1.1477920348143124E-3"/>
  </r>
  <r>
    <s v="North Dakota, 2011"/>
    <s v="North Dakota"/>
    <n v="2011"/>
    <x v="424"/>
    <n v="327510"/>
    <n v="0.50331331411324276"/>
    <n v="323200"/>
    <n v="0.49668975946200139"/>
    <x v="423"/>
    <n v="2.5135698347031235E-2"/>
    <x v="327"/>
    <x v="340"/>
    <n v="2.9517390662665418E-3"/>
    <n v="7.6870844169987058E-4"/>
    <n v="5.9398883300993939E-4"/>
    <n v="7.3751751604100597E-4"/>
    <n v="7.9923273657289001E-4"/>
    <n v="6.2885171676518674E-4"/>
    <n v="7.5466002565844085E-4"/>
    <n v="1.2525573044966808E-3"/>
    <n v="1.6848253397731103E-3"/>
    <n v="3.6683785766691121E-3"/>
    <n v="1.1064870879103992E-3"/>
  </r>
  <r>
    <s v="District of Columbia, 2015"/>
    <s v="District of Columbia"/>
    <n v="2015"/>
    <x v="425"/>
    <n v="306674"/>
    <n v="0.47363950306107949"/>
    <n v="340810"/>
    <n v="0.52636049693892051"/>
    <x v="424"/>
    <n v="1.600039537656529E-2"/>
    <x v="327"/>
    <x v="340"/>
    <n v="2.9891642794868602E-3"/>
    <n v="1.0901756999836473E-3"/>
    <n v="6.1367890274212193E-4"/>
    <n v="4.1368754179967873E-4"/>
    <n v="6.6665925934156287E-4"/>
    <n v="7.7869490733530598E-4"/>
    <n v="8.7418955343483641E-4"/>
    <n v="1.4478764478764478E-3"/>
    <n v="2.7254144901203725E-3"/>
    <n v="5.7915057915057912E-3"/>
    <n v="1.1119965898771244E-3"/>
  </r>
  <r>
    <s v="North Dakota, 2012"/>
    <s v="North Dakota"/>
    <n v="2012"/>
    <x v="426"/>
    <n v="325562"/>
    <n v="0.50489053483391411"/>
    <n v="319258"/>
    <n v="0.4951141176488833"/>
    <x v="425"/>
    <n v="2.3358565298371475E-2"/>
    <x v="323"/>
    <x v="334"/>
    <n v="2.8553073024484262E-3"/>
    <n v="7.7888697051912818E-4"/>
    <n v="5.705157462345961E-4"/>
    <n v="6.8655384298513613E-4"/>
    <n v="8.2324853873384373E-4"/>
    <n v="6.6143398888790896E-4"/>
    <n v="7.6805898693019627E-4"/>
    <n v="1.3282270382750758E-3"/>
    <n v="1.910645479731236E-3"/>
    <n v="4.7138494223874653E-3"/>
    <n v="1.1336549749773968E-3"/>
  </r>
  <r>
    <s v="North Dakota, 2013"/>
    <s v="North Dakota"/>
    <n v="2013"/>
    <x v="427"/>
    <n v="322610"/>
    <n v="0.50660561206142518"/>
    <n v="314202"/>
    <n v="0.49340223961105956"/>
    <x v="426"/>
    <n v="2.3049369746249649E-2"/>
    <x v="334"/>
    <x v="344"/>
    <n v="2.862185755855555E-3"/>
    <n v="7.7709134708785015E-4"/>
    <n v="5.7266662212592944E-4"/>
    <n v="6.8215926144890625E-4"/>
    <n v="8.4211708234501533E-4"/>
    <n v="6.9309675630718044E-4"/>
    <n v="7.6911244423934775E-4"/>
    <n v="1.3488298900703639E-3"/>
    <n v="1.9660528212857987E-3"/>
    <n v="5.1096879683880641E-3"/>
    <n v="1.1541958552591287E-3"/>
  </r>
  <r>
    <s v="District of Columbia, 2014"/>
    <s v="District of Columbia"/>
    <n v="2014"/>
    <x v="428"/>
    <n v="300030"/>
    <n v="0.47343057677013772"/>
    <n v="333706"/>
    <n v="0.52656942322986233"/>
    <x v="427"/>
    <n v="1.6000353459484706E-2"/>
    <x v="327"/>
    <x v="340"/>
    <n v="3.1041440322830977E-3"/>
    <n v="1.1270992223015367E-3"/>
    <n v="6.06900458209846E-4"/>
    <n v="4.2839700978887166E-4"/>
    <n v="6.8605143098894312E-4"/>
    <n v="7.8895463510848124E-4"/>
    <n v="8.848121986108448E-4"/>
    <n v="1.5027801432650402E-3"/>
    <n v="2.7844811583441617E-3"/>
    <n v="5.9171597633136093E-3"/>
    <n v="1.1361197722711035E-3"/>
  </r>
  <r>
    <s v="Alaska, 2014"/>
    <s v="Alaska"/>
    <n v="2014"/>
    <x v="429"/>
    <n v="325965"/>
    <n v="0.51962347164878608"/>
    <n v="301347"/>
    <n v="0.48037971656756628"/>
    <x v="428"/>
    <n v="8.1331399148746233E-3"/>
    <x v="327"/>
    <x v="340"/>
    <n v="2.5950995869466493E-3"/>
    <n v="6.8812074225290732E-4"/>
    <n v="6.2581486310299872E-4"/>
    <n v="6.1401803166286312E-4"/>
    <n v="7.4710496824803888E-4"/>
    <n v="6.7293996253967546E-4"/>
    <n v="7.8310579759325487E-4"/>
    <n v="1.7027073046143367E-3"/>
    <n v="4.1672454507570497E-3"/>
    <n v="1.1760094080752646E-2"/>
    <n v="1.1477578868502017E-3"/>
  </r>
  <r>
    <s v="North Dakota, 2014"/>
    <s v="North Dakota"/>
    <n v="2014"/>
    <x v="430"/>
    <n v="317632"/>
    <n v="0.5065602189344488"/>
    <n v="309408"/>
    <n v="0.49344456547221294"/>
    <x v="429"/>
    <n v="2.1821678784505541E-2"/>
    <x v="336"/>
    <x v="347"/>
    <n v="2.8483942177597379E-3"/>
    <n v="7.770812827021707E-4"/>
    <n v="5.7639102367045805E-4"/>
    <n v="6.6994941881887919E-4"/>
    <n v="8.4713456732601975E-4"/>
    <n v="7.4187645284138682E-4"/>
    <n v="7.8867463228045266E-4"/>
    <n v="1.3565760021705215E-3"/>
    <n v="2.3189627911879415E-3"/>
    <n v="6.7967550975663229E-3"/>
    <n v="1.2104548854373824E-3"/>
  </r>
  <r>
    <s v="Vermont, 2011"/>
    <s v="Vermont"/>
    <n v="2011"/>
    <x v="431"/>
    <n v="309064"/>
    <n v="0.49453879805553691"/>
    <n v="315890"/>
    <n v="0.50546120194446309"/>
    <x v="430"/>
    <n v="1.8727778364487625E-2"/>
    <x v="327"/>
    <x v="340"/>
    <n v="3.739249657235448E-3"/>
    <n v="8.2324853873384373E-4"/>
    <n v="6.6167469866231432E-4"/>
    <n v="8.5584686046843354E-4"/>
    <n v="7.3759911488106215E-4"/>
    <n v="5.8849492423127849E-4"/>
    <n v="6.9122831271168869E-4"/>
    <n v="1.2575189151803493E-3"/>
    <n v="2.0279862096937739E-3"/>
    <n v="5.1264524948735476E-3"/>
    <n v="1.1520847934407973E-3"/>
  </r>
  <r>
    <s v="Vermont, 2015"/>
    <s v="Vermont"/>
    <n v="2015"/>
    <x v="432"/>
    <n v="306015"/>
    <n v="0.49298576855291604"/>
    <n v="314724"/>
    <n v="0.50701584243271713"/>
    <x v="431"/>
    <n v="2.0689888487574467E-2"/>
    <x v="334"/>
    <x v="344"/>
    <n v="3.9026928580720697E-3"/>
    <n v="8.5304822565969061E-4"/>
    <n v="6.6368744745807704E-4"/>
    <n v="8.4376318379974688E-4"/>
    <n v="8.1378000813780006E-4"/>
    <n v="6.4408089656060798E-4"/>
    <n v="6.5148701912114398E-4"/>
    <n v="1.0490610903241598E-3"/>
    <n v="2.0524749427017412E-3"/>
    <n v="5.8397570661060496E-3"/>
    <n v="1.1840744404241403E-3"/>
  </r>
  <r>
    <s v="Vermont, 2009"/>
    <s v="Vermont"/>
    <n v="2009"/>
    <x v="433"/>
    <n v="305039"/>
    <n v="0.49167007836702586"/>
    <n v="315375"/>
    <n v="0.50832992163297408"/>
    <x v="432"/>
    <n v="1.7301350388611476E-2"/>
    <x v="327"/>
    <x v="340"/>
    <n v="3.6903773410831256E-3"/>
    <n v="8.3020852070678415E-4"/>
    <n v="6.3326543320632838E-4"/>
    <n v="8.8859927134859746E-4"/>
    <n v="7.0200070200070197E-4"/>
    <n v="5.8570870753611867E-4"/>
    <n v="7.4579557743222578E-4"/>
    <n v="1.3458950201884253E-3"/>
    <n v="1.9856372240791608E-3"/>
    <n v="5.5897149245388482E-3"/>
    <n v="1.1605153977827709E-3"/>
  </r>
  <r>
    <s v="District of Columbia, 2013"/>
    <s v="District of Columbia"/>
    <n v="2013"/>
    <x v="434"/>
    <n v="293104"/>
    <n v="0.47322848502755216"/>
    <n v="326267"/>
    <n v="0.5267715149724479"/>
    <x v="433"/>
    <n v="1.6000103330637051E-2"/>
    <x v="327"/>
    <x v="340"/>
    <n v="3.2838026434611279E-3"/>
    <n v="1.1532251864380717E-3"/>
    <n v="6.0168471720818293E-4"/>
    <n v="4.5056545965186311E-4"/>
    <n v="7.1228453392848659E-4"/>
    <n v="7.8756694319017122E-4"/>
    <n v="9.1388186553751488E-4"/>
    <n v="1.5624186240299983E-3"/>
    <n v="2.7676553346556577E-3"/>
    <n v="6.0544904137235112E-3"/>
    <n v="1.1624696668071318E-3"/>
  </r>
  <r>
    <s v="North Dakota, 2009"/>
    <s v="North Dakota"/>
    <n v="2009"/>
    <x v="435"/>
    <n v="308413"/>
    <n v="0.50221214800629854"/>
    <n v="305698"/>
    <n v="0.49779110874453886"/>
    <x v="434"/>
    <n v="2.4891346650187506E-2"/>
    <x v="323"/>
    <x v="334"/>
    <n v="3.0691322028696386E-3"/>
    <n v="8.171826266973564E-4"/>
    <n v="5.4266230124993219E-4"/>
    <n v="7.945546521174881E-4"/>
    <n v="8.2306784822628882E-4"/>
    <n v="6.7743028113356665E-4"/>
    <n v="9.1645028257217049E-4"/>
    <n v="1.4608848092327921E-3"/>
    <n v="1.8387986515476554E-3"/>
    <n v="4.6447729948972914E-3"/>
    <n v="1.1903424310667975E-3"/>
  </r>
  <r>
    <s v="District of Columbia, 2012"/>
    <s v="District of Columbia"/>
    <n v="2012"/>
    <x v="436"/>
    <n v="286427"/>
    <n v="0.47283985875570977"/>
    <n v="319332"/>
    <n v="0.52716014124429023"/>
    <x v="435"/>
    <n v="1.7000160129688538E-2"/>
    <x v="327"/>
    <x v="340"/>
    <n v="3.4753395696371166E-3"/>
    <n v="1.1517199017199017E-3"/>
    <n v="5.931022211678183E-4"/>
    <n v="4.7849560980278005E-4"/>
    <n v="7.2829675665177706E-4"/>
    <n v="7.9877521134260796E-4"/>
    <n v="9.2568307697054784E-4"/>
    <n v="1.5975291549070771E-3"/>
    <n v="2.7511577788986198E-3"/>
    <n v="5.8263740532142165E-3"/>
    <n v="1.1885915025612497E-3"/>
  </r>
  <r>
    <s v="South Dakota, 2014"/>
    <s v="South Dakota"/>
    <n v="2014"/>
    <x v="437"/>
    <n v="300158"/>
    <n v="0.50244562215221444"/>
    <n v="297245"/>
    <n v="0.4975694432819881"/>
    <x v="436"/>
    <n v="2.3363140573892608E-2"/>
    <x v="275"/>
    <x v="347"/>
    <n v="2.8701267639320736E-3"/>
    <n v="7.4730037738669059E-4"/>
    <n v="7.2111051018568597E-4"/>
    <n v="7.5359843251526033E-4"/>
    <n v="8.642793350810982E-4"/>
    <n v="7.3803461382338832E-4"/>
    <n v="7.9986135736472344E-4"/>
    <n v="1.3322083573870953E-3"/>
    <n v="2.1308331557639039E-3"/>
    <n v="7.0932148742566458E-3"/>
    <n v="1.2705182844153105E-3"/>
  </r>
  <r>
    <s v="District of Columbia, 2011"/>
    <s v="District of Columbia"/>
    <n v="2011"/>
    <x v="438"/>
    <n v="280675"/>
    <n v="0.47255263445883949"/>
    <n v="313280"/>
    <n v="0.52744736554116056"/>
    <x v="437"/>
    <n v="1.7001287976361846E-2"/>
    <x v="327"/>
    <x v="340"/>
    <n v="3.6077205219169021E-3"/>
    <n v="1.1478859766596518E-3"/>
    <n v="5.9421825636556309E-4"/>
    <n v="5.0257149079456552E-4"/>
    <n v="7.3200190320494836E-4"/>
    <n v="7.9539730095182541E-4"/>
    <n v="9.4407905088586086E-4"/>
    <n v="1.683596161400752E-3"/>
    <n v="2.8058361391694723E-3"/>
    <n v="5.9417706476530005E-3"/>
    <n v="1.2122130464429124E-3"/>
  </r>
  <r>
    <s v="Vermont, 2017"/>
    <s v="Vermont"/>
    <n v="2017"/>
    <x v="439"/>
    <n v="290546"/>
    <n v="0.49348549416318621"/>
    <n v="298218"/>
    <n v="0.50651620431311073"/>
    <x v="438"/>
    <n v="2.1056010652843335E-2"/>
    <x v="327"/>
    <x v="340"/>
    <n v="4.213779057518084E-3"/>
    <n v="9.347104734308548E-4"/>
    <n v="7.0937917499201946E-4"/>
    <n v="8.8416026878472174E-4"/>
    <n v="8.9404121530002535E-4"/>
    <n v="7.1695723350102163E-4"/>
    <n v="6.6299807730557582E-4"/>
    <n v="9.7928805758213788E-4"/>
    <n v="2.0908108861553473E-3"/>
    <n v="4.8398806162781322E-3"/>
    <n v="1.2229029337781077E-3"/>
  </r>
  <r>
    <s v="District of Columbia, 2009"/>
    <s v="District of Columbia"/>
    <n v="2009"/>
    <x v="440"/>
    <n v="277522"/>
    <n v="0.47162888553157284"/>
    <n v="310911"/>
    <n v="0.52837111446842722"/>
    <x v="439"/>
    <n v="1.700108593501724E-2"/>
    <x v="327"/>
    <x v="340"/>
    <n v="3.3430839949853742E-3"/>
    <n v="1.0095401544596436E-3"/>
    <n v="6.7081828650649019E-4"/>
    <n v="5.6647060489619424E-4"/>
    <n v="6.9364161849710981E-4"/>
    <n v="7.6664579686441868E-4"/>
    <n v="9.3545369504209543E-4"/>
    <n v="1.644556517925666E-3"/>
    <n v="2.5490695895997962E-3"/>
    <n v="5.9976009596161535E-3"/>
    <n v="1.223588751820513E-3"/>
  </r>
  <r>
    <s v="District of Columbia, 2010"/>
    <s v="District of Columbia"/>
    <n v="2010"/>
    <x v="441"/>
    <n v="276101"/>
    <n v="0.4724520876112252"/>
    <n v="308299"/>
    <n v="0.52754791238877485"/>
    <x v="440"/>
    <n v="1.6001026694045174E-2"/>
    <x v="327"/>
    <x v="340"/>
    <n v="3.7334328915437746E-3"/>
    <n v="1.1282224854741354E-3"/>
    <n v="6.004022695205788E-4"/>
    <n v="5.2650514658780789E-4"/>
    <n v="7.3334392607893231E-4"/>
    <n v="7.9587207682818453E-4"/>
    <n v="9.6855427132433653E-4"/>
    <n v="1.6830766641420516E-3"/>
    <n v="2.7017291066282422E-3"/>
    <n v="6.416426050689766E-3"/>
    <n v="1.2320328542094457E-3"/>
  </r>
  <r>
    <s v="Vermont, 2010"/>
    <s v="Vermont"/>
    <n v="2010"/>
    <x v="442"/>
    <n v="281968"/>
    <n v="0.49212338689127727"/>
    <n v="290994"/>
    <n v="0.50787661310872279"/>
    <x v="441"/>
    <n v="1.8355493034442075E-2"/>
    <x v="327"/>
    <x v="340"/>
    <n v="4.0853845368195281E-3"/>
    <n v="8.8656412075003329E-4"/>
    <n v="7.0613157585030009E-4"/>
    <n v="9.6030729833546731E-4"/>
    <n v="7.8004134219113608E-4"/>
    <n v="6.3270449536543952E-4"/>
    <n v="7.7859385948976154E-4"/>
    <n v="1.4273819436184131E-3"/>
    <n v="2.1835650338452579E-3"/>
    <n v="5.7050489683369782E-3"/>
    <n v="1.2566278391935241E-3"/>
  </r>
  <r>
    <s v="North Dakota, 2016"/>
    <s v="North Dakota"/>
    <n v="2016"/>
    <x v="443"/>
    <n v="289710"/>
    <n v="0.51005281690140847"/>
    <n v="278291"/>
    <n v="0.48994894366197184"/>
    <x v="442"/>
    <n v="2.3834507042253521E-2"/>
    <x v="327"/>
    <x v="340"/>
    <n v="3.0669358754824034E-3"/>
    <n v="8.5206697246403569E-4"/>
    <n v="6.9184202940328625E-4"/>
    <n v="7.187005893344833E-4"/>
    <n v="9.2112131167674778E-4"/>
    <n v="8.4916074612924222E-4"/>
    <n v="8.3834008662847558E-4"/>
    <n v="1.404658784970151E-3"/>
    <n v="2.3731360993552979E-3"/>
    <n v="4.4319692716797161E-3"/>
    <n v="1.2676056338028169E-3"/>
  </r>
  <r>
    <s v="South Dakota, 2015"/>
    <s v="South Dakota"/>
    <n v="2015"/>
    <x v="444"/>
    <n v="286547"/>
    <n v="0.5055085216697921"/>
    <n v="280306"/>
    <n v="0.49449853488318757"/>
    <x v="443"/>
    <n v="2.3136673082249419E-2"/>
    <x v="337"/>
    <x v="348"/>
    <n v="3.0259474998108782E-3"/>
    <n v="7.7465334262917344E-4"/>
    <n v="7.2272612293571351E-4"/>
    <n v="8.2349711776008789E-4"/>
    <n v="9.3170595360104352E-4"/>
    <n v="8.3259325044404968E-4"/>
    <n v="8.2943957532693742E-4"/>
    <n v="1.3412017167381974E-3"/>
    <n v="2.1655958998050965E-3"/>
    <n v="8.9210827296988173E-3"/>
    <n v="1.3707354163101637E-3"/>
  </r>
  <r>
    <s v="Wyoming, 2012"/>
    <s v="Wyoming"/>
    <n v="2012"/>
    <x v="445"/>
    <n v="285617"/>
    <n v="0.50937635428797667"/>
    <n v="275104"/>
    <n v="0.49062721256101544"/>
    <x v="444"/>
    <n v="1.5556811879033884E-2"/>
    <x v="327"/>
    <x v="340"/>
    <n v="3.0946977511863006E-3"/>
    <n v="8.1700458884244071E-4"/>
    <n v="7.5416677141205155E-4"/>
    <n v="7.8244200148663975E-4"/>
    <n v="8.7982989955275308E-4"/>
    <n v="7.3084278353654825E-4"/>
    <n v="8.3035788424811092E-4"/>
    <n v="1.5316281206922959E-3"/>
    <n v="2.7776491829081987E-3"/>
    <n v="6.878367534105239E-3"/>
    <n v="1.2840656371551527E-3"/>
  </r>
  <r>
    <s v="North Dakota, 2010"/>
    <s v="North Dakota"/>
    <n v="2010"/>
    <x v="446"/>
    <n v="280656"/>
    <n v="0.50316251452175031"/>
    <n v="277129"/>
    <n v="0.49683927828693547"/>
    <x v="445"/>
    <n v="2.4652912238429213E-2"/>
    <x v="303"/>
    <x v="307"/>
    <n v="3.3456005352960855E-3"/>
    <n v="8.7814302022656094E-4"/>
    <n v="6.9038523496110825E-4"/>
    <n v="8.4549912631756946E-4"/>
    <n v="9.032743695897629E-4"/>
    <n v="7.2585620788521792E-4"/>
    <n v="9.2816038611472063E-4"/>
    <n v="1.5339383868081299E-3"/>
    <n v="2.0483408439164277E-3"/>
    <n v="4.7269289506217732E-3"/>
    <n v="1.2997862972046526E-3"/>
  </r>
  <r>
    <s v="Vermont, 2012"/>
    <s v="Vermont"/>
    <n v="2012"/>
    <x v="447"/>
    <n v="274147"/>
    <n v="0.49254128211255183"/>
    <n v="282450"/>
    <n v="0.50745871788744823"/>
    <x v="446"/>
    <n v="2.028936555532998E-2"/>
    <x v="327"/>
    <x v="340"/>
    <n v="4.1580041580041582E-3"/>
    <n v="9.251977610214183E-4"/>
    <n v="7.3732718894009217E-4"/>
    <n v="9.5767094426355101E-4"/>
    <n v="8.6325966850828726E-4"/>
    <n v="6.7550832001080812E-4"/>
    <n v="7.6073588517959706E-4"/>
    <n v="1.3541267011216683E-3"/>
    <n v="2.2574212724331237E-3"/>
    <n v="5.3130257681749758E-3"/>
    <n v="1.2935750641846794E-3"/>
  </r>
  <r>
    <s v="Wyoming, 2017"/>
    <s v="Wyoming"/>
    <n v="2017"/>
    <x v="448"/>
    <n v="276381"/>
    <n v="0.5094636991376863"/>
    <n v="266113"/>
    <n v="0.4905363008623137"/>
    <x v="447"/>
    <n v="1.6726452274126533E-2"/>
    <x v="338"/>
    <x v="349"/>
    <n v="3.4701136462219136E-3"/>
    <n v="8.2882086418388772E-4"/>
    <n v="8.0145330198760423E-4"/>
    <n v="7.800920508620017E-4"/>
    <n v="9.1256140777806511E-4"/>
    <n v="9.0681014418281291E-4"/>
    <n v="8.0092907773016695E-4"/>
    <n v="1.3085865084730976E-3"/>
    <n v="2.7260336210813267E-3"/>
    <n v="7.9347586510910301E-3"/>
    <n v="1.3493236791558985E-3"/>
  </r>
  <r>
    <s v="Wyoming, 2014"/>
    <s v="Wyoming"/>
    <n v="2014"/>
    <x v="449"/>
    <n v="275971"/>
    <n v="0.50924675228816063"/>
    <n v="265950"/>
    <n v="0.49075509300265724"/>
    <x v="448"/>
    <n v="1.5579790374963095E-2"/>
    <x v="327"/>
    <x v="340"/>
    <n v="3.2963410614218216E-3"/>
    <n v="8.4060691819493679E-4"/>
    <n v="7.8652421839155802E-4"/>
    <n v="7.7780658542909E-4"/>
    <n v="9.2219728873997109E-4"/>
    <n v="8.2414186228589484E-4"/>
    <n v="8.281230590865803E-4"/>
    <n v="1.4830560842375856E-3"/>
    <n v="2.7800945232137894E-3"/>
    <n v="7.1064787397844371E-3"/>
    <n v="1.3286093888396811E-3"/>
  </r>
  <r>
    <s v="Wyoming, 2010"/>
    <s v="Wyoming"/>
    <n v="2010"/>
    <x v="450"/>
    <n v="273830"/>
    <n v="0.50778280106663498"/>
    <n v="265437"/>
    <n v="0.49221905330578974"/>
    <x v="449"/>
    <n v="1.5626796423286467E-2"/>
    <x v="303"/>
    <x v="307"/>
    <n v="3.2969750254141826E-3"/>
    <n v="8.6234154474115385E-4"/>
    <n v="7.5427105987655092E-4"/>
    <n v="8.5879911257425031E-4"/>
    <n v="9.1317251350734338E-4"/>
    <n v="7.1858008575055685E-4"/>
    <n v="8.8944231966556968E-4"/>
    <n v="1.6260162601626016E-3"/>
    <n v="2.7296301351166915E-3"/>
    <n v="7.7133024801234133E-3"/>
    <n v="1.344420007936714E-3"/>
  </r>
  <r>
    <s v="Vermont, 2013"/>
    <s v="Vermont"/>
    <n v="2013"/>
    <x v="451"/>
    <n v="262885"/>
    <n v="0.49324632389501077"/>
    <n v="270084"/>
    <n v="0.50675367610498923"/>
    <x v="450"/>
    <n v="1.9680319117997482E-2"/>
    <x v="327"/>
    <x v="340"/>
    <n v="4.4513687959047404E-3"/>
    <n v="9.846557807499795E-4"/>
    <n v="7.674498919174736E-4"/>
    <n v="9.8934801965504726E-4"/>
    <n v="9.1311692462219787E-4"/>
    <n v="7.1366550497781688E-4"/>
    <n v="7.769504694075753E-4"/>
    <n v="1.3583265417006249E-3"/>
    <n v="2.4118663826024037E-3"/>
    <n v="5.7202783868814952E-3"/>
    <n v="1.3509228491713401E-3"/>
  </r>
  <r>
    <s v="Wyoming, 2011"/>
    <s v="Wyoming"/>
    <n v="2011"/>
    <x v="452"/>
    <n v="271072"/>
    <n v="0.50912423839467491"/>
    <n v="261356"/>
    <n v="0.49087576160532503"/>
    <x v="451"/>
    <n v="1.4790732268024973E-2"/>
    <x v="338"/>
    <x v="349"/>
    <n v="3.144818910844384E-3"/>
    <n v="8.4703889320251287E-4"/>
    <n v="7.776049766718507E-4"/>
    <n v="8.3645843498626814E-4"/>
    <n v="9.4045361212558194E-4"/>
    <n v="7.5515392554182292E-4"/>
    <n v="8.9424108739716225E-4"/>
    <n v="1.6606238410229444E-3"/>
    <n v="2.8837835239834664E-3"/>
    <n v="9.1428571428571435E-3"/>
    <n v="1.3748337803421308E-3"/>
  </r>
  <r>
    <s v="Wyoming, 2009"/>
    <s v="Wyoming"/>
    <n v="2009"/>
    <x v="453"/>
    <n v="264260"/>
    <n v="0.50875389372114599"/>
    <n v="255166"/>
    <n v="0.49124610627885396"/>
    <x v="452"/>
    <n v="1.5191769376196032E-2"/>
    <x v="303"/>
    <x v="307"/>
    <n v="3.3582402820921836E-3"/>
    <n v="8.9485458612975394E-4"/>
    <n v="7.4596247808735223E-4"/>
    <n v="8.9442771533347252E-4"/>
    <n v="9.3529329238827138E-4"/>
    <n v="7.3834340351697572E-4"/>
    <n v="9.7516577818229102E-4"/>
    <n v="1.7995860951981043E-3"/>
    <n v="2.8171659310733403E-3"/>
    <n v="8.2372322899505763E-3"/>
    <n v="1.3957714862174785E-3"/>
  </r>
  <r>
    <s v="Wyoming, 2015"/>
    <s v="Wyoming"/>
    <n v="2015"/>
    <x v="454"/>
    <n v="260462"/>
    <n v="0.50967147321437312"/>
    <n v="250579"/>
    <n v="0.4903324403812625"/>
    <x v="453"/>
    <n v="1.5992908564708367E-2"/>
    <x v="327"/>
    <x v="340"/>
    <n v="3.5535550356836153E-3"/>
    <n v="8.782072861931178E-4"/>
    <n v="8.3305564811729429E-4"/>
    <n v="8.4916074612924222E-4"/>
    <n v="9.8069662150013898E-4"/>
    <n v="8.9808259366253051E-4"/>
    <n v="8.5455477696120326E-4"/>
    <n v="1.5007879136546688E-3"/>
    <n v="2.9463759575721863E-3"/>
    <n v="7.3412455646641381E-3"/>
    <n v="1.4088944288009331E-3"/>
  </r>
  <r>
    <s v="Vermont, 2016"/>
    <s v="Vermont"/>
    <n v="2016"/>
    <x v="455"/>
    <n v="246339"/>
    <n v="0.49074348916570876"/>
    <n v="255633"/>
    <n v="0.50925850298124797"/>
    <x v="454"/>
    <n v="2.2706491012429005E-2"/>
    <x v="327"/>
    <x v="340"/>
    <n v="4.9513120977058922E-3"/>
    <n v="1.1086884215972504E-3"/>
    <n v="8.0386929085330728E-4"/>
    <n v="1.024555172296028E-3"/>
    <n v="1.0543518372080763E-3"/>
    <n v="8.2233460795197563E-4"/>
    <n v="7.9288517701161577E-4"/>
    <n v="1.2186452726718798E-3"/>
    <n v="2.4646730200460071E-3"/>
    <n v="5.2640814177925951E-3"/>
    <n v="1.4343458088216252E-3"/>
  </r>
  <r>
    <s v="Vermont, 2014"/>
    <s v="Vermont"/>
    <n v="2014"/>
    <x v="456"/>
    <n v="247115"/>
    <n v="0.49267315283703494"/>
    <n v="254465"/>
    <n v="0.50732684716296506"/>
    <x v="455"/>
    <n v="1.9919055783723435E-2"/>
    <x v="327"/>
    <x v="340"/>
    <n v="4.7677698756406692E-3"/>
    <n v="1.0454418734318371E-3"/>
    <n v="8.3923126416202761E-4"/>
    <n v="1.0221639210208011E-3"/>
    <n v="9.8809347364260669E-4"/>
    <n v="7.7795786061588326E-4"/>
    <n v="8.0508815715320823E-4"/>
    <n v="1.3802622498274672E-3"/>
    <n v="2.5452848597972257E-3"/>
    <n v="6.0054048643779405E-3"/>
    <n v="1.435463933968659E-3"/>
  </r>
  <r>
    <s v="Wyoming, 2013"/>
    <s v="Wyoming"/>
    <n v="2013"/>
    <x v="457"/>
    <n v="254360"/>
    <n v="0.50850032785836519"/>
    <n v="245856"/>
    <n v="0.49149967214163481"/>
    <x v="456"/>
    <n v="1.5499304300542166E-2"/>
    <x v="339"/>
    <x v="350"/>
    <n v="3.470213996529786E-3"/>
    <n v="9.0152357484148214E-4"/>
    <n v="8.4371572404871051E-4"/>
    <n v="8.6898589346232947E-4"/>
    <n v="1.0037809080871282E-3"/>
    <n v="8.5490788367553392E-4"/>
    <n v="9.0195724722648147E-4"/>
    <n v="1.6784625283240552E-3"/>
    <n v="3.0610683128411815E-3"/>
    <n v="8.6418160711982453E-3"/>
    <n v="1.4533721432341228E-3"/>
  </r>
  <r>
    <s v="Wyoming, 2016"/>
    <s v="Wyoming"/>
    <n v="2016"/>
    <x v="458"/>
    <n v="248736"/>
    <n v="0.50708532356412872"/>
    <n v="241786"/>
    <n v="0.49291671508457335"/>
    <x v="457"/>
    <n v="1.6947286660509948E-2"/>
    <x v="327"/>
    <x v="340"/>
    <n v="3.6899234340887427E-3"/>
    <n v="8.8461651873912659E-4"/>
    <n v="9.4768764215314631E-4"/>
    <n v="9.0338316997154347E-4"/>
    <n v="1.0084881082443903E-3"/>
    <n v="9.5852770145057192E-4"/>
    <n v="8.8363941620889241E-4"/>
    <n v="1.4452955629426219E-3"/>
    <n v="2.8601391934407476E-3"/>
    <n v="7.2176109707686757E-3"/>
    <n v="1.4678270655078987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9BE684-F400-4723-BE71-C271E92A897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B3:C343" firstHeaderRow="1" firstDataRow="1" firstDataCol="1"/>
  <pivotFields count="23">
    <pivotField showAll="0" defaultSubtotal="0"/>
    <pivotField showAll="0" defaultSubtotal="0"/>
    <pivotField showAll="0" defaultSubtotal="0"/>
    <pivotField numFmtId="3" showAll="0" defaultSubtotal="0"/>
    <pivotField numFmtId="3" showAll="0" defaultSubtotal="0"/>
    <pivotField numFmtId="9" showAll="0" defaultSubtotal="0"/>
    <pivotField numFmtId="3" showAll="0" defaultSubtotal="0"/>
    <pivotField numFmtId="9" showAll="0" defaultSubtotal="0"/>
    <pivotField dataField="1" numFmtId="3" showAll="0" defaultSubtotal="0"/>
    <pivotField numFmtId="164" showAll="0" defaultSubtotal="0"/>
    <pivotField axis="axisRow" numFmtId="3" showAll="0" defaultSubtotal="0">
      <items count="340">
        <item x="327"/>
        <item x="303"/>
        <item x="326"/>
        <item x="339"/>
        <item x="330"/>
        <item x="323"/>
        <item x="338"/>
        <item x="334"/>
        <item x="325"/>
        <item x="328"/>
        <item x="319"/>
        <item x="331"/>
        <item x="314"/>
        <item x="333"/>
        <item x="302"/>
        <item x="329"/>
        <item x="317"/>
        <item x="298"/>
        <item x="336"/>
        <item x="321"/>
        <item x="312"/>
        <item x="318"/>
        <item x="275"/>
        <item x="335"/>
        <item x="300"/>
        <item x="332"/>
        <item x="301"/>
        <item x="304"/>
        <item x="316"/>
        <item x="238"/>
        <item x="281"/>
        <item x="322"/>
        <item x="278"/>
        <item x="305"/>
        <item x="271"/>
        <item x="337"/>
        <item x="272"/>
        <item x="297"/>
        <item x="246"/>
        <item x="262"/>
        <item x="315"/>
        <item x="313"/>
        <item x="324"/>
        <item x="279"/>
        <item x="280"/>
        <item x="285"/>
        <item x="268"/>
        <item x="310"/>
        <item x="276"/>
        <item x="311"/>
        <item x="258"/>
        <item x="252"/>
        <item x="286"/>
        <item x="274"/>
        <item x="269"/>
        <item x="277"/>
        <item x="248"/>
        <item x="270"/>
        <item x="291"/>
        <item x="292"/>
        <item x="239"/>
        <item x="244"/>
        <item x="320"/>
        <item x="288"/>
        <item x="293"/>
        <item x="296"/>
        <item x="265"/>
        <item x="283"/>
        <item x="215"/>
        <item x="256"/>
        <item x="282"/>
        <item x="295"/>
        <item x="217"/>
        <item x="309"/>
        <item x="224"/>
        <item x="284"/>
        <item x="233"/>
        <item x="294"/>
        <item x="289"/>
        <item x="232"/>
        <item x="287"/>
        <item x="221"/>
        <item x="223"/>
        <item x="299"/>
        <item x="290"/>
        <item x="255"/>
        <item x="236"/>
        <item x="247"/>
        <item x="307"/>
        <item x="218"/>
        <item x="220"/>
        <item x="222"/>
        <item x="173"/>
        <item x="219"/>
        <item x="251"/>
        <item x="273"/>
        <item x="250"/>
        <item x="266"/>
        <item x="190"/>
        <item x="171"/>
        <item x="189"/>
        <item x="308"/>
        <item x="199"/>
        <item x="185"/>
        <item x="192"/>
        <item x="230"/>
        <item x="186"/>
        <item x="241"/>
        <item x="216"/>
        <item x="187"/>
        <item x="259"/>
        <item x="134"/>
        <item x="119"/>
        <item x="207"/>
        <item x="183"/>
        <item x="129"/>
        <item x="174"/>
        <item x="179"/>
        <item x="195"/>
        <item x="264"/>
        <item x="181"/>
        <item x="197"/>
        <item x="243"/>
        <item x="196"/>
        <item x="257"/>
        <item x="204"/>
        <item x="202"/>
        <item x="261"/>
        <item x="135"/>
        <item x="206"/>
        <item x="118"/>
        <item x="123"/>
        <item x="260"/>
        <item x="225"/>
        <item x="178"/>
        <item x="205"/>
        <item x="231"/>
        <item x="212"/>
        <item x="237"/>
        <item x="126"/>
        <item x="120"/>
        <item x="254"/>
        <item x="229"/>
        <item x="200"/>
        <item x="194"/>
        <item x="107"/>
        <item x="263"/>
        <item x="249"/>
        <item x="176"/>
        <item x="203"/>
        <item x="110"/>
        <item x="201"/>
        <item x="235"/>
        <item x="245"/>
        <item x="208"/>
        <item x="198"/>
        <item x="125"/>
        <item x="131"/>
        <item x="240"/>
        <item x="172"/>
        <item x="112"/>
        <item x="209"/>
        <item x="188"/>
        <item x="253"/>
        <item x="228"/>
        <item x="106"/>
        <item x="182"/>
        <item x="214"/>
        <item x="193"/>
        <item x="184"/>
        <item x="191"/>
        <item x="306"/>
        <item x="211"/>
        <item x="138"/>
        <item x="242"/>
        <item x="226"/>
        <item x="210"/>
        <item x="180"/>
        <item x="227"/>
        <item x="160"/>
        <item x="267"/>
        <item x="213"/>
        <item x="234"/>
        <item x="159"/>
        <item x="177"/>
        <item x="108"/>
        <item x="150"/>
        <item x="175"/>
        <item x="114"/>
        <item x="151"/>
        <item x="149"/>
        <item x="153"/>
        <item x="75"/>
        <item x="74"/>
        <item x="137"/>
        <item x="127"/>
        <item x="158"/>
        <item x="144"/>
        <item x="169"/>
        <item x="139"/>
        <item x="145"/>
        <item x="105"/>
        <item x="154"/>
        <item x="99"/>
        <item x="70"/>
        <item x="166"/>
        <item x="98"/>
        <item x="152"/>
        <item x="161"/>
        <item x="148"/>
        <item x="141"/>
        <item x="168"/>
        <item x="79"/>
        <item x="73"/>
        <item x="133"/>
        <item x="81"/>
        <item x="143"/>
        <item x="130"/>
        <item x="80"/>
        <item x="132"/>
        <item x="96"/>
        <item x="128"/>
        <item x="102"/>
        <item x="146"/>
        <item x="83"/>
        <item x="165"/>
        <item x="77"/>
        <item x="163"/>
        <item x="157"/>
        <item x="94"/>
        <item x="155"/>
        <item x="92"/>
        <item x="140"/>
        <item x="156"/>
        <item x="170"/>
        <item x="147"/>
        <item x="95"/>
        <item x="97"/>
        <item x="104"/>
        <item x="142"/>
        <item x="100"/>
        <item x="91"/>
        <item x="71"/>
        <item x="167"/>
        <item x="63"/>
        <item x="136"/>
        <item x="164"/>
        <item x="103"/>
        <item x="89"/>
        <item x="111"/>
        <item x="101"/>
        <item x="162"/>
        <item x="62"/>
        <item x="93"/>
        <item x="88"/>
        <item x="124"/>
        <item x="122"/>
        <item x="85"/>
        <item x="66"/>
        <item x="115"/>
        <item x="82"/>
        <item x="72"/>
        <item x="90"/>
        <item x="117"/>
        <item x="86"/>
        <item x="76"/>
        <item x="109"/>
        <item x="84"/>
        <item x="78"/>
        <item x="65"/>
        <item x="64"/>
        <item x="53"/>
        <item x="67"/>
        <item x="121"/>
        <item x="68"/>
        <item x="113"/>
        <item x="58"/>
        <item x="116"/>
        <item x="54"/>
        <item x="69"/>
        <item x="87"/>
        <item x="42"/>
        <item x="34"/>
        <item x="60"/>
        <item x="35"/>
        <item x="55"/>
        <item x="10"/>
        <item x="9"/>
        <item x="57"/>
        <item x="59"/>
        <item x="32"/>
        <item x="38"/>
        <item x="51"/>
        <item x="56"/>
        <item x="33"/>
        <item x="30"/>
        <item x="19"/>
        <item x="26"/>
        <item x="40"/>
        <item x="61"/>
        <item x="49"/>
        <item x="31"/>
        <item x="36"/>
        <item x="43"/>
        <item x="47"/>
        <item x="11"/>
        <item x="39"/>
        <item x="45"/>
        <item x="41"/>
        <item x="14"/>
        <item x="46"/>
        <item x="16"/>
        <item x="48"/>
        <item x="17"/>
        <item x="12"/>
        <item x="15"/>
        <item x="13"/>
        <item x="18"/>
        <item x="37"/>
        <item x="50"/>
        <item x="52"/>
        <item x="44"/>
        <item x="21"/>
        <item x="25"/>
        <item x="20"/>
        <item x="29"/>
        <item x="23"/>
        <item x="27"/>
        <item x="24"/>
        <item x="22"/>
        <item x="28"/>
        <item x="3"/>
        <item x="0"/>
        <item x="8"/>
        <item x="5"/>
        <item x="7"/>
        <item x="1"/>
        <item x="2"/>
        <item x="6"/>
        <item x="4"/>
      </items>
    </pivotField>
    <pivotField numFmtId="3"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s>
  <rowFields count="1">
    <field x="10"/>
  </rowFields>
  <rowItems count="3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rowItems>
  <colItems count="1">
    <i/>
  </colItems>
  <dataFields count="1">
    <dataField name="Average of Population 85+ years" fld="8" subtotal="average" baseField="10" baseItem="5" numFmtId="3"/>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777B24-A967-495F-AFED-AA923659BEB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B3:C461" firstHeaderRow="1" firstDataRow="1" firstDataCol="1"/>
  <pivotFields count="23">
    <pivotField showAll="0" defaultSubtotal="0"/>
    <pivotField showAll="0" defaultSubtotal="0"/>
    <pivotField showAll="0" defaultSubtotal="0"/>
    <pivotField numFmtId="3" showAll="0" defaultSubtotal="0"/>
    <pivotField numFmtId="3" showAll="0" defaultSubtotal="0"/>
    <pivotField numFmtId="9" showAll="0" defaultSubtotal="0"/>
    <pivotField numFmtId="3" showAll="0" defaultSubtotal="0"/>
    <pivotField numFmtId="9" showAll="0" defaultSubtotal="0"/>
    <pivotField axis="axisRow" dataField="1" numFmtId="3" showAll="0" defaultSubtotal="0">
      <items count="458">
        <item x="419"/>
        <item x="420"/>
        <item x="417"/>
        <item x="414"/>
        <item x="428"/>
        <item x="413"/>
        <item x="415"/>
        <item x="412"/>
        <item x="410"/>
        <item x="456"/>
        <item x="451"/>
        <item x="452"/>
        <item x="453"/>
        <item x="457"/>
        <item x="449"/>
        <item x="448"/>
        <item x="444"/>
        <item x="447"/>
        <item x="440"/>
        <item x="433"/>
        <item x="455"/>
        <item x="439"/>
        <item x="437"/>
        <item x="427"/>
        <item x="435"/>
        <item x="424"/>
        <item x="450"/>
        <item x="441"/>
        <item x="421"/>
        <item x="432"/>
        <item x="418"/>
        <item x="446"/>
        <item x="454"/>
        <item x="430"/>
        <item x="438"/>
        <item x="431"/>
        <item x="443"/>
        <item x="442"/>
        <item x="429"/>
        <item x="445"/>
        <item x="436"/>
        <item x="422"/>
        <item x="426"/>
        <item x="425"/>
        <item x="407"/>
        <item x="434"/>
        <item x="416"/>
        <item x="402"/>
        <item x="401"/>
        <item x="411"/>
        <item x="409"/>
        <item x="408"/>
        <item x="399"/>
        <item x="397"/>
        <item x="403"/>
        <item x="423"/>
        <item x="396"/>
        <item x="405"/>
        <item x="406"/>
        <item x="390"/>
        <item x="394"/>
        <item x="400"/>
        <item x="392"/>
        <item x="389"/>
        <item x="393"/>
        <item x="391"/>
        <item x="398"/>
        <item x="388"/>
        <item x="395"/>
        <item x="404"/>
        <item x="387"/>
        <item x="386"/>
        <item x="374"/>
        <item x="350"/>
        <item x="369"/>
        <item x="348"/>
        <item x="345"/>
        <item x="347"/>
        <item x="377"/>
        <item x="368"/>
        <item x="375"/>
        <item x="342"/>
        <item x="344"/>
        <item x="346"/>
        <item x="366"/>
        <item x="349"/>
        <item x="372"/>
        <item x="378"/>
        <item x="341"/>
        <item x="365"/>
        <item x="381"/>
        <item x="371"/>
        <item x="384"/>
        <item x="367"/>
        <item x="358"/>
        <item x="364"/>
        <item x="385"/>
        <item x="360"/>
        <item x="363"/>
        <item x="379"/>
        <item x="383"/>
        <item x="359"/>
        <item x="382"/>
        <item x="313"/>
        <item x="307"/>
        <item x="309"/>
        <item x="357"/>
        <item x="380"/>
        <item x="376"/>
        <item x="373"/>
        <item x="310"/>
        <item x="308"/>
        <item x="370"/>
        <item x="305"/>
        <item x="362"/>
        <item x="321"/>
        <item x="361"/>
        <item x="290"/>
        <item x="317"/>
        <item x="322"/>
        <item x="318"/>
        <item x="284"/>
        <item x="356"/>
        <item x="320"/>
        <item x="323"/>
        <item x="288"/>
        <item x="316"/>
        <item x="304"/>
        <item x="355"/>
        <item x="337"/>
        <item x="338"/>
        <item x="343"/>
        <item x="272"/>
        <item x="340"/>
        <item x="266"/>
        <item x="297"/>
        <item x="332"/>
        <item x="319"/>
        <item x="339"/>
        <item x="265"/>
        <item x="325"/>
        <item x="331"/>
        <item x="333"/>
        <item x="334"/>
        <item x="336"/>
        <item x="335"/>
        <item x="326"/>
        <item x="315"/>
        <item x="330"/>
        <item x="301"/>
        <item x="354"/>
        <item x="327"/>
        <item x="329"/>
        <item x="328"/>
        <item x="282"/>
        <item x="353"/>
        <item x="324"/>
        <item x="274"/>
        <item x="351"/>
        <item x="352"/>
        <item x="276"/>
        <item x="314"/>
        <item x="287"/>
        <item x="275"/>
        <item x="281"/>
        <item x="302"/>
        <item x="289"/>
        <item x="278"/>
        <item x="312"/>
        <item x="293"/>
        <item x="263"/>
        <item x="311"/>
        <item x="280"/>
        <item x="273"/>
        <item x="277"/>
        <item x="269"/>
        <item x="292"/>
        <item x="279"/>
        <item x="271"/>
        <item x="294"/>
        <item x="303"/>
        <item x="291"/>
        <item x="298"/>
        <item x="295"/>
        <item x="285"/>
        <item x="259"/>
        <item x="283"/>
        <item x="300"/>
        <item x="286"/>
        <item x="246"/>
        <item x="255"/>
        <item x="257"/>
        <item x="306"/>
        <item x="251"/>
        <item x="252"/>
        <item x="245"/>
        <item x="241"/>
        <item x="296"/>
        <item x="299"/>
        <item x="244"/>
        <item x="197"/>
        <item x="222"/>
        <item x="216"/>
        <item x="231"/>
        <item x="224"/>
        <item x="220"/>
        <item x="213"/>
        <item x="217"/>
        <item x="270"/>
        <item x="214"/>
        <item x="196"/>
        <item x="221"/>
        <item x="268"/>
        <item x="225"/>
        <item x="264"/>
        <item x="267"/>
        <item x="229"/>
        <item x="193"/>
        <item x="210"/>
        <item x="228"/>
        <item x="219"/>
        <item x="232"/>
        <item x="226"/>
        <item x="261"/>
        <item x="215"/>
        <item x="223"/>
        <item x="235"/>
        <item x="262"/>
        <item x="195"/>
        <item x="230"/>
        <item x="208"/>
        <item x="243"/>
        <item x="189"/>
        <item x="227"/>
        <item x="240"/>
        <item x="242"/>
        <item x="191"/>
        <item x="212"/>
        <item x="205"/>
        <item x="202"/>
        <item x="218"/>
        <item x="239"/>
        <item x="188"/>
        <item x="211"/>
        <item x="207"/>
        <item x="201"/>
        <item x="182"/>
        <item x="238"/>
        <item x="204"/>
        <item x="236"/>
        <item x="203"/>
        <item x="198"/>
        <item x="260"/>
        <item x="209"/>
        <item x="237"/>
        <item x="206"/>
        <item x="200"/>
        <item x="234"/>
        <item x="258"/>
        <item x="199"/>
        <item x="180"/>
        <item x="167"/>
        <item x="256"/>
        <item x="233"/>
        <item x="254"/>
        <item x="249"/>
        <item x="253"/>
        <item x="250"/>
        <item x="248"/>
        <item x="166"/>
        <item x="247"/>
        <item x="165"/>
        <item x="148"/>
        <item x="139"/>
        <item x="151"/>
        <item x="192"/>
        <item x="152"/>
        <item x="190"/>
        <item x="147"/>
        <item x="138"/>
        <item x="135"/>
        <item x="142"/>
        <item x="158"/>
        <item x="194"/>
        <item x="181"/>
        <item x="185"/>
        <item x="186"/>
        <item x="146"/>
        <item x="157"/>
        <item x="145"/>
        <item x="187"/>
        <item x="140"/>
        <item x="130"/>
        <item x="155"/>
        <item x="133"/>
        <item x="184"/>
        <item x="149"/>
        <item x="153"/>
        <item x="156"/>
        <item x="136"/>
        <item x="183"/>
        <item x="106"/>
        <item x="129"/>
        <item x="122"/>
        <item x="154"/>
        <item x="171"/>
        <item x="164"/>
        <item x="144"/>
        <item x="132"/>
        <item x="163"/>
        <item x="134"/>
        <item x="159"/>
        <item x="84"/>
        <item x="168"/>
        <item x="178"/>
        <item x="174"/>
        <item x="169"/>
        <item x="170"/>
        <item x="81"/>
        <item x="161"/>
        <item x="107"/>
        <item x="119"/>
        <item x="103"/>
        <item x="150"/>
        <item x="78"/>
        <item x="172"/>
        <item x="137"/>
        <item x="123"/>
        <item x="82"/>
        <item x="162"/>
        <item x="115"/>
        <item x="102"/>
        <item x="160"/>
        <item x="175"/>
        <item x="80"/>
        <item x="141"/>
        <item x="127"/>
        <item x="179"/>
        <item x="143"/>
        <item x="104"/>
        <item x="74"/>
        <item x="111"/>
        <item x="176"/>
        <item x="177"/>
        <item x="173"/>
        <item x="105"/>
        <item x="71"/>
        <item x="124"/>
        <item x="117"/>
        <item x="75"/>
        <item x="76"/>
        <item x="110"/>
        <item x="131"/>
        <item x="113"/>
        <item x="108"/>
        <item x="109"/>
        <item x="100"/>
        <item x="101"/>
        <item x="99"/>
        <item x="89"/>
        <item x="87"/>
        <item x="126"/>
        <item x="86"/>
        <item x="128"/>
        <item x="85"/>
        <item x="125"/>
        <item x="121"/>
        <item x="88"/>
        <item x="79"/>
        <item x="120"/>
        <item x="118"/>
        <item x="83"/>
        <item x="116"/>
        <item x="112"/>
        <item x="114"/>
        <item x="73"/>
        <item x="98"/>
        <item x="65"/>
        <item x="97"/>
        <item x="96"/>
        <item x="63"/>
        <item x="95"/>
        <item x="64"/>
        <item x="66"/>
        <item x="94"/>
        <item x="67"/>
        <item x="92"/>
        <item x="69"/>
        <item x="91"/>
        <item x="93"/>
        <item x="70"/>
        <item x="72"/>
        <item x="77"/>
        <item x="68"/>
        <item x="90"/>
        <item x="54"/>
        <item x="55"/>
        <item x="36"/>
        <item x="56"/>
        <item x="38"/>
        <item x="43"/>
        <item x="60"/>
        <item x="58"/>
        <item x="40"/>
        <item x="49"/>
        <item x="45"/>
        <item x="46"/>
        <item x="62"/>
        <item x="57"/>
        <item x="52"/>
        <item x="42"/>
        <item x="59"/>
        <item x="61"/>
        <item x="48"/>
        <item x="16"/>
        <item x="47"/>
        <item x="51"/>
        <item x="17"/>
        <item x="15"/>
        <item x="41"/>
        <item x="14"/>
        <item x="44"/>
        <item x="53"/>
        <item x="50"/>
        <item x="13"/>
        <item x="12"/>
        <item x="39"/>
        <item x="11"/>
        <item x="37"/>
        <item x="10"/>
        <item x="9"/>
        <item x="25"/>
        <item x="27"/>
        <item x="28"/>
        <item x="29"/>
        <item x="24"/>
        <item x="23"/>
        <item x="34"/>
        <item x="22"/>
        <item x="21"/>
        <item x="35"/>
        <item x="33"/>
        <item x="20"/>
        <item x="32"/>
        <item x="31"/>
        <item x="30"/>
        <item x="26"/>
        <item x="19"/>
        <item x="18"/>
        <item x="8"/>
        <item x="7"/>
        <item x="6"/>
        <item x="5"/>
        <item x="4"/>
        <item x="3"/>
        <item x="2"/>
        <item x="0"/>
        <item x="1"/>
      </items>
    </pivotField>
    <pivotField numFmtId="164" showAll="0" defaultSubtotal="0"/>
    <pivotField numFmtId="3" showAll="0" defaultSubtotal="0"/>
    <pivotField numFmtId="3"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s>
  <rowFields count="1">
    <field x="8"/>
  </rowFields>
  <rowItems count="4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rowItems>
  <colItems count="1">
    <i/>
  </colItems>
  <dataFields count="1">
    <dataField name="Sum of Population 85+ years" fld="8" baseField="8" baseItem="0" numFmtId="3"/>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1851BD-1431-4798-9F03-CAD86168868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B3:C462" firstHeaderRow="1" firstDataRow="1" firstDataCol="1"/>
  <pivotFields count="23">
    <pivotField showAll="0" defaultSubtotal="0"/>
    <pivotField showAll="0" defaultSubtotal="0"/>
    <pivotField showAll="0" defaultSubtotal="0"/>
    <pivotField axis="axisRow" numFmtId="3" showAll="0" defaultSubtotal="0">
      <items count="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numFmtId="3" showAll="0" defaultSubtotal="0"/>
    <pivotField numFmtId="9" showAll="0" defaultSubtotal="0"/>
    <pivotField numFmtId="3" showAll="0" defaultSubtotal="0"/>
    <pivotField numFmtId="9" showAll="0" defaultSubtotal="0"/>
    <pivotField numFmtId="3" showAll="0" defaultSubtotal="0"/>
    <pivotField numFmtId="164" showAll="0" defaultSubtotal="0"/>
    <pivotField dataField="1" numFmtId="3" showAll="0" defaultSubtotal="0">
      <items count="340">
        <item x="327"/>
        <item x="303"/>
        <item x="326"/>
        <item x="339"/>
        <item x="330"/>
        <item x="323"/>
        <item x="338"/>
        <item x="334"/>
        <item x="325"/>
        <item x="328"/>
        <item x="319"/>
        <item x="331"/>
        <item x="314"/>
        <item x="333"/>
        <item x="302"/>
        <item x="329"/>
        <item x="317"/>
        <item x="298"/>
        <item x="336"/>
        <item x="321"/>
        <item x="312"/>
        <item x="318"/>
        <item x="275"/>
        <item x="335"/>
        <item x="300"/>
        <item x="332"/>
        <item x="301"/>
        <item x="304"/>
        <item x="316"/>
        <item x="238"/>
        <item x="281"/>
        <item x="322"/>
        <item x="278"/>
        <item x="305"/>
        <item x="271"/>
        <item x="337"/>
        <item x="272"/>
        <item x="297"/>
        <item x="246"/>
        <item x="262"/>
        <item x="315"/>
        <item x="313"/>
        <item x="324"/>
        <item x="279"/>
        <item x="280"/>
        <item x="285"/>
        <item x="268"/>
        <item x="310"/>
        <item x="276"/>
        <item x="311"/>
        <item x="258"/>
        <item x="252"/>
        <item x="286"/>
        <item x="274"/>
        <item x="269"/>
        <item x="277"/>
        <item x="248"/>
        <item x="270"/>
        <item x="291"/>
        <item x="292"/>
        <item x="239"/>
        <item x="244"/>
        <item x="320"/>
        <item x="288"/>
        <item x="293"/>
        <item x="296"/>
        <item x="265"/>
        <item x="283"/>
        <item x="215"/>
        <item x="256"/>
        <item x="282"/>
        <item x="295"/>
        <item x="217"/>
        <item x="309"/>
        <item x="224"/>
        <item x="284"/>
        <item x="233"/>
        <item x="294"/>
        <item x="289"/>
        <item x="232"/>
        <item x="287"/>
        <item x="221"/>
        <item x="223"/>
        <item x="299"/>
        <item x="290"/>
        <item x="255"/>
        <item x="236"/>
        <item x="247"/>
        <item x="307"/>
        <item x="218"/>
        <item x="220"/>
        <item x="222"/>
        <item x="173"/>
        <item x="219"/>
        <item x="251"/>
        <item x="273"/>
        <item x="250"/>
        <item x="266"/>
        <item x="190"/>
        <item x="171"/>
        <item x="189"/>
        <item x="308"/>
        <item x="199"/>
        <item x="185"/>
        <item x="192"/>
        <item x="230"/>
        <item x="186"/>
        <item x="241"/>
        <item x="216"/>
        <item x="187"/>
        <item x="259"/>
        <item x="134"/>
        <item x="119"/>
        <item x="207"/>
        <item x="183"/>
        <item x="129"/>
        <item x="174"/>
        <item x="179"/>
        <item x="195"/>
        <item x="264"/>
        <item x="181"/>
        <item x="197"/>
        <item x="243"/>
        <item x="196"/>
        <item x="257"/>
        <item x="204"/>
        <item x="202"/>
        <item x="261"/>
        <item x="135"/>
        <item x="206"/>
        <item x="118"/>
        <item x="123"/>
        <item x="260"/>
        <item x="225"/>
        <item x="178"/>
        <item x="205"/>
        <item x="231"/>
        <item x="212"/>
        <item x="237"/>
        <item x="126"/>
        <item x="120"/>
        <item x="254"/>
        <item x="229"/>
        <item x="200"/>
        <item x="194"/>
        <item x="107"/>
        <item x="263"/>
        <item x="249"/>
        <item x="176"/>
        <item x="203"/>
        <item x="110"/>
        <item x="201"/>
        <item x="235"/>
        <item x="245"/>
        <item x="208"/>
        <item x="198"/>
        <item x="125"/>
        <item x="131"/>
        <item x="240"/>
        <item x="172"/>
        <item x="112"/>
        <item x="209"/>
        <item x="188"/>
        <item x="253"/>
        <item x="228"/>
        <item x="106"/>
        <item x="182"/>
        <item x="214"/>
        <item x="193"/>
        <item x="184"/>
        <item x="191"/>
        <item x="306"/>
        <item x="211"/>
        <item x="138"/>
        <item x="242"/>
        <item x="226"/>
        <item x="210"/>
        <item x="180"/>
        <item x="227"/>
        <item x="160"/>
        <item x="267"/>
        <item x="213"/>
        <item x="234"/>
        <item x="159"/>
        <item x="177"/>
        <item x="108"/>
        <item x="150"/>
        <item x="175"/>
        <item x="114"/>
        <item x="151"/>
        <item x="149"/>
        <item x="153"/>
        <item x="75"/>
        <item x="74"/>
        <item x="137"/>
        <item x="127"/>
        <item x="158"/>
        <item x="144"/>
        <item x="169"/>
        <item x="139"/>
        <item x="145"/>
        <item x="105"/>
        <item x="154"/>
        <item x="99"/>
        <item x="70"/>
        <item x="166"/>
        <item x="98"/>
        <item x="152"/>
        <item x="161"/>
        <item x="148"/>
        <item x="141"/>
        <item x="168"/>
        <item x="79"/>
        <item x="73"/>
        <item x="133"/>
        <item x="81"/>
        <item x="143"/>
        <item x="130"/>
        <item x="80"/>
        <item x="132"/>
        <item x="96"/>
        <item x="128"/>
        <item x="102"/>
        <item x="146"/>
        <item x="83"/>
        <item x="165"/>
        <item x="77"/>
        <item x="163"/>
        <item x="157"/>
        <item x="94"/>
        <item x="155"/>
        <item x="92"/>
        <item x="140"/>
        <item x="156"/>
        <item x="170"/>
        <item x="147"/>
        <item x="95"/>
        <item x="97"/>
        <item x="104"/>
        <item x="142"/>
        <item x="100"/>
        <item x="91"/>
        <item x="71"/>
        <item x="167"/>
        <item x="63"/>
        <item x="136"/>
        <item x="164"/>
        <item x="103"/>
        <item x="89"/>
        <item x="111"/>
        <item x="101"/>
        <item x="162"/>
        <item x="62"/>
        <item x="93"/>
        <item x="88"/>
        <item x="124"/>
        <item x="122"/>
        <item x="85"/>
        <item x="66"/>
        <item x="115"/>
        <item x="82"/>
        <item x="72"/>
        <item x="90"/>
        <item x="117"/>
        <item x="86"/>
        <item x="76"/>
        <item x="109"/>
        <item x="84"/>
        <item x="78"/>
        <item x="65"/>
        <item x="64"/>
        <item x="53"/>
        <item x="67"/>
        <item x="121"/>
        <item x="68"/>
        <item x="113"/>
        <item x="58"/>
        <item x="116"/>
        <item x="54"/>
        <item x="69"/>
        <item x="87"/>
        <item x="42"/>
        <item x="34"/>
        <item x="60"/>
        <item x="35"/>
        <item x="55"/>
        <item x="10"/>
        <item x="9"/>
        <item x="57"/>
        <item x="59"/>
        <item x="32"/>
        <item x="38"/>
        <item x="51"/>
        <item x="56"/>
        <item x="33"/>
        <item x="30"/>
        <item x="19"/>
        <item x="26"/>
        <item x="40"/>
        <item x="61"/>
        <item x="49"/>
        <item x="31"/>
        <item x="36"/>
        <item x="43"/>
        <item x="47"/>
        <item x="11"/>
        <item x="39"/>
        <item x="45"/>
        <item x="41"/>
        <item x="14"/>
        <item x="46"/>
        <item x="16"/>
        <item x="48"/>
        <item x="17"/>
        <item x="12"/>
        <item x="15"/>
        <item x="13"/>
        <item x="18"/>
        <item x="37"/>
        <item x="50"/>
        <item x="52"/>
        <item x="44"/>
        <item x="21"/>
        <item x="25"/>
        <item x="20"/>
        <item x="29"/>
        <item x="23"/>
        <item x="27"/>
        <item x="24"/>
        <item x="22"/>
        <item x="28"/>
        <item x="3"/>
        <item x="0"/>
        <item x="8"/>
        <item x="5"/>
        <item x="7"/>
        <item x="1"/>
        <item x="2"/>
        <item x="6"/>
        <item x="4"/>
      </items>
    </pivotField>
    <pivotField numFmtId="3"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s>
  <rowFields count="1">
    <field x="3"/>
  </rowFields>
  <rowItems count="4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rowItems>
  <colItems count="1">
    <i/>
  </colItems>
  <dataFields count="1">
    <dataField name="Sum of Flu Deaths 85+ years" fld="10" baseField="0" baseItem="0" numFmtId="3"/>
  </dataField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05179C-2FD5-44DA-990B-02A0C4BC7D43}" name="Integrated" displayName="Integrated" ref="A1:AO460" totalsRowShown="0" headerRowDxfId="62">
  <autoFilter ref="A1:AO460" xr:uid="{4B05179C-2FD5-44DA-990B-02A0C4BC7D43}"/>
  <sortState xmlns:xlrd2="http://schemas.microsoft.com/office/spreadsheetml/2017/richdata2" ref="A2:AO460">
    <sortCondition ref="AB1:AB460"/>
  </sortState>
  <tableColumns count="41">
    <tableColumn id="3" xr3:uid="{57ECC0D1-5D7B-4545-9C86-50D1D3FD6EC4}" name="Combined Key" dataDxfId="61"/>
    <tableColumn id="1" xr3:uid="{0A7E8FA4-C8BA-479B-85C1-312167478993}" name="State" dataDxfId="60"/>
    <tableColumn id="2" xr3:uid="{1AA5C156-6CEF-413C-A6AB-B4BEAF7C7E44}" name="Year" dataDxfId="59"/>
    <tableColumn id="5" xr3:uid="{090D0685-CE38-4F87-808F-459F60632700}" name="Total population" dataDxfId="58"/>
    <tableColumn id="6" xr3:uid="{9AE02324-1198-49F7-B541-29362C0E43FC}" name="Male Total population" dataDxfId="57"/>
    <tableColumn id="8" xr3:uid="{38D96775-67F5-4857-8F68-FA108A58B168}" name="Female Total population" dataDxfId="56"/>
    <tableColumn id="44" xr3:uid="{C51F8278-BAEF-47FB-A5B1-2210F8BD05D2}" name="% Female population" dataCellStyle="Percent">
      <calculatedColumnFormula>Integrated[[#This Row],[Female Total population]]/Integrated[[#This Row],[Total population]]</calculatedColumnFormula>
    </tableColumn>
    <tableColumn id="4" xr3:uid="{87D17B37-197F-4AC3-B86C-BD0A2577865F}" name="Population &lt;5 years" dataDxfId="55"/>
    <tableColumn id="7" xr3:uid="{170D9B49-C2F7-4E0A-806B-3A63B10FC18C}" name="Population 5 to 14 years" dataDxfId="54"/>
    <tableColumn id="10" xr3:uid="{32B2FF12-A3B6-4098-ACB6-DF5C4DA60728}" name="Population 15 to 24 years" dataDxfId="53"/>
    <tableColumn id="13" xr3:uid="{DA815465-4E66-4563-AE72-0DA2FBA6A76D}" name="Population 25 to 34 years" dataDxfId="52"/>
    <tableColumn id="16" xr3:uid="{3AA92223-054C-4128-A446-70F5DF41D753}" name="Population 35 to 44 years" dataDxfId="51"/>
    <tableColumn id="19" xr3:uid="{957641EC-36F2-431B-8CEB-C70CDB0960CC}" name="Population 45 to 54 years" dataDxfId="50"/>
    <tableColumn id="22" xr3:uid="{AFB1AEA1-24D9-405C-A1D0-54CE4C5104CC}" name="Population 55 to 64 years" dataDxfId="49"/>
    <tableColumn id="25" xr3:uid="{064F2A66-FBA6-43A0-A392-1649B0F9EC28}" name="Population 65 to 74 years" dataDxfId="48"/>
    <tableColumn id="28" xr3:uid="{17193C11-4D41-45B7-935B-1AC00D07846E}" name="Population 75 to 84 years" dataDxfId="47"/>
    <tableColumn id="29" xr3:uid="{121127A0-0AC5-43CB-BB93-2F5AF89DBAF9}" name="Population 85+ years" dataDxfId="46"/>
    <tableColumn id="43" xr3:uid="{1A59B945-9218-461D-8BDA-D4B7E5C572D1}" name="% of population 85+" dataDxfId="45" dataCellStyle="Percent">
      <calculatedColumnFormula>Integrated[[#This Row],[Population 85+ years]]/Integrated[[#This Row],[Total population]]</calculatedColumnFormula>
    </tableColumn>
    <tableColumn id="30" xr3:uid="{FA7ADDFE-B4B8-4273-9B7E-A219A5DC887E}" name="Flu Deaths &lt;5 years old" dataDxfId="44" dataCellStyle="20% - Accent5"/>
    <tableColumn id="31" xr3:uid="{DAB64A29-D06F-4A59-90A2-EBA13AA1EE60}" name="Flu Deaths 15 to 24 years" dataDxfId="43" dataCellStyle="20% - Accent5"/>
    <tableColumn id="32" xr3:uid="{1A3A0B97-503B-4731-89E1-F08CE99D3C49}" name="Flu Deaths 25 to 34 years" dataDxfId="42" dataCellStyle="20% - Accent5"/>
    <tableColumn id="33" xr3:uid="{826EED60-89A7-435A-83F8-FEBF18F3EDA1}" name="Flu Deaths 35 to 44 years" dataDxfId="41" dataCellStyle="20% - Accent5"/>
    <tableColumn id="34" xr3:uid="{1C4BC578-256C-49EF-B166-2174E3975CB3}" name="Flu Deaths 45 to 54 years" dataDxfId="40" dataCellStyle="20% - Accent5"/>
    <tableColumn id="35" xr3:uid="{AA3E0BD6-34D1-4A98-AB83-465A9C998196}" name="Flu Deaths 5 to 14 years" dataDxfId="39" dataCellStyle="20% - Accent5"/>
    <tableColumn id="36" xr3:uid="{FFEB5CC6-3A1C-4FFC-BED6-651D9374E64C}" name="Flu Deaths 55 to 64 years" dataDxfId="38" dataCellStyle="20% - Accent5"/>
    <tableColumn id="37" xr3:uid="{6C2A7696-DA75-408D-B8C0-F2933D2B6D34}" name="Flu Deaths 65 to 74 years" dataDxfId="37" dataCellStyle="20% - Accent5"/>
    <tableColumn id="38" xr3:uid="{1DBACD40-8818-49AE-9EAD-6C1996520C18}" name="Flu Deaths 75 to 84 years" dataDxfId="36" dataCellStyle="20% - Accent5"/>
    <tableColumn id="39" xr3:uid="{03DADC4A-B06E-4B5C-997A-8340B04A7920}" name="Flu Deaths 85+ years" dataDxfId="35" dataCellStyle="20% - Accent5"/>
    <tableColumn id="40" xr3:uid="{A686D1B6-DCFC-4035-90DE-318B9FE6FA98}" name="Flu Deaths Not Stated" dataDxfId="34" dataCellStyle="20% - Accent5">
      <calculatedColumnFormula>VLOOKUP($A2,'[1]Flu Deaths Updated'!$A$2:$N$460,14,FALSE)</calculatedColumnFormula>
    </tableColumn>
    <tableColumn id="26" xr3:uid="{0E64CE5A-0CC4-48D9-92FA-29EF1209AD0A}" name="Total Flu Deaths" dataDxfId="33" dataCellStyle="20% - Accent5">
      <calculatedColumnFormula>SUM(S2:AC2)</calculatedColumnFormula>
    </tableColumn>
    <tableColumn id="9" xr3:uid="{25411C0A-880D-420D-9F8F-AD7DFF2254E0}" name="Mort % &lt;5 years" dataDxfId="32" dataCellStyle="Percent">
      <calculatedColumnFormula>Integrated[[#This Row],[Flu Deaths &lt;5 years old]]/Integrated[[#This Row],[Population &lt;5 years]]</calculatedColumnFormula>
    </tableColumn>
    <tableColumn id="11" xr3:uid="{61458992-D16D-4ED2-BBDB-4C7DF8D75F30}" name="Mort % 5 to 14 years" dataDxfId="31" dataCellStyle="Percent">
      <calculatedColumnFormula>Integrated[[#This Row],[Flu Deaths 5 to 14 years]]/Integrated[[#This Row],[Population 5 to 14 years]]</calculatedColumnFormula>
    </tableColumn>
    <tableColumn id="12" xr3:uid="{E3E2B779-2AED-43CE-8BDE-BA758FAE5729}" name="Mort % 15 to 24 years" dataDxfId="30" dataCellStyle="Percent">
      <calculatedColumnFormula>Integrated[[#This Row],[Flu Deaths 15 to 24 years]]/Integrated[[#This Row],[Population 15 to 24 years]]</calculatedColumnFormula>
    </tableColumn>
    <tableColumn id="14" xr3:uid="{20150647-36BE-495D-952E-CE7CC3090FAA}" name="Mort % 25 to 34 years" dataDxfId="29" dataCellStyle="Percent">
      <calculatedColumnFormula>Integrated[[#This Row],[Flu Deaths 25 to 34 years]]/Integrated[[#This Row],[Population 25 to 34 years]]</calculatedColumnFormula>
    </tableColumn>
    <tableColumn id="15" xr3:uid="{3F42EFB5-EB7D-4F11-BB60-E99B14412E8A}" name="Mort %  35 to 44 years" dataDxfId="28" dataCellStyle="Percent">
      <calculatedColumnFormula>Integrated[[#This Row],[Flu Deaths 35 to 44 years]]/Integrated[[#This Row],[Population 35 to 44 years]]</calculatedColumnFormula>
    </tableColumn>
    <tableColumn id="17" xr3:uid="{75FAE2EE-A631-48B1-80BD-DE62F843A087}" name="Mort %  45 to 54 years" dataDxfId="27" dataCellStyle="Percent">
      <calculatedColumnFormula>Integrated[[#This Row],[Flu Deaths 45 to 54 years]]/Integrated[[#This Row],[Population 45 to 54 years]]</calculatedColumnFormula>
    </tableColumn>
    <tableColumn id="18" xr3:uid="{89E591DC-078D-4506-9ABB-8629D6F94C91}" name="Mort % 55 to 64 years" dataDxfId="26" dataCellStyle="Percent">
      <calculatedColumnFormula>Integrated[[#This Row],[Flu Deaths 55 to 64 years]]/Integrated[[#This Row],[Population 55 to 64 years]]</calculatedColumnFormula>
    </tableColumn>
    <tableColumn id="20" xr3:uid="{0B6BF5AB-AEC5-44CB-89DE-2D36FAB0FA6F}" name="Mort %  65 to 74 years" dataDxfId="25" dataCellStyle="Percent">
      <calculatedColumnFormula>Integrated[[#This Row],[Flu Deaths 65 to 74 years]]/Integrated[[#This Row],[Population 65 to 74 years]]</calculatedColumnFormula>
    </tableColumn>
    <tableColumn id="21" xr3:uid="{5FCC8586-4247-485E-BFCC-FFE516C7DD77}" name="Mort % 75 to 84 years" dataDxfId="24" dataCellStyle="Percent">
      <calculatedColumnFormula>Integrated[[#This Row],[Flu Deaths 75 to 84 years]]/Integrated[[#This Row],[Population 75 to 84 years]]</calculatedColumnFormula>
    </tableColumn>
    <tableColumn id="23" xr3:uid="{88401168-BA0C-4BA3-8DA4-8BE22BAA0DDB}" name="Mort % 85+ years" dataDxfId="23" dataCellStyle="Percent">
      <calculatedColumnFormula>Integrated[[#This Row],[Flu Deaths 85+ years]]/Integrated[[#This Row],[Population 85+ years]]</calculatedColumnFormula>
    </tableColumn>
    <tableColumn id="24" xr3:uid="{3337E4F7-2D21-4F2F-91DF-AB3CBB164E85}" name="Total Mort %" dataDxfId="22" dataCellStyle="Percent">
      <calculatedColumnFormula>Integrated[[#This Row],[Total Flu Deaths]]/Integrated[[#This Row],[Total population]]</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A68635-5C8F-41D3-B6C7-6F30E6B033B4}" name="StudyDataS" displayName="StudyDataS" ref="A1:W460" totalsRowShown="0" headerRowDxfId="21">
  <autoFilter ref="A1:W460" xr:uid="{4B05179C-2FD5-44DA-990B-02A0C4BC7D43}"/>
  <sortState xmlns:xlrd2="http://schemas.microsoft.com/office/spreadsheetml/2017/richdata2" ref="A2:W460">
    <sortCondition ref="D1:D460"/>
  </sortState>
  <tableColumns count="23">
    <tableColumn id="3" xr3:uid="{3AEC4AE6-DEB3-45E3-B714-C7764840E658}" name="Combined Key" dataDxfId="20"/>
    <tableColumn id="1" xr3:uid="{B2E26012-437B-40B5-92A3-8FE5943F3F3E}" name="State" dataDxfId="19"/>
    <tableColumn id="2" xr3:uid="{0DBBA700-9422-4860-823B-049D26545E4A}" name="Year" dataDxfId="18"/>
    <tableColumn id="5" xr3:uid="{9B6A4E1A-964F-4644-ADE9-AC3FCF0C6520}" name="Total population" dataDxfId="17"/>
    <tableColumn id="6" xr3:uid="{6F319989-B246-45D2-A7D1-93154CF8423B}" name="Male Total population" dataDxfId="16"/>
    <tableColumn id="27" xr3:uid="{A5A2B1F7-27F1-4B30-ADFD-DF1FAD6CD930}" name="%Male Population" dataCellStyle="Percent"/>
    <tableColumn id="8" xr3:uid="{D0A96B6C-D0F4-4F1B-A006-527DA4A8899B}" name="Female Total population" dataDxfId="15"/>
    <tableColumn id="44" xr3:uid="{8BBFDDA5-6551-4CDE-AA14-F5F472A90EB8}" name="% Female population" dataCellStyle="Percent"/>
    <tableColumn id="29" xr3:uid="{1E3E79F0-4A18-4F4B-9BFD-CA23C45DED09}" name="Population 85+ years" dataDxfId="14"/>
    <tableColumn id="43" xr3:uid="{84F0A56D-7E11-4CD7-BD73-3DED72B3784A}" name="% of population 85+" dataDxfId="13" dataCellStyle="Percent"/>
    <tableColumn id="39" xr3:uid="{A84D3367-E6C8-45EF-829E-B14191F8EB4C}" name="Flu Deaths 85+ years" dataDxfId="12" dataCellStyle="20% - Accent5"/>
    <tableColumn id="26" xr3:uid="{C88F6866-98C3-43BD-A045-609BD63C138B}" name="Total Flu Deaths" dataDxfId="11" dataCellStyle="20% - Accent5"/>
    <tableColumn id="9" xr3:uid="{3B025B7E-CB66-43AD-945D-CDBF4BE59C5B}" name="Mort % &lt;5 years" dataDxfId="10" dataCellStyle="Percent"/>
    <tableColumn id="11" xr3:uid="{DAAC08A7-C590-473B-8349-EE0F0C08371E}" name="Mort % 5 to 14 years" dataDxfId="9" dataCellStyle="Percent"/>
    <tableColumn id="12" xr3:uid="{3495B1F5-4C45-4588-BB58-917A8DFFC39E}" name="Mort % 15 to 24 years" dataDxfId="8" dataCellStyle="Percent"/>
    <tableColumn id="14" xr3:uid="{F4A974CF-AEC6-488D-978D-75A4E3575050}" name="Mort % 25 to 34 years" dataDxfId="7" dataCellStyle="Percent"/>
    <tableColumn id="15" xr3:uid="{DD6BB2DB-1D3F-4F5A-A23F-EA921F803FA3}" name="Mort %  35 to 44 years" dataDxfId="6" dataCellStyle="Percent"/>
    <tableColumn id="17" xr3:uid="{858C60B1-DA51-41D5-ACFC-03C5FAED4F56}" name="Mort %  45 to 54 years" dataDxfId="5" dataCellStyle="Percent"/>
    <tableColumn id="18" xr3:uid="{D1D00123-0D6D-4100-B1E7-F6926D53D9C9}" name="Mort % 55 to 64 years" dataDxfId="4" dataCellStyle="Percent"/>
    <tableColumn id="20" xr3:uid="{08DFE252-72D9-4CCA-B550-BEA4F9751DFB}" name="Mort %  65 to 74 years" dataDxfId="3" dataCellStyle="Percent"/>
    <tableColumn id="21" xr3:uid="{674B1297-A699-4164-9A0D-AD31D46FCBCF}" name="Mort % 75 to 84 years" dataDxfId="2" dataCellStyle="Percent"/>
    <tableColumn id="23" xr3:uid="{3CD6E863-FCA9-4361-B65A-1C59ED0D53C6}" name="Mort % 85+ years" dataDxfId="1" dataCellStyle="Percent"/>
    <tableColumn id="24" xr3:uid="{52229E8B-98F8-4FBE-A8D7-0CF8A11AF397}" name="Total Mort %" dataDxfId="0" dataCellStyle="Percen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5E883-66B2-4561-A136-9217536FA7E4}">
  <dimension ref="A1:AO460"/>
  <sheetViews>
    <sheetView topLeftCell="I425" workbookViewId="0">
      <selection activeCell="F20" sqref="F20"/>
    </sheetView>
  </sheetViews>
  <sheetFormatPr defaultRowHeight="14.4" x14ac:dyDescent="0.3"/>
  <cols>
    <col min="1" max="1" width="23.21875" bestFit="1" customWidth="1"/>
    <col min="2" max="2" width="18.21875" bestFit="1" customWidth="1"/>
    <col min="4" max="4" width="17.44140625" bestFit="1" customWidth="1"/>
    <col min="5" max="5" width="22.21875" bestFit="1" customWidth="1"/>
    <col min="6" max="6" width="24.5546875" bestFit="1" customWidth="1"/>
    <col min="7" max="7" width="24.5546875" style="5" customWidth="1"/>
    <col min="8" max="8" width="20.44140625" bestFit="1" customWidth="1"/>
    <col min="9" max="9" width="24.109375" bestFit="1" customWidth="1"/>
    <col min="10" max="16" width="25.109375" bestFit="1" customWidth="1"/>
    <col min="17" max="17" width="21.33203125" bestFit="1" customWidth="1"/>
    <col min="18" max="18" width="21.33203125" style="129" customWidth="1"/>
    <col min="19" max="19" width="23.5546875" bestFit="1" customWidth="1"/>
    <col min="20" max="23" width="25" bestFit="1" customWidth="1"/>
    <col min="24" max="24" width="24" bestFit="1" customWidth="1"/>
    <col min="25" max="27" width="25" bestFit="1" customWidth="1"/>
    <col min="28" max="28" width="21.21875" bestFit="1" customWidth="1"/>
    <col min="29" max="29" width="21.21875" customWidth="1"/>
    <col min="30" max="30" width="22.44140625" bestFit="1" customWidth="1"/>
    <col min="31" max="31" width="17.33203125" bestFit="1" customWidth="1"/>
    <col min="32" max="32" width="16.77734375" bestFit="1" customWidth="1"/>
    <col min="33" max="33" width="20.5546875" bestFit="1" customWidth="1"/>
    <col min="34" max="35" width="21.5546875" bestFit="1" customWidth="1"/>
    <col min="36" max="37" width="21.88671875" bestFit="1" customWidth="1"/>
    <col min="38" max="38" width="21.5546875" bestFit="1" customWidth="1"/>
    <col min="39" max="39" width="21.88671875" bestFit="1" customWidth="1"/>
    <col min="40" max="40" width="21.5546875" bestFit="1" customWidth="1"/>
    <col min="41" max="41" width="17.77734375" bestFit="1" customWidth="1"/>
    <col min="42" max="42" width="13.88671875" bestFit="1" customWidth="1"/>
  </cols>
  <sheetData>
    <row r="1" spans="1:41" x14ac:dyDescent="0.3">
      <c r="A1" s="41" t="s">
        <v>0</v>
      </c>
      <c r="B1" s="42" t="s">
        <v>1</v>
      </c>
      <c r="C1" s="43" t="s">
        <v>2</v>
      </c>
      <c r="D1" s="133" t="s">
        <v>3</v>
      </c>
      <c r="E1" s="75" t="s">
        <v>4</v>
      </c>
      <c r="F1" s="75" t="s">
        <v>5</v>
      </c>
      <c r="G1" s="80" t="s">
        <v>608</v>
      </c>
      <c r="H1" s="49" t="s">
        <v>6</v>
      </c>
      <c r="I1" s="49" t="s">
        <v>7</v>
      </c>
      <c r="J1" s="49" t="s">
        <v>8</v>
      </c>
      <c r="K1" s="49" t="s">
        <v>9</v>
      </c>
      <c r="L1" s="49" t="s">
        <v>10</v>
      </c>
      <c r="M1" s="49" t="s">
        <v>11</v>
      </c>
      <c r="N1" s="49" t="s">
        <v>12</v>
      </c>
      <c r="O1" s="49" t="s">
        <v>13</v>
      </c>
      <c r="P1" s="49" t="s">
        <v>14</v>
      </c>
      <c r="Q1" s="50" t="s">
        <v>15</v>
      </c>
      <c r="R1" s="130" t="s">
        <v>607</v>
      </c>
      <c r="S1" s="56" t="s">
        <v>16</v>
      </c>
      <c r="T1" s="57" t="s">
        <v>17</v>
      </c>
      <c r="U1" s="57" t="s">
        <v>18</v>
      </c>
      <c r="V1" s="57" t="s">
        <v>19</v>
      </c>
      <c r="W1" s="57" t="s">
        <v>20</v>
      </c>
      <c r="X1" s="57" t="s">
        <v>21</v>
      </c>
      <c r="Y1" s="57" t="s">
        <v>22</v>
      </c>
      <c r="Z1" s="57" t="s">
        <v>23</v>
      </c>
      <c r="AA1" s="57" t="s">
        <v>24</v>
      </c>
      <c r="AB1" s="131" t="s">
        <v>25</v>
      </c>
      <c r="AC1" s="57" t="s">
        <v>26</v>
      </c>
      <c r="AD1" s="76" t="s">
        <v>27</v>
      </c>
      <c r="AE1" s="64" t="s">
        <v>28</v>
      </c>
      <c r="AF1" s="65" t="s">
        <v>29</v>
      </c>
      <c r="AG1" s="65" t="s">
        <v>30</v>
      </c>
      <c r="AH1" s="65" t="s">
        <v>31</v>
      </c>
      <c r="AI1" s="65" t="s">
        <v>32</v>
      </c>
      <c r="AJ1" s="65" t="s">
        <v>33</v>
      </c>
      <c r="AK1" s="65" t="s">
        <v>34</v>
      </c>
      <c r="AL1" s="65" t="s">
        <v>35</v>
      </c>
      <c r="AM1" s="65" t="s">
        <v>36</v>
      </c>
      <c r="AN1" s="132" t="s">
        <v>37</v>
      </c>
      <c r="AO1" s="77" t="s">
        <v>38</v>
      </c>
    </row>
    <row r="2" spans="1:41" x14ac:dyDescent="0.3">
      <c r="A2" s="44" t="s">
        <v>91</v>
      </c>
      <c r="B2" t="s">
        <v>76</v>
      </c>
      <c r="C2" s="45">
        <v>2009</v>
      </c>
      <c r="D2" s="51">
        <v>683142</v>
      </c>
      <c r="E2" s="2">
        <v>355087</v>
      </c>
      <c r="F2" s="2">
        <v>328057</v>
      </c>
      <c r="G2" s="78">
        <f>Integrated[[#This Row],[Female Total population]]/Integrated[[#This Row],[Total population]]</f>
        <v>0.48021787563932533</v>
      </c>
      <c r="H2" s="2">
        <v>51939</v>
      </c>
      <c r="I2" s="2">
        <v>98256</v>
      </c>
      <c r="J2" s="2">
        <v>113547</v>
      </c>
      <c r="K2" s="2">
        <v>96723</v>
      </c>
      <c r="L2" s="2">
        <v>95906</v>
      </c>
      <c r="M2" s="2">
        <v>106649</v>
      </c>
      <c r="N2" s="2">
        <v>71315</v>
      </c>
      <c r="O2" s="2">
        <v>30488</v>
      </c>
      <c r="P2" s="2">
        <v>14326</v>
      </c>
      <c r="Q2" s="52">
        <v>4652</v>
      </c>
      <c r="R2" s="127">
        <f>Integrated[[#This Row],[Population 85+ years]]/Integrated[[#This Row],[Total population]]</f>
        <v>6.8097115972960229E-3</v>
      </c>
      <c r="S2" s="58">
        <v>120</v>
      </c>
      <c r="T2" s="59">
        <v>60</v>
      </c>
      <c r="U2" s="59">
        <v>60</v>
      </c>
      <c r="V2" s="59">
        <v>60</v>
      </c>
      <c r="W2" s="59">
        <v>60</v>
      </c>
      <c r="X2" s="59">
        <v>60</v>
      </c>
      <c r="Y2" s="59">
        <v>60</v>
      </c>
      <c r="Z2" s="59">
        <v>60</v>
      </c>
      <c r="AA2" s="59">
        <v>60</v>
      </c>
      <c r="AB2" s="59">
        <v>60</v>
      </c>
      <c r="AC2" s="59">
        <f>VLOOKUP($A2,'[1]Flu Deaths Updated'!$A$2:$N$460,14,FALSE)</f>
        <v>60</v>
      </c>
      <c r="AD2" s="60">
        <f t="shared" ref="AD2:AD65" si="0">SUM(S2:AC2)</f>
        <v>720</v>
      </c>
      <c r="AE2" s="66">
        <f>Integrated[[#This Row],[Flu Deaths &lt;5 years old]]/Integrated[[#This Row],[Population &lt;5 years]]</f>
        <v>2.310402587650898E-3</v>
      </c>
      <c r="AF2" s="67">
        <f>Integrated[[#This Row],[Flu Deaths 5 to 14 years]]/Integrated[[#This Row],[Population 5 to 14 years]]</f>
        <v>6.106497313141182E-4</v>
      </c>
      <c r="AG2" s="67">
        <f>Integrated[[#This Row],[Flu Deaths 15 to 24 years]]/Integrated[[#This Row],[Population 15 to 24 years]]</f>
        <v>5.2841554598536289E-4</v>
      </c>
      <c r="AH2" s="67">
        <f>Integrated[[#This Row],[Flu Deaths 25 to 34 years]]/Integrated[[#This Row],[Population 25 to 34 years]]</f>
        <v>6.2032815359325082E-4</v>
      </c>
      <c r="AI2" s="67">
        <f>Integrated[[#This Row],[Flu Deaths 35 to 44 years]]/Integrated[[#This Row],[Population 35 to 44 years]]</f>
        <v>6.2561257898358807E-4</v>
      </c>
      <c r="AJ2" s="67">
        <f>Integrated[[#This Row],[Flu Deaths 45 to 54 years]]/Integrated[[#This Row],[Population 45 to 54 years]]</f>
        <v>5.6259317949535392E-4</v>
      </c>
      <c r="AK2" s="67">
        <f>Integrated[[#This Row],[Flu Deaths 55 to 64 years]]/Integrated[[#This Row],[Population 55 to 64 years]]</f>
        <v>8.4133772698590762E-4</v>
      </c>
      <c r="AL2" s="67">
        <f>Integrated[[#This Row],[Flu Deaths 65 to 74 years]]/Integrated[[#This Row],[Population 65 to 74 years]]</f>
        <v>1.9679874048806087E-3</v>
      </c>
      <c r="AM2" s="67">
        <f>Integrated[[#This Row],[Flu Deaths 75 to 84 years]]/Integrated[[#This Row],[Population 75 to 84 years]]</f>
        <v>4.1881893061566384E-3</v>
      </c>
      <c r="AN2" s="67">
        <f>Integrated[[#This Row],[Flu Deaths 85+ years]]/Integrated[[#This Row],[Population 85+ years]]</f>
        <v>1.2897678417884782E-2</v>
      </c>
      <c r="AO2" s="68">
        <f>Integrated[[#This Row],[Total Flu Deaths]]/Integrated[[#This Row],[Total population]]</f>
        <v>1.0539536436055754E-3</v>
      </c>
    </row>
    <row r="3" spans="1:41" x14ac:dyDescent="0.3">
      <c r="A3" s="44" t="s">
        <v>87</v>
      </c>
      <c r="B3" t="s">
        <v>76</v>
      </c>
      <c r="C3" s="45">
        <v>2010</v>
      </c>
      <c r="D3" s="51">
        <v>673832</v>
      </c>
      <c r="E3" s="2">
        <v>348803</v>
      </c>
      <c r="F3" s="2">
        <v>325030</v>
      </c>
      <c r="G3" s="78">
        <f>Integrated[[#This Row],[Female Total population]]/Integrated[[#This Row],[Total population]]</f>
        <v>0.48236058839592066</v>
      </c>
      <c r="H3" s="2">
        <v>50130</v>
      </c>
      <c r="I3" s="2">
        <v>98238</v>
      </c>
      <c r="J3" s="2">
        <v>106642</v>
      </c>
      <c r="K3" s="2">
        <v>91616</v>
      </c>
      <c r="L3" s="2">
        <v>93645</v>
      </c>
      <c r="M3" s="2">
        <v>107057</v>
      </c>
      <c r="N3" s="2">
        <v>76380</v>
      </c>
      <c r="O3" s="2">
        <v>31745</v>
      </c>
      <c r="P3" s="2">
        <v>14312</v>
      </c>
      <c r="Q3" s="52">
        <v>4435</v>
      </c>
      <c r="R3" s="127">
        <f>Integrated[[#This Row],[Population 85+ years]]/Integrated[[#This Row],[Total population]]</f>
        <v>6.5817592515641883E-3</v>
      </c>
      <c r="S3" s="58">
        <v>120</v>
      </c>
      <c r="T3" s="59">
        <v>60</v>
      </c>
      <c r="U3" s="59">
        <v>60</v>
      </c>
      <c r="V3" s="59">
        <v>60</v>
      </c>
      <c r="W3" s="59">
        <v>60</v>
      </c>
      <c r="X3" s="59">
        <v>60</v>
      </c>
      <c r="Y3" s="59">
        <v>60</v>
      </c>
      <c r="Z3" s="59">
        <v>60</v>
      </c>
      <c r="AA3" s="59">
        <v>60</v>
      </c>
      <c r="AB3" s="59">
        <v>60</v>
      </c>
      <c r="AC3" s="59">
        <f>VLOOKUP($A3,'[1]Flu Deaths Updated'!$A$2:$N$460,14,FALSE)</f>
        <v>60</v>
      </c>
      <c r="AD3" s="60">
        <f t="shared" si="0"/>
        <v>720</v>
      </c>
      <c r="AE3" s="66">
        <f>Integrated[[#This Row],[Flu Deaths &lt;5 years old]]/Integrated[[#This Row],[Population &lt;5 years]]</f>
        <v>2.3937761819269898E-3</v>
      </c>
      <c r="AF3" s="67">
        <f>Integrated[[#This Row],[Flu Deaths 5 to 14 years]]/Integrated[[#This Row],[Population 5 to 14 years]]</f>
        <v>6.1076161973981559E-4</v>
      </c>
      <c r="AG3" s="67">
        <f>Integrated[[#This Row],[Flu Deaths 15 to 24 years]]/Integrated[[#This Row],[Population 15 to 24 years]]</f>
        <v>5.6263010821252417E-4</v>
      </c>
      <c r="AH3" s="67">
        <f>Integrated[[#This Row],[Flu Deaths 25 to 34 years]]/Integrated[[#This Row],[Population 25 to 34 years]]</f>
        <v>6.5490743974851552E-4</v>
      </c>
      <c r="AI3" s="67">
        <f>Integrated[[#This Row],[Flu Deaths 35 to 44 years]]/Integrated[[#This Row],[Population 35 to 44 years]]</f>
        <v>6.4071760371616209E-4</v>
      </c>
      <c r="AJ3" s="67">
        <f>Integrated[[#This Row],[Flu Deaths 45 to 54 years]]/Integrated[[#This Row],[Population 45 to 54 years]]</f>
        <v>5.6044910655071592E-4</v>
      </c>
      <c r="AK3" s="67">
        <f>Integrated[[#This Row],[Flu Deaths 55 to 64 years]]/Integrated[[#This Row],[Population 55 to 64 years]]</f>
        <v>7.855459544383347E-4</v>
      </c>
      <c r="AL3" s="67">
        <f>Integrated[[#This Row],[Flu Deaths 65 to 74 years]]/Integrated[[#This Row],[Population 65 to 74 years]]</f>
        <v>1.8900614269963774E-3</v>
      </c>
      <c r="AM3" s="67">
        <f>Integrated[[#This Row],[Flu Deaths 75 to 84 years]]/Integrated[[#This Row],[Population 75 to 84 years]]</f>
        <v>4.1922861934041364E-3</v>
      </c>
      <c r="AN3" s="67">
        <f>Integrated[[#This Row],[Flu Deaths 85+ years]]/Integrated[[#This Row],[Population 85+ years]]</f>
        <v>1.3528748590755355E-2</v>
      </c>
      <c r="AO3" s="68">
        <f>Integrated[[#This Row],[Total Flu Deaths]]/Integrated[[#This Row],[Total population]]</f>
        <v>1.0685155943914804E-3</v>
      </c>
    </row>
    <row r="4" spans="1:41" x14ac:dyDescent="0.3">
      <c r="A4" s="44" t="s">
        <v>84</v>
      </c>
      <c r="B4" t="s">
        <v>76</v>
      </c>
      <c r="C4" s="45">
        <v>2011</v>
      </c>
      <c r="D4" s="51">
        <v>665600</v>
      </c>
      <c r="E4" s="2">
        <v>343110</v>
      </c>
      <c r="F4" s="2">
        <v>322492</v>
      </c>
      <c r="G4" s="78">
        <f>Integrated[[#This Row],[Female Total population]]/Integrated[[#This Row],[Total population]]</f>
        <v>0.48451322115384615</v>
      </c>
      <c r="H4" s="2">
        <v>49429</v>
      </c>
      <c r="I4" s="2">
        <v>95742</v>
      </c>
      <c r="J4" s="2">
        <v>102110</v>
      </c>
      <c r="K4" s="2">
        <v>93488</v>
      </c>
      <c r="L4" s="2">
        <v>89963</v>
      </c>
      <c r="M4" s="2">
        <v>104787</v>
      </c>
      <c r="N4" s="2">
        <v>78793</v>
      </c>
      <c r="O4" s="2">
        <v>32597</v>
      </c>
      <c r="P4" s="2">
        <v>14869</v>
      </c>
      <c r="Q4" s="52">
        <v>4236</v>
      </c>
      <c r="R4" s="127">
        <f>Integrated[[#This Row],[Population 85+ years]]/Integrated[[#This Row],[Total population]]</f>
        <v>6.3641826923076924E-3</v>
      </c>
      <c r="S4" s="58">
        <v>120</v>
      </c>
      <c r="T4" s="59">
        <v>60</v>
      </c>
      <c r="U4" s="59">
        <v>60</v>
      </c>
      <c r="V4" s="59">
        <v>60</v>
      </c>
      <c r="W4" s="59">
        <v>60</v>
      </c>
      <c r="X4" s="59">
        <v>60</v>
      </c>
      <c r="Y4" s="59">
        <v>60</v>
      </c>
      <c r="Z4" s="59">
        <v>60</v>
      </c>
      <c r="AA4" s="59">
        <v>60</v>
      </c>
      <c r="AB4" s="59">
        <v>60</v>
      </c>
      <c r="AC4" s="59">
        <f>VLOOKUP($A4,'[1]Flu Deaths Updated'!$A$2:$N$460,14,FALSE)</f>
        <v>60</v>
      </c>
      <c r="AD4" s="60">
        <f t="shared" si="0"/>
        <v>720</v>
      </c>
      <c r="AE4" s="66">
        <f>Integrated[[#This Row],[Flu Deaths &lt;5 years old]]/Integrated[[#This Row],[Population &lt;5 years]]</f>
        <v>2.4277246151044934E-3</v>
      </c>
      <c r="AF4" s="67">
        <f>Integrated[[#This Row],[Flu Deaths 5 to 14 years]]/Integrated[[#This Row],[Population 5 to 14 years]]</f>
        <v>6.266842138246538E-4</v>
      </c>
      <c r="AG4" s="67">
        <f>Integrated[[#This Row],[Flu Deaths 15 to 24 years]]/Integrated[[#This Row],[Population 15 to 24 years]]</f>
        <v>5.8760160611105673E-4</v>
      </c>
      <c r="AH4" s="67">
        <f>Integrated[[#This Row],[Flu Deaths 25 to 34 years]]/Integrated[[#This Row],[Population 25 to 34 years]]</f>
        <v>6.4179359917850422E-4</v>
      </c>
      <c r="AI4" s="67">
        <f>Integrated[[#This Row],[Flu Deaths 35 to 44 years]]/Integrated[[#This Row],[Population 35 to 44 years]]</f>
        <v>6.669408534619788E-4</v>
      </c>
      <c r="AJ4" s="67">
        <f>Integrated[[#This Row],[Flu Deaths 45 to 54 years]]/Integrated[[#This Row],[Population 45 to 54 years]]</f>
        <v>5.7259011136877671E-4</v>
      </c>
      <c r="AK4" s="67">
        <f>Integrated[[#This Row],[Flu Deaths 55 to 64 years]]/Integrated[[#This Row],[Population 55 to 64 years]]</f>
        <v>7.6148896475575244E-4</v>
      </c>
      <c r="AL4" s="67">
        <f>Integrated[[#This Row],[Flu Deaths 65 to 74 years]]/Integrated[[#This Row],[Population 65 to 74 years]]</f>
        <v>1.8406601834524648E-3</v>
      </c>
      <c r="AM4" s="67">
        <f>Integrated[[#This Row],[Flu Deaths 75 to 84 years]]/Integrated[[#This Row],[Population 75 to 84 years]]</f>
        <v>4.0352411056560631E-3</v>
      </c>
      <c r="AN4" s="67">
        <f>Integrated[[#This Row],[Flu Deaths 85+ years]]/Integrated[[#This Row],[Population 85+ years]]</f>
        <v>1.4164305949008499E-2</v>
      </c>
      <c r="AO4" s="68">
        <f>Integrated[[#This Row],[Total Flu Deaths]]/Integrated[[#This Row],[Total population]]</f>
        <v>1.0817307692307693E-3</v>
      </c>
    </row>
    <row r="5" spans="1:41" x14ac:dyDescent="0.3">
      <c r="A5" s="44" t="s">
        <v>83</v>
      </c>
      <c r="B5" t="s">
        <v>76</v>
      </c>
      <c r="C5" s="45">
        <v>2012</v>
      </c>
      <c r="D5" s="51">
        <v>664838</v>
      </c>
      <c r="E5" s="2">
        <v>345178</v>
      </c>
      <c r="F5" s="2">
        <v>319661</v>
      </c>
      <c r="G5" s="78">
        <f>Integrated[[#This Row],[Female Total population]]/Integrated[[#This Row],[Total population]]</f>
        <v>0.4808103628252296</v>
      </c>
      <c r="H5" s="2">
        <v>49866</v>
      </c>
      <c r="I5" s="2">
        <v>94647</v>
      </c>
      <c r="J5" s="2">
        <v>101881</v>
      </c>
      <c r="K5" s="2">
        <v>96545</v>
      </c>
      <c r="L5" s="2">
        <v>87796</v>
      </c>
      <c r="M5" s="2">
        <v>101965</v>
      </c>
      <c r="N5" s="2">
        <v>80609</v>
      </c>
      <c r="O5" s="2">
        <v>33154</v>
      </c>
      <c r="P5" s="2">
        <v>14292</v>
      </c>
      <c r="Q5" s="52">
        <v>4336</v>
      </c>
      <c r="R5" s="127">
        <f>Integrated[[#This Row],[Population 85+ years]]/Integrated[[#This Row],[Total population]]</f>
        <v>6.5218895430164941E-3</v>
      </c>
      <c r="S5" s="58">
        <v>120</v>
      </c>
      <c r="T5" s="59">
        <v>60</v>
      </c>
      <c r="U5" s="59">
        <v>60</v>
      </c>
      <c r="V5" s="59">
        <v>60</v>
      </c>
      <c r="W5" s="59">
        <v>60</v>
      </c>
      <c r="X5" s="59">
        <v>60</v>
      </c>
      <c r="Y5" s="59">
        <v>60</v>
      </c>
      <c r="Z5" s="59">
        <v>60</v>
      </c>
      <c r="AA5" s="59">
        <v>60</v>
      </c>
      <c r="AB5" s="59">
        <v>60</v>
      </c>
      <c r="AC5" s="59">
        <f>VLOOKUP($A5,'[1]Flu Deaths Updated'!$A$2:$N$460,14,FALSE)</f>
        <v>60</v>
      </c>
      <c r="AD5" s="60">
        <f t="shared" si="0"/>
        <v>720</v>
      </c>
      <c r="AE5" s="66">
        <f>Integrated[[#This Row],[Flu Deaths &lt;5 years old]]/Integrated[[#This Row],[Population &lt;5 years]]</f>
        <v>2.4064492840813381E-3</v>
      </c>
      <c r="AF5" s="67">
        <f>Integrated[[#This Row],[Flu Deaths 5 to 14 years]]/Integrated[[#This Row],[Population 5 to 14 years]]</f>
        <v>6.3393451456464551E-4</v>
      </c>
      <c r="AG5" s="67">
        <f>Integrated[[#This Row],[Flu Deaths 15 to 24 years]]/Integrated[[#This Row],[Population 15 to 24 years]]</f>
        <v>5.8892237021623264E-4</v>
      </c>
      <c r="AH5" s="67">
        <f>Integrated[[#This Row],[Flu Deaths 25 to 34 years]]/Integrated[[#This Row],[Population 25 to 34 years]]</f>
        <v>6.2147185250401363E-4</v>
      </c>
      <c r="AI5" s="67">
        <f>Integrated[[#This Row],[Flu Deaths 35 to 44 years]]/Integrated[[#This Row],[Population 35 to 44 years]]</f>
        <v>6.8340243291266118E-4</v>
      </c>
      <c r="AJ5" s="67">
        <f>Integrated[[#This Row],[Flu Deaths 45 to 54 years]]/Integrated[[#This Row],[Population 45 to 54 years]]</f>
        <v>5.884372088461727E-4</v>
      </c>
      <c r="AK5" s="67">
        <f>Integrated[[#This Row],[Flu Deaths 55 to 64 years]]/Integrated[[#This Row],[Population 55 to 64 years]]</f>
        <v>7.4433375925765113E-4</v>
      </c>
      <c r="AL5" s="67">
        <f>Integrated[[#This Row],[Flu Deaths 65 to 74 years]]/Integrated[[#This Row],[Population 65 to 74 years]]</f>
        <v>1.8097363817337275E-3</v>
      </c>
      <c r="AM5" s="67">
        <f>Integrated[[#This Row],[Flu Deaths 75 to 84 years]]/Integrated[[#This Row],[Population 75 to 84 years]]</f>
        <v>4.1981528127623844E-3</v>
      </c>
      <c r="AN5" s="67">
        <f>Integrated[[#This Row],[Flu Deaths 85+ years]]/Integrated[[#This Row],[Population 85+ years]]</f>
        <v>1.3837638376383764E-2</v>
      </c>
      <c r="AO5" s="68">
        <f>Integrated[[#This Row],[Total Flu Deaths]]/Integrated[[#This Row],[Total population]]</f>
        <v>1.082970588323772E-3</v>
      </c>
    </row>
    <row r="6" spans="1:41" x14ac:dyDescent="0.3">
      <c r="A6" s="44" t="s">
        <v>93</v>
      </c>
      <c r="B6" t="s">
        <v>76</v>
      </c>
      <c r="C6" s="45">
        <v>2013</v>
      </c>
      <c r="D6" s="51">
        <v>689833</v>
      </c>
      <c r="E6" s="2">
        <v>357648</v>
      </c>
      <c r="F6" s="2">
        <v>332185</v>
      </c>
      <c r="G6" s="78">
        <f>Integrated[[#This Row],[Female Total population]]/Integrated[[#This Row],[Total population]]</f>
        <v>0.4815440838579772</v>
      </c>
      <c r="H6" s="2">
        <v>51349</v>
      </c>
      <c r="I6" s="2">
        <v>97014</v>
      </c>
      <c r="J6" s="2">
        <v>104263</v>
      </c>
      <c r="K6" s="2">
        <v>102697</v>
      </c>
      <c r="L6" s="2">
        <v>88283</v>
      </c>
      <c r="M6" s="2">
        <v>101931</v>
      </c>
      <c r="N6" s="2">
        <v>86047</v>
      </c>
      <c r="O6" s="2">
        <v>37587</v>
      </c>
      <c r="P6" s="2">
        <v>15562</v>
      </c>
      <c r="Q6" s="52">
        <v>5165</v>
      </c>
      <c r="R6" s="127">
        <f>Integrated[[#This Row],[Population 85+ years]]/Integrated[[#This Row],[Total population]]</f>
        <v>7.4873193946940779E-3</v>
      </c>
      <c r="S6" s="58">
        <v>120</v>
      </c>
      <c r="T6" s="59">
        <v>60</v>
      </c>
      <c r="U6" s="59">
        <v>60</v>
      </c>
      <c r="V6" s="59">
        <v>60</v>
      </c>
      <c r="W6" s="59">
        <v>60</v>
      </c>
      <c r="X6" s="59">
        <v>60</v>
      </c>
      <c r="Y6" s="59">
        <v>60</v>
      </c>
      <c r="Z6" s="59">
        <v>60</v>
      </c>
      <c r="AA6" s="59">
        <v>60</v>
      </c>
      <c r="AB6" s="59">
        <v>60</v>
      </c>
      <c r="AC6" s="59">
        <f>VLOOKUP($A6,'[1]Flu Deaths Updated'!$A$2:$N$460,14,FALSE)</f>
        <v>60</v>
      </c>
      <c r="AD6" s="60">
        <f t="shared" si="0"/>
        <v>720</v>
      </c>
      <c r="AE6" s="66">
        <f>Integrated[[#This Row],[Flu Deaths &lt;5 years old]]/Integrated[[#This Row],[Population &lt;5 years]]</f>
        <v>2.3369491129330657E-3</v>
      </c>
      <c r="AF6" s="67">
        <f>Integrated[[#This Row],[Flu Deaths 5 to 14 years]]/Integrated[[#This Row],[Population 5 to 14 years]]</f>
        <v>6.184674376894057E-4</v>
      </c>
      <c r="AG6" s="67">
        <f>Integrated[[#This Row],[Flu Deaths 15 to 24 years]]/Integrated[[#This Row],[Population 15 to 24 years]]</f>
        <v>5.7546780737174257E-4</v>
      </c>
      <c r="AH6" s="67">
        <f>Integrated[[#This Row],[Flu Deaths 25 to 34 years]]/Integrated[[#This Row],[Population 25 to 34 years]]</f>
        <v>5.8424296717528258E-4</v>
      </c>
      <c r="AI6" s="67">
        <f>Integrated[[#This Row],[Flu Deaths 35 to 44 years]]/Integrated[[#This Row],[Population 35 to 44 years]]</f>
        <v>6.7963254533715434E-4</v>
      </c>
      <c r="AJ6" s="67">
        <f>Integrated[[#This Row],[Flu Deaths 45 to 54 years]]/Integrated[[#This Row],[Population 45 to 54 years]]</f>
        <v>5.8863348735909587E-4</v>
      </c>
      <c r="AK6" s="67">
        <f>Integrated[[#This Row],[Flu Deaths 55 to 64 years]]/Integrated[[#This Row],[Population 55 to 64 years]]</f>
        <v>6.9729333968645039E-4</v>
      </c>
      <c r="AL6" s="67">
        <f>Integrated[[#This Row],[Flu Deaths 65 to 74 years]]/Integrated[[#This Row],[Population 65 to 74 years]]</f>
        <v>1.5962965919067763E-3</v>
      </c>
      <c r="AM6" s="67">
        <f>Integrated[[#This Row],[Flu Deaths 75 to 84 years]]/Integrated[[#This Row],[Population 75 to 84 years]]</f>
        <v>3.8555455596966971E-3</v>
      </c>
      <c r="AN6" s="67">
        <f>Integrated[[#This Row],[Flu Deaths 85+ years]]/Integrated[[#This Row],[Population 85+ years]]</f>
        <v>1.1616650532429816E-2</v>
      </c>
      <c r="AO6" s="68">
        <f>Integrated[[#This Row],[Total Flu Deaths]]/Integrated[[#This Row],[Total population]]</f>
        <v>1.0437308739941406E-3</v>
      </c>
    </row>
    <row r="7" spans="1:41" x14ac:dyDescent="0.3">
      <c r="A7" s="44" t="s">
        <v>75</v>
      </c>
      <c r="B7" t="s">
        <v>76</v>
      </c>
      <c r="C7" s="45">
        <v>2014</v>
      </c>
      <c r="D7" s="51">
        <v>627310</v>
      </c>
      <c r="E7" s="2">
        <v>325965</v>
      </c>
      <c r="F7" s="2">
        <v>301347</v>
      </c>
      <c r="G7" s="78">
        <f>Integrated[[#This Row],[Female Total population]]/Integrated[[#This Row],[Total population]]</f>
        <v>0.48037971656756628</v>
      </c>
      <c r="H7" s="2">
        <v>46241</v>
      </c>
      <c r="I7" s="2">
        <v>87194</v>
      </c>
      <c r="J7" s="2">
        <v>95875</v>
      </c>
      <c r="K7" s="2">
        <v>97717</v>
      </c>
      <c r="L7" s="2">
        <v>80310</v>
      </c>
      <c r="M7" s="2">
        <v>89161</v>
      </c>
      <c r="N7" s="2">
        <v>76618</v>
      </c>
      <c r="O7" s="2">
        <v>35238</v>
      </c>
      <c r="P7" s="2">
        <v>14398</v>
      </c>
      <c r="Q7" s="52">
        <v>5102</v>
      </c>
      <c r="R7" s="127">
        <f>Integrated[[#This Row],[Population 85+ years]]/Integrated[[#This Row],[Total population]]</f>
        <v>8.1331399148746233E-3</v>
      </c>
      <c r="S7" s="58">
        <v>120</v>
      </c>
      <c r="T7" s="59">
        <v>60</v>
      </c>
      <c r="U7" s="59">
        <v>60</v>
      </c>
      <c r="V7" s="59">
        <v>60</v>
      </c>
      <c r="W7" s="59">
        <v>60</v>
      </c>
      <c r="X7" s="59">
        <v>60</v>
      </c>
      <c r="Y7" s="59">
        <v>60</v>
      </c>
      <c r="Z7" s="59">
        <v>60</v>
      </c>
      <c r="AA7" s="59">
        <v>60</v>
      </c>
      <c r="AB7" s="59">
        <v>60</v>
      </c>
      <c r="AC7" s="59">
        <f>VLOOKUP($A7,'[1]Flu Deaths Updated'!$A$2:$N$460,14,FALSE)</f>
        <v>60</v>
      </c>
      <c r="AD7" s="60">
        <f t="shared" si="0"/>
        <v>720</v>
      </c>
      <c r="AE7" s="66">
        <f>Integrated[[#This Row],[Flu Deaths &lt;5 years old]]/Integrated[[#This Row],[Population &lt;5 years]]</f>
        <v>2.5950995869466493E-3</v>
      </c>
      <c r="AF7" s="67">
        <f>Integrated[[#This Row],[Flu Deaths 5 to 14 years]]/Integrated[[#This Row],[Population 5 to 14 years]]</f>
        <v>6.8812074225290732E-4</v>
      </c>
      <c r="AG7" s="67">
        <f>Integrated[[#This Row],[Flu Deaths 15 to 24 years]]/Integrated[[#This Row],[Population 15 to 24 years]]</f>
        <v>6.2581486310299872E-4</v>
      </c>
      <c r="AH7" s="67">
        <f>Integrated[[#This Row],[Flu Deaths 25 to 34 years]]/Integrated[[#This Row],[Population 25 to 34 years]]</f>
        <v>6.1401803166286312E-4</v>
      </c>
      <c r="AI7" s="67">
        <f>Integrated[[#This Row],[Flu Deaths 35 to 44 years]]/Integrated[[#This Row],[Population 35 to 44 years]]</f>
        <v>7.4710496824803888E-4</v>
      </c>
      <c r="AJ7" s="67">
        <f>Integrated[[#This Row],[Flu Deaths 45 to 54 years]]/Integrated[[#This Row],[Population 45 to 54 years]]</f>
        <v>6.7293996253967546E-4</v>
      </c>
      <c r="AK7" s="67">
        <f>Integrated[[#This Row],[Flu Deaths 55 to 64 years]]/Integrated[[#This Row],[Population 55 to 64 years]]</f>
        <v>7.8310579759325487E-4</v>
      </c>
      <c r="AL7" s="67">
        <f>Integrated[[#This Row],[Flu Deaths 65 to 74 years]]/Integrated[[#This Row],[Population 65 to 74 years]]</f>
        <v>1.7027073046143367E-3</v>
      </c>
      <c r="AM7" s="67">
        <f>Integrated[[#This Row],[Flu Deaths 75 to 84 years]]/Integrated[[#This Row],[Population 75 to 84 years]]</f>
        <v>4.1672454507570497E-3</v>
      </c>
      <c r="AN7" s="67">
        <f>Integrated[[#This Row],[Flu Deaths 85+ years]]/Integrated[[#This Row],[Population 85+ years]]</f>
        <v>1.1760094080752646E-2</v>
      </c>
      <c r="AO7" s="68">
        <f>Integrated[[#This Row],[Total Flu Deaths]]/Integrated[[#This Row],[Total population]]</f>
        <v>1.1477578868502017E-3</v>
      </c>
    </row>
    <row r="8" spans="1:41" x14ac:dyDescent="0.3">
      <c r="A8" s="44" t="s">
        <v>89</v>
      </c>
      <c r="B8" t="s">
        <v>76</v>
      </c>
      <c r="C8" s="45">
        <v>2015</v>
      </c>
      <c r="D8" s="51">
        <v>679711</v>
      </c>
      <c r="E8" s="2">
        <v>354562</v>
      </c>
      <c r="F8" s="2">
        <v>325151</v>
      </c>
      <c r="G8" s="78">
        <f>Integrated[[#This Row],[Female Total population]]/Integrated[[#This Row],[Total population]]</f>
        <v>0.47836654107407411</v>
      </c>
      <c r="H8" s="2">
        <v>49731</v>
      </c>
      <c r="I8" s="2">
        <v>93244</v>
      </c>
      <c r="J8" s="2">
        <v>102792</v>
      </c>
      <c r="K8" s="2">
        <v>105399</v>
      </c>
      <c r="L8" s="2">
        <v>84633</v>
      </c>
      <c r="M8" s="2">
        <v>93314</v>
      </c>
      <c r="N8" s="2">
        <v>85862</v>
      </c>
      <c r="O8" s="2">
        <v>42097</v>
      </c>
      <c r="P8" s="2">
        <v>16934</v>
      </c>
      <c r="Q8" s="52">
        <v>5948</v>
      </c>
      <c r="R8" s="127">
        <f>Integrated[[#This Row],[Population 85+ years]]/Integrated[[#This Row],[Total population]]</f>
        <v>8.7507779041386714E-3</v>
      </c>
      <c r="S8" s="58">
        <v>120</v>
      </c>
      <c r="T8" s="59">
        <v>60</v>
      </c>
      <c r="U8" s="59">
        <v>60</v>
      </c>
      <c r="V8" s="59">
        <v>60</v>
      </c>
      <c r="W8" s="59">
        <v>60</v>
      </c>
      <c r="X8" s="59">
        <v>60</v>
      </c>
      <c r="Y8" s="59">
        <v>60</v>
      </c>
      <c r="Z8" s="59">
        <v>60</v>
      </c>
      <c r="AA8" s="59">
        <v>60</v>
      </c>
      <c r="AB8" s="59">
        <v>60</v>
      </c>
      <c r="AC8" s="59">
        <f>VLOOKUP($A8,'[1]Flu Deaths Updated'!$A$2:$N$460,14,FALSE)</f>
        <v>60</v>
      </c>
      <c r="AD8" s="60">
        <f t="shared" si="0"/>
        <v>720</v>
      </c>
      <c r="AE8" s="66">
        <f>Integrated[[#This Row],[Flu Deaths &lt;5 years old]]/Integrated[[#This Row],[Population &lt;5 years]]</f>
        <v>2.4129818423116365E-3</v>
      </c>
      <c r="AF8" s="67">
        <f>Integrated[[#This Row],[Flu Deaths 5 to 14 years]]/Integrated[[#This Row],[Population 5 to 14 years]]</f>
        <v>6.4347303847968774E-4</v>
      </c>
      <c r="AG8" s="67">
        <f>Integrated[[#This Row],[Flu Deaths 15 to 24 years]]/Integrated[[#This Row],[Population 15 to 24 years]]</f>
        <v>5.8370301190754145E-4</v>
      </c>
      <c r="AH8" s="67">
        <f>Integrated[[#This Row],[Flu Deaths 25 to 34 years]]/Integrated[[#This Row],[Population 25 to 34 years]]</f>
        <v>5.692653630489853E-4</v>
      </c>
      <c r="AI8" s="67">
        <f>Integrated[[#This Row],[Flu Deaths 35 to 44 years]]/Integrated[[#This Row],[Population 35 to 44 years]]</f>
        <v>7.0894331998156747E-4</v>
      </c>
      <c r="AJ8" s="67">
        <f>Integrated[[#This Row],[Flu Deaths 45 to 54 years]]/Integrated[[#This Row],[Population 45 to 54 years]]</f>
        <v>6.4299033371198315E-4</v>
      </c>
      <c r="AK8" s="67">
        <f>Integrated[[#This Row],[Flu Deaths 55 to 64 years]]/Integrated[[#This Row],[Population 55 to 64 years]]</f>
        <v>6.9879574200461204E-4</v>
      </c>
      <c r="AL8" s="67">
        <f>Integrated[[#This Row],[Flu Deaths 65 to 74 years]]/Integrated[[#This Row],[Population 65 to 74 years]]</f>
        <v>1.4252797111433118E-3</v>
      </c>
      <c r="AM8" s="67">
        <f>Integrated[[#This Row],[Flu Deaths 75 to 84 years]]/Integrated[[#This Row],[Population 75 to 84 years]]</f>
        <v>3.5431675918270933E-3</v>
      </c>
      <c r="AN8" s="67">
        <f>Integrated[[#This Row],[Flu Deaths 85+ years]]/Integrated[[#This Row],[Population 85+ years]]</f>
        <v>1.0087424344317418E-2</v>
      </c>
      <c r="AO8" s="68">
        <f>Integrated[[#This Row],[Total Flu Deaths]]/Integrated[[#This Row],[Total population]]</f>
        <v>1.0592737207430806E-3</v>
      </c>
    </row>
    <row r="9" spans="1:41" x14ac:dyDescent="0.3">
      <c r="A9" s="44" t="s">
        <v>95</v>
      </c>
      <c r="B9" t="s">
        <v>76</v>
      </c>
      <c r="C9" s="45">
        <v>2016</v>
      </c>
      <c r="D9" s="51">
        <v>699838</v>
      </c>
      <c r="E9" s="2">
        <v>363220</v>
      </c>
      <c r="F9" s="2">
        <v>336619</v>
      </c>
      <c r="G9" s="78">
        <f>Integrated[[#This Row],[Female Total population]]/Integrated[[#This Row],[Total population]]</f>
        <v>0.4809956018392828</v>
      </c>
      <c r="H9" s="2">
        <v>50421</v>
      </c>
      <c r="I9" s="2">
        <v>95964</v>
      </c>
      <c r="J9" s="2">
        <v>102330</v>
      </c>
      <c r="K9" s="2">
        <v>108065</v>
      </c>
      <c r="L9" s="2">
        <v>87165</v>
      </c>
      <c r="M9" s="2">
        <v>93989</v>
      </c>
      <c r="N9" s="2">
        <v>90527</v>
      </c>
      <c r="O9" s="2">
        <v>46599</v>
      </c>
      <c r="P9" s="2">
        <v>17664</v>
      </c>
      <c r="Q9" s="52">
        <v>6814</v>
      </c>
      <c r="R9" s="127">
        <f>Integrated[[#This Row],[Population 85+ years]]/Integrated[[#This Row],[Total population]]</f>
        <v>9.7365390276035312E-3</v>
      </c>
      <c r="S9" s="58">
        <v>120</v>
      </c>
      <c r="T9" s="59">
        <v>60</v>
      </c>
      <c r="U9" s="59">
        <v>60</v>
      </c>
      <c r="V9" s="59">
        <v>60</v>
      </c>
      <c r="W9" s="59">
        <v>60</v>
      </c>
      <c r="X9" s="59">
        <v>60</v>
      </c>
      <c r="Y9" s="59">
        <v>60</v>
      </c>
      <c r="Z9" s="59">
        <v>60</v>
      </c>
      <c r="AA9" s="59">
        <v>60</v>
      </c>
      <c r="AB9" s="59">
        <v>60</v>
      </c>
      <c r="AC9" s="59">
        <f>VLOOKUP($A9,'[1]Flu Deaths Updated'!$A$2:$N$460,14,FALSE)</f>
        <v>60</v>
      </c>
      <c r="AD9" s="60">
        <f t="shared" si="0"/>
        <v>720</v>
      </c>
      <c r="AE9" s="66">
        <f>Integrated[[#This Row],[Flu Deaths &lt;5 years old]]/Integrated[[#This Row],[Population &lt;5 years]]</f>
        <v>2.3799607306479445E-3</v>
      </c>
      <c r="AF9" s="67">
        <f>Integrated[[#This Row],[Flu Deaths 5 to 14 years]]/Integrated[[#This Row],[Population 5 to 14 years]]</f>
        <v>6.2523446292359639E-4</v>
      </c>
      <c r="AG9" s="67">
        <f>Integrated[[#This Row],[Flu Deaths 15 to 24 years]]/Integrated[[#This Row],[Population 15 to 24 years]]</f>
        <v>5.863383172090296E-4</v>
      </c>
      <c r="AH9" s="67">
        <f>Integrated[[#This Row],[Flu Deaths 25 to 34 years]]/Integrated[[#This Row],[Population 25 to 34 years]]</f>
        <v>5.5522139453106922E-4</v>
      </c>
      <c r="AI9" s="67">
        <f>Integrated[[#This Row],[Flu Deaths 35 to 44 years]]/Integrated[[#This Row],[Population 35 to 44 years]]</f>
        <v>6.8834968163827229E-4</v>
      </c>
      <c r="AJ9" s="67">
        <f>Integrated[[#This Row],[Flu Deaths 45 to 54 years]]/Integrated[[#This Row],[Population 45 to 54 years]]</f>
        <v>6.3837257551415587E-4</v>
      </c>
      <c r="AK9" s="67">
        <f>Integrated[[#This Row],[Flu Deaths 55 to 64 years]]/Integrated[[#This Row],[Population 55 to 64 years]]</f>
        <v>6.6278568824770507E-4</v>
      </c>
      <c r="AL9" s="67">
        <f>Integrated[[#This Row],[Flu Deaths 65 to 74 years]]/Integrated[[#This Row],[Population 65 to 74 years]]</f>
        <v>1.2875812785682096E-3</v>
      </c>
      <c r="AM9" s="67">
        <f>Integrated[[#This Row],[Flu Deaths 75 to 84 years]]/Integrated[[#This Row],[Population 75 to 84 years]]</f>
        <v>3.3967391304347825E-3</v>
      </c>
      <c r="AN9" s="67">
        <f>Integrated[[#This Row],[Flu Deaths 85+ years]]/Integrated[[#This Row],[Population 85+ years]]</f>
        <v>8.8054006457293811E-3</v>
      </c>
      <c r="AO9" s="68">
        <f>Integrated[[#This Row],[Total Flu Deaths]]/Integrated[[#This Row],[Total population]]</f>
        <v>1.0288095244899533E-3</v>
      </c>
    </row>
    <row r="10" spans="1:41" x14ac:dyDescent="0.3">
      <c r="A10" s="44" t="s">
        <v>94</v>
      </c>
      <c r="B10" t="s">
        <v>76</v>
      </c>
      <c r="C10" s="45">
        <v>2017</v>
      </c>
      <c r="D10" s="51">
        <v>696506</v>
      </c>
      <c r="E10" s="2">
        <v>362204</v>
      </c>
      <c r="F10" s="2">
        <v>334305</v>
      </c>
      <c r="G10" s="78">
        <f>Integrated[[#This Row],[Female Total population]]/Integrated[[#This Row],[Total population]]</f>
        <v>0.47997432900793391</v>
      </c>
      <c r="H10" s="2">
        <v>50809</v>
      </c>
      <c r="I10" s="2">
        <v>95209</v>
      </c>
      <c r="J10" s="2">
        <v>100787</v>
      </c>
      <c r="K10" s="2">
        <v>110577</v>
      </c>
      <c r="L10" s="2">
        <v>87120</v>
      </c>
      <c r="M10" s="2">
        <v>89904</v>
      </c>
      <c r="N10" s="2">
        <v>88731</v>
      </c>
      <c r="O10" s="2">
        <v>48975</v>
      </c>
      <c r="P10" s="2">
        <v>18135</v>
      </c>
      <c r="Q10" s="52">
        <v>6285</v>
      </c>
      <c r="R10" s="127">
        <f>Integrated[[#This Row],[Population 85+ years]]/Integrated[[#This Row],[Total population]]</f>
        <v>9.0236121440447035E-3</v>
      </c>
      <c r="S10" s="58">
        <v>120</v>
      </c>
      <c r="T10" s="59">
        <v>60</v>
      </c>
      <c r="U10" s="59">
        <v>60</v>
      </c>
      <c r="V10" s="59">
        <v>60</v>
      </c>
      <c r="W10" s="59">
        <v>60</v>
      </c>
      <c r="X10" s="59">
        <v>60</v>
      </c>
      <c r="Y10" s="59">
        <v>60</v>
      </c>
      <c r="Z10" s="59">
        <v>60</v>
      </c>
      <c r="AA10" s="59">
        <v>60</v>
      </c>
      <c r="AB10" s="59">
        <v>60</v>
      </c>
      <c r="AC10" s="59">
        <f>VLOOKUP($A10,'[1]Flu Deaths Updated'!$A$2:$N$460,14,FALSE)</f>
        <v>60</v>
      </c>
      <c r="AD10" s="60">
        <f t="shared" si="0"/>
        <v>720</v>
      </c>
      <c r="AE10" s="66">
        <f>Integrated[[#This Row],[Flu Deaths &lt;5 years old]]/Integrated[[#This Row],[Population &lt;5 years]]</f>
        <v>2.3617862977031627E-3</v>
      </c>
      <c r="AF10" s="67">
        <f>Integrated[[#This Row],[Flu Deaths 5 to 14 years]]/Integrated[[#This Row],[Population 5 to 14 years]]</f>
        <v>6.3019252381602583E-4</v>
      </c>
      <c r="AG10" s="67">
        <f>Integrated[[#This Row],[Flu Deaths 15 to 24 years]]/Integrated[[#This Row],[Population 15 to 24 years]]</f>
        <v>5.9531487195769301E-4</v>
      </c>
      <c r="AH10" s="67">
        <f>Integrated[[#This Row],[Flu Deaths 25 to 34 years]]/Integrated[[#This Row],[Population 25 to 34 years]]</f>
        <v>5.4260831818551773E-4</v>
      </c>
      <c r="AI10" s="67">
        <f>Integrated[[#This Row],[Flu Deaths 35 to 44 years]]/Integrated[[#This Row],[Population 35 to 44 years]]</f>
        <v>6.8870523415977963E-4</v>
      </c>
      <c r="AJ10" s="67">
        <f>Integrated[[#This Row],[Flu Deaths 45 to 54 years]]/Integrated[[#This Row],[Population 45 to 54 years]]</f>
        <v>6.6737853710624668E-4</v>
      </c>
      <c r="AK10" s="67">
        <f>Integrated[[#This Row],[Flu Deaths 55 to 64 years]]/Integrated[[#This Row],[Population 55 to 64 years]]</f>
        <v>6.7620110220779656E-4</v>
      </c>
      <c r="AL10" s="67">
        <f>Integrated[[#This Row],[Flu Deaths 65 to 74 years]]/Integrated[[#This Row],[Population 65 to 74 years]]</f>
        <v>1.225114854517611E-3</v>
      </c>
      <c r="AM10" s="67">
        <f>Integrated[[#This Row],[Flu Deaths 75 to 84 years]]/Integrated[[#This Row],[Population 75 to 84 years]]</f>
        <v>3.3085194375516956E-3</v>
      </c>
      <c r="AN10" s="67">
        <f>Integrated[[#This Row],[Flu Deaths 85+ years]]/Integrated[[#This Row],[Population 85+ years]]</f>
        <v>9.5465393794749408E-3</v>
      </c>
      <c r="AO10" s="68">
        <f>Integrated[[#This Row],[Total Flu Deaths]]/Integrated[[#This Row],[Total population]]</f>
        <v>1.0337312241387726E-3</v>
      </c>
    </row>
    <row r="11" spans="1:41" x14ac:dyDescent="0.3">
      <c r="A11" s="44" t="s">
        <v>103</v>
      </c>
      <c r="B11" t="s">
        <v>104</v>
      </c>
      <c r="C11" s="45">
        <v>2009</v>
      </c>
      <c r="D11" s="51">
        <v>863832</v>
      </c>
      <c r="E11" s="2">
        <v>419541</v>
      </c>
      <c r="F11" s="2">
        <v>444291</v>
      </c>
      <c r="G11" s="78">
        <f>Integrated[[#This Row],[Female Total population]]/Integrated[[#This Row],[Total population]]</f>
        <v>0.51432570221987606</v>
      </c>
      <c r="H11" s="2">
        <v>58272</v>
      </c>
      <c r="I11" s="2">
        <v>111169</v>
      </c>
      <c r="J11" s="2">
        <v>117966</v>
      </c>
      <c r="K11" s="2">
        <v>112329</v>
      </c>
      <c r="L11" s="2">
        <v>121308</v>
      </c>
      <c r="M11" s="2">
        <v>125078</v>
      </c>
      <c r="N11" s="2">
        <v>99142</v>
      </c>
      <c r="O11" s="2">
        <v>63096</v>
      </c>
      <c r="P11" s="2">
        <v>40565</v>
      </c>
      <c r="Q11" s="52">
        <v>15492</v>
      </c>
      <c r="R11" s="127">
        <f>Integrated[[#This Row],[Population 85+ years]]/Integrated[[#This Row],[Total population]]</f>
        <v>1.7934042730530935E-2</v>
      </c>
      <c r="S11" s="58">
        <v>120</v>
      </c>
      <c r="T11" s="59">
        <v>60</v>
      </c>
      <c r="U11" s="59">
        <v>60</v>
      </c>
      <c r="V11" s="59">
        <v>60</v>
      </c>
      <c r="W11" s="59">
        <v>60</v>
      </c>
      <c r="X11" s="59">
        <v>60</v>
      </c>
      <c r="Y11" s="59">
        <v>60</v>
      </c>
      <c r="Z11" s="59">
        <v>60</v>
      </c>
      <c r="AA11" s="59">
        <v>60</v>
      </c>
      <c r="AB11" s="59">
        <v>60</v>
      </c>
      <c r="AC11" s="59">
        <f>VLOOKUP($A11,'[1]Flu Deaths Updated'!$A$2:$N$460,14,FALSE)</f>
        <v>60</v>
      </c>
      <c r="AD11" s="60">
        <f t="shared" si="0"/>
        <v>720</v>
      </c>
      <c r="AE11" s="66">
        <f>Integrated[[#This Row],[Flu Deaths &lt;5 years old]]/Integrated[[#This Row],[Population &lt;5 years]]</f>
        <v>2.0593080724876441E-3</v>
      </c>
      <c r="AF11" s="67">
        <f>Integrated[[#This Row],[Flu Deaths 5 to 14 years]]/Integrated[[#This Row],[Population 5 to 14 years]]</f>
        <v>5.397188065018125E-4</v>
      </c>
      <c r="AG11" s="67">
        <f>Integrated[[#This Row],[Flu Deaths 15 to 24 years]]/Integrated[[#This Row],[Population 15 to 24 years]]</f>
        <v>5.0862112812166216E-4</v>
      </c>
      <c r="AH11" s="67">
        <f>Integrated[[#This Row],[Flu Deaths 25 to 34 years]]/Integrated[[#This Row],[Population 25 to 34 years]]</f>
        <v>5.3414523408914887E-4</v>
      </c>
      <c r="AI11" s="67">
        <f>Integrated[[#This Row],[Flu Deaths 35 to 44 years]]/Integrated[[#This Row],[Population 35 to 44 years]]</f>
        <v>4.9460876446730641E-4</v>
      </c>
      <c r="AJ11" s="67">
        <f>Integrated[[#This Row],[Flu Deaths 45 to 54 years]]/Integrated[[#This Row],[Population 45 to 54 years]]</f>
        <v>4.7970066678392685E-4</v>
      </c>
      <c r="AK11" s="67">
        <f>Integrated[[#This Row],[Flu Deaths 55 to 64 years]]/Integrated[[#This Row],[Population 55 to 64 years]]</f>
        <v>6.051925520969922E-4</v>
      </c>
      <c r="AL11" s="67">
        <f>Integrated[[#This Row],[Flu Deaths 65 to 74 years]]/Integrated[[#This Row],[Population 65 to 74 years]]</f>
        <v>9.5093191327500946E-4</v>
      </c>
      <c r="AM11" s="67">
        <f>Integrated[[#This Row],[Flu Deaths 75 to 84 years]]/Integrated[[#This Row],[Population 75 to 84 years]]</f>
        <v>1.4791076050782695E-3</v>
      </c>
      <c r="AN11" s="67">
        <f>Integrated[[#This Row],[Flu Deaths 85+ years]]/Integrated[[#This Row],[Population 85+ years]]</f>
        <v>3.8729666924864447E-3</v>
      </c>
      <c r="AO11" s="68">
        <f>Integrated[[#This Row],[Total Flu Deaths]]/Integrated[[#This Row],[Total population]]</f>
        <v>8.3349540188369957E-4</v>
      </c>
    </row>
    <row r="12" spans="1:41" x14ac:dyDescent="0.3">
      <c r="A12" s="44" t="s">
        <v>109</v>
      </c>
      <c r="B12" t="s">
        <v>104</v>
      </c>
      <c r="C12" s="45">
        <v>2011</v>
      </c>
      <c r="D12" s="51">
        <v>890856</v>
      </c>
      <c r="E12" s="2">
        <v>432225</v>
      </c>
      <c r="F12" s="2">
        <v>458631</v>
      </c>
      <c r="G12" s="78">
        <f>Integrated[[#This Row],[Female Total population]]/Integrated[[#This Row],[Total population]]</f>
        <v>0.51482057706295969</v>
      </c>
      <c r="H12" s="2">
        <v>55771</v>
      </c>
      <c r="I12" s="2">
        <v>112327</v>
      </c>
      <c r="J12" s="2">
        <v>126175</v>
      </c>
      <c r="K12" s="2">
        <v>110712</v>
      </c>
      <c r="L12" s="2">
        <v>117920</v>
      </c>
      <c r="M12" s="2">
        <v>131756</v>
      </c>
      <c r="N12" s="2">
        <v>108789</v>
      </c>
      <c r="O12" s="2">
        <v>70362</v>
      </c>
      <c r="P12" s="2">
        <v>40074</v>
      </c>
      <c r="Q12" s="52">
        <v>16153</v>
      </c>
      <c r="R12" s="127">
        <f>Integrated[[#This Row],[Population 85+ years]]/Integrated[[#This Row],[Total population]]</f>
        <v>1.8131998886464256E-2</v>
      </c>
      <c r="S12" s="58">
        <v>120</v>
      </c>
      <c r="T12" s="59">
        <v>60</v>
      </c>
      <c r="U12" s="59">
        <v>60</v>
      </c>
      <c r="V12" s="59">
        <v>60</v>
      </c>
      <c r="W12" s="59">
        <v>60</v>
      </c>
      <c r="X12" s="59">
        <v>60</v>
      </c>
      <c r="Y12" s="59">
        <v>60</v>
      </c>
      <c r="Z12" s="59">
        <v>60</v>
      </c>
      <c r="AA12" s="59">
        <v>60</v>
      </c>
      <c r="AB12" s="59">
        <v>60</v>
      </c>
      <c r="AC12" s="59">
        <f>VLOOKUP($A12,'[1]Flu Deaths Updated'!$A$2:$N$460,14,FALSE)</f>
        <v>60</v>
      </c>
      <c r="AD12" s="60">
        <f t="shared" si="0"/>
        <v>720</v>
      </c>
      <c r="AE12" s="66">
        <f>Integrated[[#This Row],[Flu Deaths &lt;5 years old]]/Integrated[[#This Row],[Population &lt;5 years]]</f>
        <v>2.1516558785031649E-3</v>
      </c>
      <c r="AF12" s="67">
        <f>Integrated[[#This Row],[Flu Deaths 5 to 14 years]]/Integrated[[#This Row],[Population 5 to 14 years]]</f>
        <v>5.3415474462951919E-4</v>
      </c>
      <c r="AG12" s="67">
        <f>Integrated[[#This Row],[Flu Deaths 15 to 24 years]]/Integrated[[#This Row],[Population 15 to 24 years]]</f>
        <v>4.7553001783237565E-4</v>
      </c>
      <c r="AH12" s="67">
        <f>Integrated[[#This Row],[Flu Deaths 25 to 34 years]]/Integrated[[#This Row],[Population 25 to 34 years]]</f>
        <v>5.4194667244743114E-4</v>
      </c>
      <c r="AI12" s="67">
        <f>Integrated[[#This Row],[Flu Deaths 35 to 44 years]]/Integrated[[#This Row],[Population 35 to 44 years]]</f>
        <v>5.088195386702849E-4</v>
      </c>
      <c r="AJ12" s="67">
        <f>Integrated[[#This Row],[Flu Deaths 45 to 54 years]]/Integrated[[#This Row],[Population 45 to 54 years]]</f>
        <v>4.5538723094204437E-4</v>
      </c>
      <c r="AK12" s="67">
        <f>Integrated[[#This Row],[Flu Deaths 55 to 64 years]]/Integrated[[#This Row],[Population 55 to 64 years]]</f>
        <v>5.515263491713317E-4</v>
      </c>
      <c r="AL12" s="67">
        <f>Integrated[[#This Row],[Flu Deaths 65 to 74 years]]/Integrated[[#This Row],[Population 65 to 74 years]]</f>
        <v>8.5273300929478981E-4</v>
      </c>
      <c r="AM12" s="67">
        <f>Integrated[[#This Row],[Flu Deaths 75 to 84 years]]/Integrated[[#This Row],[Population 75 to 84 years]]</f>
        <v>1.4972301242701003E-3</v>
      </c>
      <c r="AN12" s="67">
        <f>Integrated[[#This Row],[Flu Deaths 85+ years]]/Integrated[[#This Row],[Population 85+ years]]</f>
        <v>3.7144802823005016E-3</v>
      </c>
      <c r="AO12" s="68">
        <f>Integrated[[#This Row],[Total Flu Deaths]]/Integrated[[#This Row],[Total population]]</f>
        <v>8.0821142810959343E-4</v>
      </c>
    </row>
    <row r="13" spans="1:41" x14ac:dyDescent="0.3">
      <c r="A13" s="44" t="s">
        <v>116</v>
      </c>
      <c r="B13" t="s">
        <v>104</v>
      </c>
      <c r="C13" s="45">
        <v>2016</v>
      </c>
      <c r="D13" s="51">
        <v>934695</v>
      </c>
      <c r="E13" s="2">
        <v>452416</v>
      </c>
      <c r="F13" s="2">
        <v>482279</v>
      </c>
      <c r="G13" s="78">
        <f>Integrated[[#This Row],[Female Total population]]/Integrated[[#This Row],[Total population]]</f>
        <v>0.51597472972466951</v>
      </c>
      <c r="H13" s="2">
        <v>55713</v>
      </c>
      <c r="I13" s="2">
        <v>114491</v>
      </c>
      <c r="J13" s="2">
        <v>124334</v>
      </c>
      <c r="K13" s="2">
        <v>122264</v>
      </c>
      <c r="L13" s="2">
        <v>110397</v>
      </c>
      <c r="M13" s="2">
        <v>129755</v>
      </c>
      <c r="N13" s="2">
        <v>124608</v>
      </c>
      <c r="O13" s="2">
        <v>90857</v>
      </c>
      <c r="P13" s="2">
        <v>44846</v>
      </c>
      <c r="Q13" s="52">
        <v>17961</v>
      </c>
      <c r="R13" s="127">
        <f>Integrated[[#This Row],[Population 85+ years]]/Integrated[[#This Row],[Total population]]</f>
        <v>1.9215893954712501E-2</v>
      </c>
      <c r="S13" s="58">
        <v>120</v>
      </c>
      <c r="T13" s="59">
        <v>60</v>
      </c>
      <c r="U13" s="59">
        <v>60</v>
      </c>
      <c r="V13" s="59">
        <v>60</v>
      </c>
      <c r="W13" s="59">
        <v>60</v>
      </c>
      <c r="X13" s="59">
        <v>60</v>
      </c>
      <c r="Y13" s="59">
        <v>60</v>
      </c>
      <c r="Z13" s="59">
        <v>60</v>
      </c>
      <c r="AA13" s="59">
        <v>60</v>
      </c>
      <c r="AB13" s="59">
        <v>60</v>
      </c>
      <c r="AC13" s="59">
        <f>VLOOKUP($A13,'[1]Flu Deaths Updated'!$A$2:$N$460,14,FALSE)</f>
        <v>60</v>
      </c>
      <c r="AD13" s="60">
        <f t="shared" si="0"/>
        <v>720</v>
      </c>
      <c r="AE13" s="66">
        <f>Integrated[[#This Row],[Flu Deaths &lt;5 years old]]/Integrated[[#This Row],[Population &lt;5 years]]</f>
        <v>2.1538958591352107E-3</v>
      </c>
      <c r="AF13" s="67">
        <f>Integrated[[#This Row],[Flu Deaths 5 to 14 years]]/Integrated[[#This Row],[Population 5 to 14 years]]</f>
        <v>5.2405865963263485E-4</v>
      </c>
      <c r="AG13" s="67">
        <f>Integrated[[#This Row],[Flu Deaths 15 to 24 years]]/Integrated[[#This Row],[Population 15 to 24 years]]</f>
        <v>4.8257113902874517E-4</v>
      </c>
      <c r="AH13" s="67">
        <f>Integrated[[#This Row],[Flu Deaths 25 to 34 years]]/Integrated[[#This Row],[Population 25 to 34 years]]</f>
        <v>4.9074134659425508E-4</v>
      </c>
      <c r="AI13" s="67">
        <f>Integrated[[#This Row],[Flu Deaths 35 to 44 years]]/Integrated[[#This Row],[Population 35 to 44 years]]</f>
        <v>5.4349302970189408E-4</v>
      </c>
      <c r="AJ13" s="67">
        <f>Integrated[[#This Row],[Flu Deaths 45 to 54 years]]/Integrated[[#This Row],[Population 45 to 54 years]]</f>
        <v>4.624099263997534E-4</v>
      </c>
      <c r="AK13" s="67">
        <f>Integrated[[#This Row],[Flu Deaths 55 to 64 years]]/Integrated[[#This Row],[Population 55 to 64 years]]</f>
        <v>4.815100154083205E-4</v>
      </c>
      <c r="AL13" s="67">
        <f>Integrated[[#This Row],[Flu Deaths 65 to 74 years]]/Integrated[[#This Row],[Population 65 to 74 years]]</f>
        <v>6.6037839682137869E-4</v>
      </c>
      <c r="AM13" s="67">
        <f>Integrated[[#This Row],[Flu Deaths 75 to 84 years]]/Integrated[[#This Row],[Population 75 to 84 years]]</f>
        <v>1.3379119653926773E-3</v>
      </c>
      <c r="AN13" s="67">
        <f>Integrated[[#This Row],[Flu Deaths 85+ years]]/Integrated[[#This Row],[Population 85+ years]]</f>
        <v>3.3405712376816435E-3</v>
      </c>
      <c r="AO13" s="68">
        <f>Integrated[[#This Row],[Total Flu Deaths]]/Integrated[[#This Row],[Total population]]</f>
        <v>7.7030475181743782E-4</v>
      </c>
    </row>
    <row r="14" spans="1:41" x14ac:dyDescent="0.3">
      <c r="A14" s="44" t="s">
        <v>63</v>
      </c>
      <c r="B14" t="s">
        <v>62</v>
      </c>
      <c r="C14" s="45">
        <v>2009</v>
      </c>
      <c r="D14" s="51">
        <v>588433</v>
      </c>
      <c r="E14" s="2">
        <v>277522</v>
      </c>
      <c r="F14" s="2">
        <v>310911</v>
      </c>
      <c r="G14" s="78">
        <f>Integrated[[#This Row],[Female Total population]]/Integrated[[#This Row],[Total population]]</f>
        <v>0.52837111446842722</v>
      </c>
      <c r="H14" s="2">
        <v>35895</v>
      </c>
      <c r="I14" s="2">
        <v>59433</v>
      </c>
      <c r="J14" s="2">
        <v>89443</v>
      </c>
      <c r="K14" s="2">
        <v>105919</v>
      </c>
      <c r="L14" s="2">
        <v>86500</v>
      </c>
      <c r="M14" s="2">
        <v>78263</v>
      </c>
      <c r="N14" s="2">
        <v>64140</v>
      </c>
      <c r="O14" s="2">
        <v>36484</v>
      </c>
      <c r="P14" s="2">
        <v>23538</v>
      </c>
      <c r="Q14" s="52">
        <v>10004</v>
      </c>
      <c r="R14" s="127">
        <f>Integrated[[#This Row],[Population 85+ years]]/Integrated[[#This Row],[Total population]]</f>
        <v>1.700108593501724E-2</v>
      </c>
      <c r="S14" s="58">
        <v>120</v>
      </c>
      <c r="T14" s="59">
        <v>60</v>
      </c>
      <c r="U14" s="59">
        <v>60</v>
      </c>
      <c r="V14" s="59">
        <v>60</v>
      </c>
      <c r="W14" s="59">
        <v>60</v>
      </c>
      <c r="X14" s="59">
        <v>60</v>
      </c>
      <c r="Y14" s="59">
        <v>60</v>
      </c>
      <c r="Z14" s="59">
        <v>60</v>
      </c>
      <c r="AA14" s="59">
        <v>60</v>
      </c>
      <c r="AB14" s="59">
        <v>60</v>
      </c>
      <c r="AC14" s="59">
        <f>VLOOKUP($A14,'[1]Flu Deaths Updated'!$A$2:$N$460,14,FALSE)</f>
        <v>60</v>
      </c>
      <c r="AD14" s="60">
        <f t="shared" si="0"/>
        <v>720</v>
      </c>
      <c r="AE14" s="66">
        <f>Integrated[[#This Row],[Flu Deaths &lt;5 years old]]/Integrated[[#This Row],[Population &lt;5 years]]</f>
        <v>3.3430839949853742E-3</v>
      </c>
      <c r="AF14" s="67">
        <f>Integrated[[#This Row],[Flu Deaths 5 to 14 years]]/Integrated[[#This Row],[Population 5 to 14 years]]</f>
        <v>1.0095401544596436E-3</v>
      </c>
      <c r="AG14" s="67">
        <f>Integrated[[#This Row],[Flu Deaths 15 to 24 years]]/Integrated[[#This Row],[Population 15 to 24 years]]</f>
        <v>6.7081828650649019E-4</v>
      </c>
      <c r="AH14" s="67">
        <f>Integrated[[#This Row],[Flu Deaths 25 to 34 years]]/Integrated[[#This Row],[Population 25 to 34 years]]</f>
        <v>5.6647060489619424E-4</v>
      </c>
      <c r="AI14" s="67">
        <f>Integrated[[#This Row],[Flu Deaths 35 to 44 years]]/Integrated[[#This Row],[Population 35 to 44 years]]</f>
        <v>6.9364161849710981E-4</v>
      </c>
      <c r="AJ14" s="67">
        <f>Integrated[[#This Row],[Flu Deaths 45 to 54 years]]/Integrated[[#This Row],[Population 45 to 54 years]]</f>
        <v>7.6664579686441868E-4</v>
      </c>
      <c r="AK14" s="67">
        <f>Integrated[[#This Row],[Flu Deaths 55 to 64 years]]/Integrated[[#This Row],[Population 55 to 64 years]]</f>
        <v>9.3545369504209543E-4</v>
      </c>
      <c r="AL14" s="67">
        <f>Integrated[[#This Row],[Flu Deaths 65 to 74 years]]/Integrated[[#This Row],[Population 65 to 74 years]]</f>
        <v>1.644556517925666E-3</v>
      </c>
      <c r="AM14" s="67">
        <f>Integrated[[#This Row],[Flu Deaths 75 to 84 years]]/Integrated[[#This Row],[Population 75 to 84 years]]</f>
        <v>2.5490695895997962E-3</v>
      </c>
      <c r="AN14" s="67">
        <f>Integrated[[#This Row],[Flu Deaths 85+ years]]/Integrated[[#This Row],[Population 85+ years]]</f>
        <v>5.9976009596161535E-3</v>
      </c>
      <c r="AO14" s="68">
        <f>Integrated[[#This Row],[Total Flu Deaths]]/Integrated[[#This Row],[Total population]]</f>
        <v>1.223588751820513E-3</v>
      </c>
    </row>
    <row r="15" spans="1:41" x14ac:dyDescent="0.3">
      <c r="A15" s="44" t="s">
        <v>61</v>
      </c>
      <c r="B15" t="s">
        <v>62</v>
      </c>
      <c r="C15" s="45">
        <v>2010</v>
      </c>
      <c r="D15" s="51">
        <v>584400</v>
      </c>
      <c r="E15" s="2">
        <v>276101</v>
      </c>
      <c r="F15" s="2">
        <v>308299</v>
      </c>
      <c r="G15" s="78">
        <f>Integrated[[#This Row],[Female Total population]]/Integrated[[#This Row],[Total population]]</f>
        <v>0.52754791238877485</v>
      </c>
      <c r="H15" s="2">
        <v>32142</v>
      </c>
      <c r="I15" s="2">
        <v>53181</v>
      </c>
      <c r="J15" s="2">
        <v>99933</v>
      </c>
      <c r="K15" s="2">
        <v>113959</v>
      </c>
      <c r="L15" s="2">
        <v>81817</v>
      </c>
      <c r="M15" s="2">
        <v>75389</v>
      </c>
      <c r="N15" s="2">
        <v>61948</v>
      </c>
      <c r="O15" s="2">
        <v>35649</v>
      </c>
      <c r="P15" s="2">
        <v>22208</v>
      </c>
      <c r="Q15" s="52">
        <v>9351</v>
      </c>
      <c r="R15" s="127">
        <f>Integrated[[#This Row],[Population 85+ years]]/Integrated[[#This Row],[Total population]]</f>
        <v>1.6001026694045174E-2</v>
      </c>
      <c r="S15" s="58">
        <v>120</v>
      </c>
      <c r="T15" s="59">
        <v>60</v>
      </c>
      <c r="U15" s="59">
        <v>60</v>
      </c>
      <c r="V15" s="59">
        <v>60</v>
      </c>
      <c r="W15" s="59">
        <v>60</v>
      </c>
      <c r="X15" s="59">
        <v>60</v>
      </c>
      <c r="Y15" s="59">
        <v>60</v>
      </c>
      <c r="Z15" s="59">
        <v>60</v>
      </c>
      <c r="AA15" s="59">
        <v>60</v>
      </c>
      <c r="AB15" s="59">
        <v>60</v>
      </c>
      <c r="AC15" s="59">
        <f>VLOOKUP($A15,'[1]Flu Deaths Updated'!$A$2:$N$460,14,FALSE)</f>
        <v>60</v>
      </c>
      <c r="AD15" s="60">
        <f t="shared" si="0"/>
        <v>720</v>
      </c>
      <c r="AE15" s="66">
        <f>Integrated[[#This Row],[Flu Deaths &lt;5 years old]]/Integrated[[#This Row],[Population &lt;5 years]]</f>
        <v>3.7334328915437746E-3</v>
      </c>
      <c r="AF15" s="67">
        <f>Integrated[[#This Row],[Flu Deaths 5 to 14 years]]/Integrated[[#This Row],[Population 5 to 14 years]]</f>
        <v>1.1282224854741354E-3</v>
      </c>
      <c r="AG15" s="67">
        <f>Integrated[[#This Row],[Flu Deaths 15 to 24 years]]/Integrated[[#This Row],[Population 15 to 24 years]]</f>
        <v>6.004022695205788E-4</v>
      </c>
      <c r="AH15" s="67">
        <f>Integrated[[#This Row],[Flu Deaths 25 to 34 years]]/Integrated[[#This Row],[Population 25 to 34 years]]</f>
        <v>5.2650514658780789E-4</v>
      </c>
      <c r="AI15" s="67">
        <f>Integrated[[#This Row],[Flu Deaths 35 to 44 years]]/Integrated[[#This Row],[Population 35 to 44 years]]</f>
        <v>7.3334392607893231E-4</v>
      </c>
      <c r="AJ15" s="67">
        <f>Integrated[[#This Row],[Flu Deaths 45 to 54 years]]/Integrated[[#This Row],[Population 45 to 54 years]]</f>
        <v>7.9587207682818453E-4</v>
      </c>
      <c r="AK15" s="67">
        <f>Integrated[[#This Row],[Flu Deaths 55 to 64 years]]/Integrated[[#This Row],[Population 55 to 64 years]]</f>
        <v>9.6855427132433653E-4</v>
      </c>
      <c r="AL15" s="67">
        <f>Integrated[[#This Row],[Flu Deaths 65 to 74 years]]/Integrated[[#This Row],[Population 65 to 74 years]]</f>
        <v>1.6830766641420516E-3</v>
      </c>
      <c r="AM15" s="67">
        <f>Integrated[[#This Row],[Flu Deaths 75 to 84 years]]/Integrated[[#This Row],[Population 75 to 84 years]]</f>
        <v>2.7017291066282422E-3</v>
      </c>
      <c r="AN15" s="67">
        <f>Integrated[[#This Row],[Flu Deaths 85+ years]]/Integrated[[#This Row],[Population 85+ years]]</f>
        <v>6.416426050689766E-3</v>
      </c>
      <c r="AO15" s="68">
        <f>Integrated[[#This Row],[Total Flu Deaths]]/Integrated[[#This Row],[Total population]]</f>
        <v>1.2320328542094457E-3</v>
      </c>
    </row>
    <row r="16" spans="1:41" x14ac:dyDescent="0.3">
      <c r="A16" s="44" t="s">
        <v>65</v>
      </c>
      <c r="B16" t="s">
        <v>62</v>
      </c>
      <c r="C16" s="45">
        <v>2011</v>
      </c>
      <c r="D16" s="51">
        <v>593955</v>
      </c>
      <c r="E16" s="2">
        <v>280675</v>
      </c>
      <c r="F16" s="2">
        <v>313280</v>
      </c>
      <c r="G16" s="78">
        <f>Integrated[[#This Row],[Female Total population]]/Integrated[[#This Row],[Total population]]</f>
        <v>0.52744736554116056</v>
      </c>
      <c r="H16" s="2">
        <v>33262</v>
      </c>
      <c r="I16" s="2">
        <v>52270</v>
      </c>
      <c r="J16" s="2">
        <v>100973</v>
      </c>
      <c r="K16" s="2">
        <v>119386</v>
      </c>
      <c r="L16" s="2">
        <v>81967</v>
      </c>
      <c r="M16" s="2">
        <v>75434</v>
      </c>
      <c r="N16" s="2">
        <v>63554</v>
      </c>
      <c r="O16" s="2">
        <v>35638</v>
      </c>
      <c r="P16" s="2">
        <v>21384</v>
      </c>
      <c r="Q16" s="52">
        <v>10098</v>
      </c>
      <c r="R16" s="127">
        <f>Integrated[[#This Row],[Population 85+ years]]/Integrated[[#This Row],[Total population]]</f>
        <v>1.7001287976361846E-2</v>
      </c>
      <c r="S16" s="58">
        <v>120</v>
      </c>
      <c r="T16" s="59">
        <v>60</v>
      </c>
      <c r="U16" s="59">
        <v>60</v>
      </c>
      <c r="V16" s="59">
        <v>60</v>
      </c>
      <c r="W16" s="59">
        <v>60</v>
      </c>
      <c r="X16" s="59">
        <v>60</v>
      </c>
      <c r="Y16" s="59">
        <v>60</v>
      </c>
      <c r="Z16" s="59">
        <v>60</v>
      </c>
      <c r="AA16" s="59">
        <v>60</v>
      </c>
      <c r="AB16" s="59">
        <v>60</v>
      </c>
      <c r="AC16" s="59">
        <f>VLOOKUP($A16,'[1]Flu Deaths Updated'!$A$2:$N$460,14,FALSE)</f>
        <v>60</v>
      </c>
      <c r="AD16" s="60">
        <f t="shared" si="0"/>
        <v>720</v>
      </c>
      <c r="AE16" s="66">
        <f>Integrated[[#This Row],[Flu Deaths &lt;5 years old]]/Integrated[[#This Row],[Population &lt;5 years]]</f>
        <v>3.6077205219169021E-3</v>
      </c>
      <c r="AF16" s="67">
        <f>Integrated[[#This Row],[Flu Deaths 5 to 14 years]]/Integrated[[#This Row],[Population 5 to 14 years]]</f>
        <v>1.1478859766596518E-3</v>
      </c>
      <c r="AG16" s="67">
        <f>Integrated[[#This Row],[Flu Deaths 15 to 24 years]]/Integrated[[#This Row],[Population 15 to 24 years]]</f>
        <v>5.9421825636556309E-4</v>
      </c>
      <c r="AH16" s="67">
        <f>Integrated[[#This Row],[Flu Deaths 25 to 34 years]]/Integrated[[#This Row],[Population 25 to 34 years]]</f>
        <v>5.0257149079456552E-4</v>
      </c>
      <c r="AI16" s="67">
        <f>Integrated[[#This Row],[Flu Deaths 35 to 44 years]]/Integrated[[#This Row],[Population 35 to 44 years]]</f>
        <v>7.3200190320494836E-4</v>
      </c>
      <c r="AJ16" s="67">
        <f>Integrated[[#This Row],[Flu Deaths 45 to 54 years]]/Integrated[[#This Row],[Population 45 to 54 years]]</f>
        <v>7.9539730095182541E-4</v>
      </c>
      <c r="AK16" s="67">
        <f>Integrated[[#This Row],[Flu Deaths 55 to 64 years]]/Integrated[[#This Row],[Population 55 to 64 years]]</f>
        <v>9.4407905088586086E-4</v>
      </c>
      <c r="AL16" s="67">
        <f>Integrated[[#This Row],[Flu Deaths 65 to 74 years]]/Integrated[[#This Row],[Population 65 to 74 years]]</f>
        <v>1.683596161400752E-3</v>
      </c>
      <c r="AM16" s="67">
        <f>Integrated[[#This Row],[Flu Deaths 75 to 84 years]]/Integrated[[#This Row],[Population 75 to 84 years]]</f>
        <v>2.8058361391694723E-3</v>
      </c>
      <c r="AN16" s="67">
        <f>Integrated[[#This Row],[Flu Deaths 85+ years]]/Integrated[[#This Row],[Population 85+ years]]</f>
        <v>5.9417706476530005E-3</v>
      </c>
      <c r="AO16" s="68">
        <f>Integrated[[#This Row],[Total Flu Deaths]]/Integrated[[#This Row],[Total population]]</f>
        <v>1.2122130464429124E-3</v>
      </c>
    </row>
    <row r="17" spans="1:41" x14ac:dyDescent="0.3">
      <c r="A17" s="44" t="s">
        <v>68</v>
      </c>
      <c r="B17" t="s">
        <v>62</v>
      </c>
      <c r="C17" s="45">
        <v>2012</v>
      </c>
      <c r="D17" s="51">
        <v>605759</v>
      </c>
      <c r="E17" s="2">
        <v>286427</v>
      </c>
      <c r="F17" s="2">
        <v>319332</v>
      </c>
      <c r="G17" s="78">
        <f>Integrated[[#This Row],[Female Total population]]/Integrated[[#This Row],[Total population]]</f>
        <v>0.52716014124429023</v>
      </c>
      <c r="H17" s="2">
        <v>34529</v>
      </c>
      <c r="I17" s="2">
        <v>52096</v>
      </c>
      <c r="J17" s="2">
        <v>101163</v>
      </c>
      <c r="K17" s="2">
        <v>125393</v>
      </c>
      <c r="L17" s="2">
        <v>82384</v>
      </c>
      <c r="M17" s="2">
        <v>75115</v>
      </c>
      <c r="N17" s="2">
        <v>64817</v>
      </c>
      <c r="O17" s="2">
        <v>37558</v>
      </c>
      <c r="P17" s="2">
        <v>21809</v>
      </c>
      <c r="Q17" s="52">
        <v>10298</v>
      </c>
      <c r="R17" s="127">
        <f>Integrated[[#This Row],[Population 85+ years]]/Integrated[[#This Row],[Total population]]</f>
        <v>1.7000160129688538E-2</v>
      </c>
      <c r="S17" s="58">
        <v>120</v>
      </c>
      <c r="T17" s="59">
        <v>60</v>
      </c>
      <c r="U17" s="59">
        <v>60</v>
      </c>
      <c r="V17" s="59">
        <v>60</v>
      </c>
      <c r="W17" s="59">
        <v>60</v>
      </c>
      <c r="X17" s="59">
        <v>60</v>
      </c>
      <c r="Y17" s="59">
        <v>60</v>
      </c>
      <c r="Z17" s="59">
        <v>60</v>
      </c>
      <c r="AA17" s="59">
        <v>60</v>
      </c>
      <c r="AB17" s="59">
        <v>60</v>
      </c>
      <c r="AC17" s="59">
        <f>VLOOKUP($A17,'[1]Flu Deaths Updated'!$A$2:$N$460,14,FALSE)</f>
        <v>60</v>
      </c>
      <c r="AD17" s="60">
        <f t="shared" si="0"/>
        <v>720</v>
      </c>
      <c r="AE17" s="66">
        <f>Integrated[[#This Row],[Flu Deaths &lt;5 years old]]/Integrated[[#This Row],[Population &lt;5 years]]</f>
        <v>3.4753395696371166E-3</v>
      </c>
      <c r="AF17" s="67">
        <f>Integrated[[#This Row],[Flu Deaths 5 to 14 years]]/Integrated[[#This Row],[Population 5 to 14 years]]</f>
        <v>1.1517199017199017E-3</v>
      </c>
      <c r="AG17" s="67">
        <f>Integrated[[#This Row],[Flu Deaths 15 to 24 years]]/Integrated[[#This Row],[Population 15 to 24 years]]</f>
        <v>5.931022211678183E-4</v>
      </c>
      <c r="AH17" s="67">
        <f>Integrated[[#This Row],[Flu Deaths 25 to 34 years]]/Integrated[[#This Row],[Population 25 to 34 years]]</f>
        <v>4.7849560980278005E-4</v>
      </c>
      <c r="AI17" s="67">
        <f>Integrated[[#This Row],[Flu Deaths 35 to 44 years]]/Integrated[[#This Row],[Population 35 to 44 years]]</f>
        <v>7.2829675665177706E-4</v>
      </c>
      <c r="AJ17" s="67">
        <f>Integrated[[#This Row],[Flu Deaths 45 to 54 years]]/Integrated[[#This Row],[Population 45 to 54 years]]</f>
        <v>7.9877521134260796E-4</v>
      </c>
      <c r="AK17" s="67">
        <f>Integrated[[#This Row],[Flu Deaths 55 to 64 years]]/Integrated[[#This Row],[Population 55 to 64 years]]</f>
        <v>9.2568307697054784E-4</v>
      </c>
      <c r="AL17" s="67">
        <f>Integrated[[#This Row],[Flu Deaths 65 to 74 years]]/Integrated[[#This Row],[Population 65 to 74 years]]</f>
        <v>1.5975291549070771E-3</v>
      </c>
      <c r="AM17" s="67">
        <f>Integrated[[#This Row],[Flu Deaths 75 to 84 years]]/Integrated[[#This Row],[Population 75 to 84 years]]</f>
        <v>2.7511577788986198E-3</v>
      </c>
      <c r="AN17" s="67">
        <f>Integrated[[#This Row],[Flu Deaths 85+ years]]/Integrated[[#This Row],[Population 85+ years]]</f>
        <v>5.8263740532142165E-3</v>
      </c>
      <c r="AO17" s="68">
        <f>Integrated[[#This Row],[Total Flu Deaths]]/Integrated[[#This Row],[Total population]]</f>
        <v>1.1885915025612497E-3</v>
      </c>
    </row>
    <row r="18" spans="1:41" x14ac:dyDescent="0.3">
      <c r="A18" s="44" t="s">
        <v>70</v>
      </c>
      <c r="B18" t="s">
        <v>62</v>
      </c>
      <c r="C18" s="45">
        <v>2013</v>
      </c>
      <c r="D18" s="51">
        <v>619371</v>
      </c>
      <c r="E18" s="2">
        <v>293104</v>
      </c>
      <c r="F18" s="2">
        <v>326267</v>
      </c>
      <c r="G18" s="78">
        <f>Integrated[[#This Row],[Female Total population]]/Integrated[[#This Row],[Total population]]</f>
        <v>0.5267715149724479</v>
      </c>
      <c r="H18" s="2">
        <v>36543</v>
      </c>
      <c r="I18" s="2">
        <v>52028</v>
      </c>
      <c r="J18" s="2">
        <v>99720</v>
      </c>
      <c r="K18" s="2">
        <v>133166</v>
      </c>
      <c r="L18" s="2">
        <v>84236</v>
      </c>
      <c r="M18" s="2">
        <v>76184</v>
      </c>
      <c r="N18" s="2">
        <v>65654</v>
      </c>
      <c r="O18" s="2">
        <v>38402</v>
      </c>
      <c r="P18" s="2">
        <v>21679</v>
      </c>
      <c r="Q18" s="52">
        <v>9910</v>
      </c>
      <c r="R18" s="127">
        <f>Integrated[[#This Row],[Population 85+ years]]/Integrated[[#This Row],[Total population]]</f>
        <v>1.6000103330637051E-2</v>
      </c>
      <c r="S18" s="58">
        <v>120</v>
      </c>
      <c r="T18" s="59">
        <v>60</v>
      </c>
      <c r="U18" s="59">
        <v>60</v>
      </c>
      <c r="V18" s="59">
        <v>60</v>
      </c>
      <c r="W18" s="59">
        <v>60</v>
      </c>
      <c r="X18" s="59">
        <v>60</v>
      </c>
      <c r="Y18" s="59">
        <v>60</v>
      </c>
      <c r="Z18" s="59">
        <v>60</v>
      </c>
      <c r="AA18" s="59">
        <v>60</v>
      </c>
      <c r="AB18" s="59">
        <v>60</v>
      </c>
      <c r="AC18" s="59">
        <f>VLOOKUP($A18,'[1]Flu Deaths Updated'!$A$2:$N$460,14,FALSE)</f>
        <v>60</v>
      </c>
      <c r="AD18" s="60">
        <f t="shared" si="0"/>
        <v>720</v>
      </c>
      <c r="AE18" s="66">
        <f>Integrated[[#This Row],[Flu Deaths &lt;5 years old]]/Integrated[[#This Row],[Population &lt;5 years]]</f>
        <v>3.2838026434611279E-3</v>
      </c>
      <c r="AF18" s="67">
        <f>Integrated[[#This Row],[Flu Deaths 5 to 14 years]]/Integrated[[#This Row],[Population 5 to 14 years]]</f>
        <v>1.1532251864380717E-3</v>
      </c>
      <c r="AG18" s="67">
        <f>Integrated[[#This Row],[Flu Deaths 15 to 24 years]]/Integrated[[#This Row],[Population 15 to 24 years]]</f>
        <v>6.0168471720818293E-4</v>
      </c>
      <c r="AH18" s="67">
        <f>Integrated[[#This Row],[Flu Deaths 25 to 34 years]]/Integrated[[#This Row],[Population 25 to 34 years]]</f>
        <v>4.5056545965186311E-4</v>
      </c>
      <c r="AI18" s="67">
        <f>Integrated[[#This Row],[Flu Deaths 35 to 44 years]]/Integrated[[#This Row],[Population 35 to 44 years]]</f>
        <v>7.1228453392848659E-4</v>
      </c>
      <c r="AJ18" s="67">
        <f>Integrated[[#This Row],[Flu Deaths 45 to 54 years]]/Integrated[[#This Row],[Population 45 to 54 years]]</f>
        <v>7.8756694319017122E-4</v>
      </c>
      <c r="AK18" s="67">
        <f>Integrated[[#This Row],[Flu Deaths 55 to 64 years]]/Integrated[[#This Row],[Population 55 to 64 years]]</f>
        <v>9.1388186553751488E-4</v>
      </c>
      <c r="AL18" s="67">
        <f>Integrated[[#This Row],[Flu Deaths 65 to 74 years]]/Integrated[[#This Row],[Population 65 to 74 years]]</f>
        <v>1.5624186240299983E-3</v>
      </c>
      <c r="AM18" s="67">
        <f>Integrated[[#This Row],[Flu Deaths 75 to 84 years]]/Integrated[[#This Row],[Population 75 to 84 years]]</f>
        <v>2.7676553346556577E-3</v>
      </c>
      <c r="AN18" s="67">
        <f>Integrated[[#This Row],[Flu Deaths 85+ years]]/Integrated[[#This Row],[Population 85+ years]]</f>
        <v>6.0544904137235112E-3</v>
      </c>
      <c r="AO18" s="68">
        <f>Integrated[[#This Row],[Total Flu Deaths]]/Integrated[[#This Row],[Total population]]</f>
        <v>1.1624696668071318E-3</v>
      </c>
    </row>
    <row r="19" spans="1:41" x14ac:dyDescent="0.3">
      <c r="A19" s="44" t="s">
        <v>77</v>
      </c>
      <c r="B19" t="s">
        <v>62</v>
      </c>
      <c r="C19" s="45">
        <v>2014</v>
      </c>
      <c r="D19" s="51">
        <v>633736</v>
      </c>
      <c r="E19" s="2">
        <v>300030</v>
      </c>
      <c r="F19" s="2">
        <v>333706</v>
      </c>
      <c r="G19" s="78">
        <f>Integrated[[#This Row],[Female Total population]]/Integrated[[#This Row],[Total population]]</f>
        <v>0.52656942322986233</v>
      </c>
      <c r="H19" s="2">
        <v>38658</v>
      </c>
      <c r="I19" s="2">
        <v>53234</v>
      </c>
      <c r="J19" s="2">
        <v>98863</v>
      </c>
      <c r="K19" s="2">
        <v>140057</v>
      </c>
      <c r="L19" s="2">
        <v>87457</v>
      </c>
      <c r="M19" s="2">
        <v>76050</v>
      </c>
      <c r="N19" s="2">
        <v>67811</v>
      </c>
      <c r="O19" s="2">
        <v>39926</v>
      </c>
      <c r="P19" s="2">
        <v>21548</v>
      </c>
      <c r="Q19" s="52">
        <v>10140</v>
      </c>
      <c r="R19" s="127">
        <f>Integrated[[#This Row],[Population 85+ years]]/Integrated[[#This Row],[Total population]]</f>
        <v>1.6000353459484706E-2</v>
      </c>
      <c r="S19" s="58">
        <v>120</v>
      </c>
      <c r="T19" s="59">
        <v>60</v>
      </c>
      <c r="U19" s="59">
        <v>60</v>
      </c>
      <c r="V19" s="59">
        <v>60</v>
      </c>
      <c r="W19" s="59">
        <v>60</v>
      </c>
      <c r="X19" s="59">
        <v>60</v>
      </c>
      <c r="Y19" s="59">
        <v>60</v>
      </c>
      <c r="Z19" s="59">
        <v>60</v>
      </c>
      <c r="AA19" s="59">
        <v>60</v>
      </c>
      <c r="AB19" s="59">
        <v>60</v>
      </c>
      <c r="AC19" s="59">
        <f>VLOOKUP($A19,'[1]Flu Deaths Updated'!$A$2:$N$460,14,FALSE)</f>
        <v>60</v>
      </c>
      <c r="AD19" s="60">
        <f t="shared" si="0"/>
        <v>720</v>
      </c>
      <c r="AE19" s="66">
        <f>Integrated[[#This Row],[Flu Deaths &lt;5 years old]]/Integrated[[#This Row],[Population &lt;5 years]]</f>
        <v>3.1041440322830977E-3</v>
      </c>
      <c r="AF19" s="67">
        <f>Integrated[[#This Row],[Flu Deaths 5 to 14 years]]/Integrated[[#This Row],[Population 5 to 14 years]]</f>
        <v>1.1270992223015367E-3</v>
      </c>
      <c r="AG19" s="67">
        <f>Integrated[[#This Row],[Flu Deaths 15 to 24 years]]/Integrated[[#This Row],[Population 15 to 24 years]]</f>
        <v>6.06900458209846E-4</v>
      </c>
      <c r="AH19" s="67">
        <f>Integrated[[#This Row],[Flu Deaths 25 to 34 years]]/Integrated[[#This Row],[Population 25 to 34 years]]</f>
        <v>4.2839700978887166E-4</v>
      </c>
      <c r="AI19" s="67">
        <f>Integrated[[#This Row],[Flu Deaths 35 to 44 years]]/Integrated[[#This Row],[Population 35 to 44 years]]</f>
        <v>6.8605143098894312E-4</v>
      </c>
      <c r="AJ19" s="67">
        <f>Integrated[[#This Row],[Flu Deaths 45 to 54 years]]/Integrated[[#This Row],[Population 45 to 54 years]]</f>
        <v>7.8895463510848124E-4</v>
      </c>
      <c r="AK19" s="67">
        <f>Integrated[[#This Row],[Flu Deaths 55 to 64 years]]/Integrated[[#This Row],[Population 55 to 64 years]]</f>
        <v>8.848121986108448E-4</v>
      </c>
      <c r="AL19" s="67">
        <f>Integrated[[#This Row],[Flu Deaths 65 to 74 years]]/Integrated[[#This Row],[Population 65 to 74 years]]</f>
        <v>1.5027801432650402E-3</v>
      </c>
      <c r="AM19" s="67">
        <f>Integrated[[#This Row],[Flu Deaths 75 to 84 years]]/Integrated[[#This Row],[Population 75 to 84 years]]</f>
        <v>2.7844811583441617E-3</v>
      </c>
      <c r="AN19" s="67">
        <f>Integrated[[#This Row],[Flu Deaths 85+ years]]/Integrated[[#This Row],[Population 85+ years]]</f>
        <v>5.9171597633136093E-3</v>
      </c>
      <c r="AO19" s="68">
        <f>Integrated[[#This Row],[Total Flu Deaths]]/Integrated[[#This Row],[Total population]]</f>
        <v>1.1361197722711035E-3</v>
      </c>
    </row>
    <row r="20" spans="1:41" x14ac:dyDescent="0.3">
      <c r="A20" s="44" t="s">
        <v>80</v>
      </c>
      <c r="B20" t="s">
        <v>62</v>
      </c>
      <c r="C20" s="45">
        <v>2015</v>
      </c>
      <c r="D20" s="51">
        <v>647484</v>
      </c>
      <c r="E20" s="2">
        <v>306674</v>
      </c>
      <c r="F20" s="2">
        <v>340810</v>
      </c>
      <c r="G20" s="78">
        <f>Integrated[[#This Row],[Female Total population]]/Integrated[[#This Row],[Total population]]</f>
        <v>0.52636049693892051</v>
      </c>
      <c r="H20" s="2">
        <v>40145</v>
      </c>
      <c r="I20" s="2">
        <v>55037</v>
      </c>
      <c r="J20" s="2">
        <v>97771</v>
      </c>
      <c r="K20" s="2">
        <v>145037</v>
      </c>
      <c r="L20" s="2">
        <v>90001</v>
      </c>
      <c r="M20" s="2">
        <v>77052</v>
      </c>
      <c r="N20" s="2">
        <v>68635</v>
      </c>
      <c r="O20" s="2">
        <v>41440</v>
      </c>
      <c r="P20" s="2">
        <v>22015</v>
      </c>
      <c r="Q20" s="52">
        <v>10360</v>
      </c>
      <c r="R20" s="127">
        <f>Integrated[[#This Row],[Population 85+ years]]/Integrated[[#This Row],[Total population]]</f>
        <v>1.600039537656529E-2</v>
      </c>
      <c r="S20" s="58">
        <v>120</v>
      </c>
      <c r="T20" s="59">
        <v>60</v>
      </c>
      <c r="U20" s="59">
        <v>60</v>
      </c>
      <c r="V20" s="59">
        <v>60</v>
      </c>
      <c r="W20" s="59">
        <v>60</v>
      </c>
      <c r="X20" s="59">
        <v>60</v>
      </c>
      <c r="Y20" s="59">
        <v>60</v>
      </c>
      <c r="Z20" s="59">
        <v>60</v>
      </c>
      <c r="AA20" s="59">
        <v>60</v>
      </c>
      <c r="AB20" s="59">
        <v>60</v>
      </c>
      <c r="AC20" s="59">
        <f>VLOOKUP($A20,'[1]Flu Deaths Updated'!$A$2:$N$460,14,FALSE)</f>
        <v>60</v>
      </c>
      <c r="AD20" s="60">
        <f t="shared" si="0"/>
        <v>720</v>
      </c>
      <c r="AE20" s="66">
        <f>Integrated[[#This Row],[Flu Deaths &lt;5 years old]]/Integrated[[#This Row],[Population &lt;5 years]]</f>
        <v>2.9891642794868602E-3</v>
      </c>
      <c r="AF20" s="67">
        <f>Integrated[[#This Row],[Flu Deaths 5 to 14 years]]/Integrated[[#This Row],[Population 5 to 14 years]]</f>
        <v>1.0901756999836473E-3</v>
      </c>
      <c r="AG20" s="67">
        <f>Integrated[[#This Row],[Flu Deaths 15 to 24 years]]/Integrated[[#This Row],[Population 15 to 24 years]]</f>
        <v>6.1367890274212193E-4</v>
      </c>
      <c r="AH20" s="67">
        <f>Integrated[[#This Row],[Flu Deaths 25 to 34 years]]/Integrated[[#This Row],[Population 25 to 34 years]]</f>
        <v>4.1368754179967873E-4</v>
      </c>
      <c r="AI20" s="67">
        <f>Integrated[[#This Row],[Flu Deaths 35 to 44 years]]/Integrated[[#This Row],[Population 35 to 44 years]]</f>
        <v>6.6665925934156287E-4</v>
      </c>
      <c r="AJ20" s="67">
        <f>Integrated[[#This Row],[Flu Deaths 45 to 54 years]]/Integrated[[#This Row],[Population 45 to 54 years]]</f>
        <v>7.7869490733530598E-4</v>
      </c>
      <c r="AK20" s="67">
        <f>Integrated[[#This Row],[Flu Deaths 55 to 64 years]]/Integrated[[#This Row],[Population 55 to 64 years]]</f>
        <v>8.7418955343483641E-4</v>
      </c>
      <c r="AL20" s="67">
        <f>Integrated[[#This Row],[Flu Deaths 65 to 74 years]]/Integrated[[#This Row],[Population 65 to 74 years]]</f>
        <v>1.4478764478764478E-3</v>
      </c>
      <c r="AM20" s="67">
        <f>Integrated[[#This Row],[Flu Deaths 75 to 84 years]]/Integrated[[#This Row],[Population 75 to 84 years]]</f>
        <v>2.7254144901203725E-3</v>
      </c>
      <c r="AN20" s="67">
        <f>Integrated[[#This Row],[Flu Deaths 85+ years]]/Integrated[[#This Row],[Population 85+ years]]</f>
        <v>5.7915057915057912E-3</v>
      </c>
      <c r="AO20" s="68">
        <f>Integrated[[#This Row],[Total Flu Deaths]]/Integrated[[#This Row],[Total population]]</f>
        <v>1.1119965898771244E-3</v>
      </c>
    </row>
    <row r="21" spans="1:41" x14ac:dyDescent="0.3">
      <c r="A21" s="44" t="s">
        <v>82</v>
      </c>
      <c r="B21" t="s">
        <v>62</v>
      </c>
      <c r="C21" s="45">
        <v>2016</v>
      </c>
      <c r="D21" s="51">
        <v>659009</v>
      </c>
      <c r="E21" s="2">
        <v>312629</v>
      </c>
      <c r="F21" s="2">
        <v>346380</v>
      </c>
      <c r="G21" s="78">
        <f>Integrated[[#This Row],[Female Total population]]/Integrated[[#This Row],[Total population]]</f>
        <v>0.5256073892769294</v>
      </c>
      <c r="H21" s="2">
        <v>42177</v>
      </c>
      <c r="I21" s="2">
        <v>57335</v>
      </c>
      <c r="J21" s="2">
        <v>96875</v>
      </c>
      <c r="K21" s="2">
        <v>149596</v>
      </c>
      <c r="L21" s="2">
        <v>92921</v>
      </c>
      <c r="M21" s="2">
        <v>77105</v>
      </c>
      <c r="N21" s="2">
        <v>69197</v>
      </c>
      <c r="O21" s="2">
        <v>42837</v>
      </c>
      <c r="P21" s="2">
        <v>21749</v>
      </c>
      <c r="Q21" s="52">
        <v>10545</v>
      </c>
      <c r="R21" s="127">
        <f>Integrated[[#This Row],[Population 85+ years]]/Integrated[[#This Row],[Total population]]</f>
        <v>1.60012989200451E-2</v>
      </c>
      <c r="S21" s="58">
        <v>120</v>
      </c>
      <c r="T21" s="59">
        <v>60</v>
      </c>
      <c r="U21" s="59">
        <v>60</v>
      </c>
      <c r="V21" s="59">
        <v>60</v>
      </c>
      <c r="W21" s="59">
        <v>60</v>
      </c>
      <c r="X21" s="59">
        <v>60</v>
      </c>
      <c r="Y21" s="59">
        <v>60</v>
      </c>
      <c r="Z21" s="59">
        <v>60</v>
      </c>
      <c r="AA21" s="59">
        <v>60</v>
      </c>
      <c r="AB21" s="59">
        <v>60</v>
      </c>
      <c r="AC21" s="59">
        <f>VLOOKUP($A21,'[1]Flu Deaths Updated'!$A$2:$N$460,14,FALSE)</f>
        <v>60</v>
      </c>
      <c r="AD21" s="60">
        <f t="shared" si="0"/>
        <v>720</v>
      </c>
      <c r="AE21" s="66">
        <f>Integrated[[#This Row],[Flu Deaths &lt;5 years old]]/Integrated[[#This Row],[Population &lt;5 years]]</f>
        <v>2.8451525713066362E-3</v>
      </c>
      <c r="AF21" s="67">
        <f>Integrated[[#This Row],[Flu Deaths 5 to 14 years]]/Integrated[[#This Row],[Population 5 to 14 years]]</f>
        <v>1.0464812069416586E-3</v>
      </c>
      <c r="AG21" s="67">
        <f>Integrated[[#This Row],[Flu Deaths 15 to 24 years]]/Integrated[[#This Row],[Population 15 to 24 years]]</f>
        <v>6.1935483870967747E-4</v>
      </c>
      <c r="AH21" s="67">
        <f>Integrated[[#This Row],[Flu Deaths 25 to 34 years]]/Integrated[[#This Row],[Population 25 to 34 years]]</f>
        <v>4.0108024278724029E-4</v>
      </c>
      <c r="AI21" s="67">
        <f>Integrated[[#This Row],[Flu Deaths 35 to 44 years]]/Integrated[[#This Row],[Population 35 to 44 years]]</f>
        <v>6.4570979649379578E-4</v>
      </c>
      <c r="AJ21" s="67">
        <f>Integrated[[#This Row],[Flu Deaths 45 to 54 years]]/Integrated[[#This Row],[Population 45 to 54 years]]</f>
        <v>7.7815965242202195E-4</v>
      </c>
      <c r="AK21" s="67">
        <f>Integrated[[#This Row],[Flu Deaths 55 to 64 years]]/Integrated[[#This Row],[Population 55 to 64 years]]</f>
        <v>8.6708961371157714E-4</v>
      </c>
      <c r="AL21" s="67">
        <f>Integrated[[#This Row],[Flu Deaths 65 to 74 years]]/Integrated[[#This Row],[Population 65 to 74 years]]</f>
        <v>1.4006583094054205E-3</v>
      </c>
      <c r="AM21" s="67">
        <f>Integrated[[#This Row],[Flu Deaths 75 to 84 years]]/Integrated[[#This Row],[Population 75 to 84 years]]</f>
        <v>2.7587475286220057E-3</v>
      </c>
      <c r="AN21" s="67">
        <f>Integrated[[#This Row],[Flu Deaths 85+ years]]/Integrated[[#This Row],[Population 85+ years]]</f>
        <v>5.6899004267425323E-3</v>
      </c>
      <c r="AO21" s="68">
        <f>Integrated[[#This Row],[Total Flu Deaths]]/Integrated[[#This Row],[Total population]]</f>
        <v>1.092549570643193E-3</v>
      </c>
    </row>
    <row r="22" spans="1:41" x14ac:dyDescent="0.3">
      <c r="A22" s="44" t="s">
        <v>86</v>
      </c>
      <c r="B22" t="s">
        <v>62</v>
      </c>
      <c r="C22" s="45">
        <v>2017</v>
      </c>
      <c r="D22" s="51">
        <v>672391</v>
      </c>
      <c r="E22" s="2">
        <v>319046</v>
      </c>
      <c r="F22" s="2">
        <v>353345</v>
      </c>
      <c r="G22" s="78">
        <f>Integrated[[#This Row],[Female Total population]]/Integrated[[#This Row],[Total population]]</f>
        <v>0.52550524917793362</v>
      </c>
      <c r="H22" s="2">
        <v>43607</v>
      </c>
      <c r="I22" s="2">
        <v>58900</v>
      </c>
      <c r="J22" s="2">
        <v>92041</v>
      </c>
      <c r="K22" s="2">
        <v>156390</v>
      </c>
      <c r="L22" s="2">
        <v>95604</v>
      </c>
      <c r="M22" s="2">
        <v>76580</v>
      </c>
      <c r="N22" s="2">
        <v>69500</v>
      </c>
      <c r="O22" s="2">
        <v>45582</v>
      </c>
      <c r="P22" s="2">
        <v>23058</v>
      </c>
      <c r="Q22" s="52">
        <v>11129</v>
      </c>
      <c r="R22" s="127">
        <f>Integrated[[#This Row],[Population 85+ years]]/Integrated[[#This Row],[Total population]]</f>
        <v>1.6551381562216031E-2</v>
      </c>
      <c r="S22" s="58">
        <v>120</v>
      </c>
      <c r="T22" s="59">
        <v>60</v>
      </c>
      <c r="U22" s="59">
        <v>60</v>
      </c>
      <c r="V22" s="59">
        <v>60</v>
      </c>
      <c r="W22" s="59">
        <v>60</v>
      </c>
      <c r="X22" s="59">
        <v>60</v>
      </c>
      <c r="Y22" s="59">
        <v>60</v>
      </c>
      <c r="Z22" s="59">
        <v>60</v>
      </c>
      <c r="AA22" s="59">
        <v>60</v>
      </c>
      <c r="AB22" s="59">
        <v>60</v>
      </c>
      <c r="AC22" s="59">
        <f>VLOOKUP($A22,'[1]Flu Deaths Updated'!$A$2:$N$460,14,FALSE)</f>
        <v>60</v>
      </c>
      <c r="AD22" s="60">
        <f t="shared" si="0"/>
        <v>720</v>
      </c>
      <c r="AE22" s="66">
        <f>Integrated[[#This Row],[Flu Deaths &lt;5 years old]]/Integrated[[#This Row],[Population &lt;5 years]]</f>
        <v>2.7518517669181553E-3</v>
      </c>
      <c r="AF22" s="67">
        <f>Integrated[[#This Row],[Flu Deaths 5 to 14 years]]/Integrated[[#This Row],[Population 5 to 14 years]]</f>
        <v>1.0186757215619694E-3</v>
      </c>
      <c r="AG22" s="67">
        <f>Integrated[[#This Row],[Flu Deaths 15 to 24 years]]/Integrated[[#This Row],[Population 15 to 24 years]]</f>
        <v>6.5188339978922431E-4</v>
      </c>
      <c r="AH22" s="67">
        <f>Integrated[[#This Row],[Flu Deaths 25 to 34 years]]/Integrated[[#This Row],[Population 25 to 34 years]]</f>
        <v>3.8365624400537121E-4</v>
      </c>
      <c r="AI22" s="67">
        <f>Integrated[[#This Row],[Flu Deaths 35 to 44 years]]/Integrated[[#This Row],[Population 35 to 44 years]]</f>
        <v>6.2758880381573988E-4</v>
      </c>
      <c r="AJ22" s="67">
        <f>Integrated[[#This Row],[Flu Deaths 45 to 54 years]]/Integrated[[#This Row],[Population 45 to 54 years]]</f>
        <v>7.8349438495690785E-4</v>
      </c>
      <c r="AK22" s="67">
        <f>Integrated[[#This Row],[Flu Deaths 55 to 64 years]]/Integrated[[#This Row],[Population 55 to 64 years]]</f>
        <v>8.6330935251798565E-4</v>
      </c>
      <c r="AL22" s="67">
        <f>Integrated[[#This Row],[Flu Deaths 65 to 74 years]]/Integrated[[#This Row],[Population 65 to 74 years]]</f>
        <v>1.3163090693694879E-3</v>
      </c>
      <c r="AM22" s="67">
        <f>Integrated[[#This Row],[Flu Deaths 75 to 84 years]]/Integrated[[#This Row],[Population 75 to 84 years]]</f>
        <v>2.6021337496747333E-3</v>
      </c>
      <c r="AN22" s="67">
        <f>Integrated[[#This Row],[Flu Deaths 85+ years]]/Integrated[[#This Row],[Population 85+ years]]</f>
        <v>5.3913199748405064E-3</v>
      </c>
      <c r="AO22" s="68">
        <f>Integrated[[#This Row],[Total Flu Deaths]]/Integrated[[#This Row],[Total population]]</f>
        <v>1.0708055283309859E-3</v>
      </c>
    </row>
    <row r="23" spans="1:41" x14ac:dyDescent="0.3">
      <c r="A23" s="44" t="s">
        <v>81</v>
      </c>
      <c r="B23" t="s">
        <v>55</v>
      </c>
      <c r="C23" s="45">
        <v>2011</v>
      </c>
      <c r="D23" s="51">
        <v>650708</v>
      </c>
      <c r="E23" s="2">
        <v>327510</v>
      </c>
      <c r="F23" s="2">
        <v>323200</v>
      </c>
      <c r="G23" s="78">
        <f>Integrated[[#This Row],[Female Total population]]/Integrated[[#This Row],[Total population]]</f>
        <v>0.49668975946200139</v>
      </c>
      <c r="H23" s="2">
        <v>40654</v>
      </c>
      <c r="I23" s="2">
        <v>78053</v>
      </c>
      <c r="J23" s="2">
        <v>101012</v>
      </c>
      <c r="K23" s="2">
        <v>81354</v>
      </c>
      <c r="L23" s="2">
        <v>75072</v>
      </c>
      <c r="M23" s="2">
        <v>95412</v>
      </c>
      <c r="N23" s="2">
        <v>79506</v>
      </c>
      <c r="O23" s="2">
        <v>47902</v>
      </c>
      <c r="P23" s="2">
        <v>35612</v>
      </c>
      <c r="Q23" s="52">
        <v>16356</v>
      </c>
      <c r="R23" s="127">
        <f>Integrated[[#This Row],[Population 85+ years]]/Integrated[[#This Row],[Total population]]</f>
        <v>2.5135698347031235E-2</v>
      </c>
      <c r="S23" s="58">
        <v>120</v>
      </c>
      <c r="T23" s="59">
        <v>60</v>
      </c>
      <c r="U23" s="59">
        <v>60</v>
      </c>
      <c r="V23" s="59">
        <v>60</v>
      </c>
      <c r="W23" s="59">
        <v>60</v>
      </c>
      <c r="X23" s="59">
        <v>60</v>
      </c>
      <c r="Y23" s="59">
        <v>60</v>
      </c>
      <c r="Z23" s="59">
        <v>60</v>
      </c>
      <c r="AA23" s="59">
        <v>60</v>
      </c>
      <c r="AB23" s="59">
        <v>60</v>
      </c>
      <c r="AC23" s="59">
        <f>VLOOKUP($A23,'[1]Flu Deaths Updated'!$A$2:$N$460,14,FALSE)</f>
        <v>60</v>
      </c>
      <c r="AD23" s="60">
        <f t="shared" si="0"/>
        <v>720</v>
      </c>
      <c r="AE23" s="66">
        <f>Integrated[[#This Row],[Flu Deaths &lt;5 years old]]/Integrated[[#This Row],[Population &lt;5 years]]</f>
        <v>2.9517390662665418E-3</v>
      </c>
      <c r="AF23" s="67">
        <f>Integrated[[#This Row],[Flu Deaths 5 to 14 years]]/Integrated[[#This Row],[Population 5 to 14 years]]</f>
        <v>7.6870844169987058E-4</v>
      </c>
      <c r="AG23" s="67">
        <f>Integrated[[#This Row],[Flu Deaths 15 to 24 years]]/Integrated[[#This Row],[Population 15 to 24 years]]</f>
        <v>5.9398883300993939E-4</v>
      </c>
      <c r="AH23" s="67">
        <f>Integrated[[#This Row],[Flu Deaths 25 to 34 years]]/Integrated[[#This Row],[Population 25 to 34 years]]</f>
        <v>7.3751751604100597E-4</v>
      </c>
      <c r="AI23" s="67">
        <f>Integrated[[#This Row],[Flu Deaths 35 to 44 years]]/Integrated[[#This Row],[Population 35 to 44 years]]</f>
        <v>7.9923273657289001E-4</v>
      </c>
      <c r="AJ23" s="67">
        <f>Integrated[[#This Row],[Flu Deaths 45 to 54 years]]/Integrated[[#This Row],[Population 45 to 54 years]]</f>
        <v>6.2885171676518674E-4</v>
      </c>
      <c r="AK23" s="67">
        <f>Integrated[[#This Row],[Flu Deaths 55 to 64 years]]/Integrated[[#This Row],[Population 55 to 64 years]]</f>
        <v>7.5466002565844085E-4</v>
      </c>
      <c r="AL23" s="67">
        <f>Integrated[[#This Row],[Flu Deaths 65 to 74 years]]/Integrated[[#This Row],[Population 65 to 74 years]]</f>
        <v>1.2525573044966808E-3</v>
      </c>
      <c r="AM23" s="67">
        <f>Integrated[[#This Row],[Flu Deaths 75 to 84 years]]/Integrated[[#This Row],[Population 75 to 84 years]]</f>
        <v>1.6848253397731103E-3</v>
      </c>
      <c r="AN23" s="67">
        <f>Integrated[[#This Row],[Flu Deaths 85+ years]]/Integrated[[#This Row],[Population 85+ years]]</f>
        <v>3.6683785766691121E-3</v>
      </c>
      <c r="AO23" s="68">
        <f>Integrated[[#This Row],[Total Flu Deaths]]/Integrated[[#This Row],[Total population]]</f>
        <v>1.1064870879103992E-3</v>
      </c>
    </row>
    <row r="24" spans="1:41" x14ac:dyDescent="0.3">
      <c r="A24" s="44" t="s">
        <v>59</v>
      </c>
      <c r="B24" t="s">
        <v>55</v>
      </c>
      <c r="C24" s="45">
        <v>2016</v>
      </c>
      <c r="D24" s="51">
        <v>568000</v>
      </c>
      <c r="E24" s="2">
        <v>289710</v>
      </c>
      <c r="F24" s="2">
        <v>278291</v>
      </c>
      <c r="G24" s="78">
        <f>Integrated[[#This Row],[Female Total population]]/Integrated[[#This Row],[Total population]]</f>
        <v>0.48994894366197184</v>
      </c>
      <c r="H24" s="2">
        <v>39127</v>
      </c>
      <c r="I24" s="2">
        <v>70417</v>
      </c>
      <c r="J24" s="2">
        <v>86725</v>
      </c>
      <c r="K24" s="2">
        <v>83484</v>
      </c>
      <c r="L24" s="2">
        <v>65138</v>
      </c>
      <c r="M24" s="2">
        <v>70658</v>
      </c>
      <c r="N24" s="2">
        <v>71570</v>
      </c>
      <c r="O24" s="2">
        <v>42715</v>
      </c>
      <c r="P24" s="2">
        <v>25283</v>
      </c>
      <c r="Q24" s="52">
        <v>13538</v>
      </c>
      <c r="R24" s="127">
        <f>Integrated[[#This Row],[Population 85+ years]]/Integrated[[#This Row],[Total population]]</f>
        <v>2.3834507042253521E-2</v>
      </c>
      <c r="S24" s="58">
        <v>120</v>
      </c>
      <c r="T24" s="59">
        <v>60</v>
      </c>
      <c r="U24" s="59">
        <v>60</v>
      </c>
      <c r="V24" s="59">
        <v>60</v>
      </c>
      <c r="W24" s="59">
        <v>60</v>
      </c>
      <c r="X24" s="59">
        <v>60</v>
      </c>
      <c r="Y24" s="59">
        <v>60</v>
      </c>
      <c r="Z24" s="59">
        <v>60</v>
      </c>
      <c r="AA24" s="59">
        <v>60</v>
      </c>
      <c r="AB24" s="59">
        <v>60</v>
      </c>
      <c r="AC24" s="59">
        <f>VLOOKUP($A24,'[1]Flu Deaths Updated'!$A$2:$N$460,14,FALSE)</f>
        <v>60</v>
      </c>
      <c r="AD24" s="60">
        <f t="shared" si="0"/>
        <v>720</v>
      </c>
      <c r="AE24" s="66">
        <f>Integrated[[#This Row],[Flu Deaths &lt;5 years old]]/Integrated[[#This Row],[Population &lt;5 years]]</f>
        <v>3.0669358754824034E-3</v>
      </c>
      <c r="AF24" s="67">
        <f>Integrated[[#This Row],[Flu Deaths 5 to 14 years]]/Integrated[[#This Row],[Population 5 to 14 years]]</f>
        <v>8.5206697246403569E-4</v>
      </c>
      <c r="AG24" s="67">
        <f>Integrated[[#This Row],[Flu Deaths 15 to 24 years]]/Integrated[[#This Row],[Population 15 to 24 years]]</f>
        <v>6.9184202940328625E-4</v>
      </c>
      <c r="AH24" s="67">
        <f>Integrated[[#This Row],[Flu Deaths 25 to 34 years]]/Integrated[[#This Row],[Population 25 to 34 years]]</f>
        <v>7.187005893344833E-4</v>
      </c>
      <c r="AI24" s="67">
        <f>Integrated[[#This Row],[Flu Deaths 35 to 44 years]]/Integrated[[#This Row],[Population 35 to 44 years]]</f>
        <v>9.2112131167674778E-4</v>
      </c>
      <c r="AJ24" s="67">
        <f>Integrated[[#This Row],[Flu Deaths 45 to 54 years]]/Integrated[[#This Row],[Population 45 to 54 years]]</f>
        <v>8.4916074612924222E-4</v>
      </c>
      <c r="AK24" s="67">
        <f>Integrated[[#This Row],[Flu Deaths 55 to 64 years]]/Integrated[[#This Row],[Population 55 to 64 years]]</f>
        <v>8.3834008662847558E-4</v>
      </c>
      <c r="AL24" s="67">
        <f>Integrated[[#This Row],[Flu Deaths 65 to 74 years]]/Integrated[[#This Row],[Population 65 to 74 years]]</f>
        <v>1.404658784970151E-3</v>
      </c>
      <c r="AM24" s="67">
        <f>Integrated[[#This Row],[Flu Deaths 75 to 84 years]]/Integrated[[#This Row],[Population 75 to 84 years]]</f>
        <v>2.3731360993552979E-3</v>
      </c>
      <c r="AN24" s="67">
        <f>Integrated[[#This Row],[Flu Deaths 85+ years]]/Integrated[[#This Row],[Population 85+ years]]</f>
        <v>4.4319692716797161E-3</v>
      </c>
      <c r="AO24" s="68">
        <f>Integrated[[#This Row],[Total Flu Deaths]]/Integrated[[#This Row],[Total population]]</f>
        <v>1.2676056338028169E-3</v>
      </c>
    </row>
    <row r="25" spans="1:41" x14ac:dyDescent="0.3">
      <c r="A25" s="44" t="s">
        <v>96</v>
      </c>
      <c r="B25" t="s">
        <v>55</v>
      </c>
      <c r="C25" s="45">
        <v>2017</v>
      </c>
      <c r="D25" s="51">
        <v>701012</v>
      </c>
      <c r="E25" s="2">
        <v>361194</v>
      </c>
      <c r="F25" s="2">
        <v>339822</v>
      </c>
      <c r="G25" s="78">
        <f>Integrated[[#This Row],[Female Total population]]/Integrated[[#This Row],[Total population]]</f>
        <v>0.4847591767330659</v>
      </c>
      <c r="H25" s="2">
        <v>47798</v>
      </c>
      <c r="I25" s="2">
        <v>86027</v>
      </c>
      <c r="J25" s="2">
        <v>112338</v>
      </c>
      <c r="K25" s="2">
        <v>105013</v>
      </c>
      <c r="L25" s="2">
        <v>79886</v>
      </c>
      <c r="M25" s="2">
        <v>82102</v>
      </c>
      <c r="N25" s="2">
        <v>87006</v>
      </c>
      <c r="O25" s="2">
        <v>53939</v>
      </c>
      <c r="P25" s="2">
        <v>30897</v>
      </c>
      <c r="Q25" s="52">
        <v>16086</v>
      </c>
      <c r="R25" s="127">
        <f>Integrated[[#This Row],[Population 85+ years]]/Integrated[[#This Row],[Total population]]</f>
        <v>2.294682544664E-2</v>
      </c>
      <c r="S25" s="58">
        <v>120</v>
      </c>
      <c r="T25" s="59">
        <v>60</v>
      </c>
      <c r="U25" s="59">
        <v>60</v>
      </c>
      <c r="V25" s="59">
        <v>60</v>
      </c>
      <c r="W25" s="59">
        <v>60</v>
      </c>
      <c r="X25" s="59">
        <v>60</v>
      </c>
      <c r="Y25" s="59">
        <v>60</v>
      </c>
      <c r="Z25" s="59">
        <v>60</v>
      </c>
      <c r="AA25" s="59">
        <v>60</v>
      </c>
      <c r="AB25" s="59">
        <v>60</v>
      </c>
      <c r="AC25" s="59">
        <f>VLOOKUP($A25,'[1]Flu Deaths Updated'!$A$2:$N$460,14,FALSE)</f>
        <v>60</v>
      </c>
      <c r="AD25" s="60">
        <f t="shared" si="0"/>
        <v>720</v>
      </c>
      <c r="AE25" s="66">
        <f>Integrated[[#This Row],[Flu Deaths &lt;5 years old]]/Integrated[[#This Row],[Population &lt;5 years]]</f>
        <v>2.5105652956190637E-3</v>
      </c>
      <c r="AF25" s="67">
        <f>Integrated[[#This Row],[Flu Deaths 5 to 14 years]]/Integrated[[#This Row],[Population 5 to 14 years]]</f>
        <v>6.9745545003312918E-4</v>
      </c>
      <c r="AG25" s="67">
        <f>Integrated[[#This Row],[Flu Deaths 15 to 24 years]]/Integrated[[#This Row],[Population 15 to 24 years]]</f>
        <v>5.341024408481547E-4</v>
      </c>
      <c r="AH25" s="67">
        <f>Integrated[[#This Row],[Flu Deaths 25 to 34 years]]/Integrated[[#This Row],[Population 25 to 34 years]]</f>
        <v>5.7135783188748054E-4</v>
      </c>
      <c r="AI25" s="67">
        <f>Integrated[[#This Row],[Flu Deaths 35 to 44 years]]/Integrated[[#This Row],[Population 35 to 44 years]]</f>
        <v>7.5107027514207747E-4</v>
      </c>
      <c r="AJ25" s="67">
        <f>Integrated[[#This Row],[Flu Deaths 45 to 54 years]]/Integrated[[#This Row],[Population 45 to 54 years]]</f>
        <v>7.3079827531607024E-4</v>
      </c>
      <c r="AK25" s="67">
        <f>Integrated[[#This Row],[Flu Deaths 55 to 64 years]]/Integrated[[#This Row],[Population 55 to 64 years]]</f>
        <v>6.8960761326805045E-4</v>
      </c>
      <c r="AL25" s="67">
        <f>Integrated[[#This Row],[Flu Deaths 65 to 74 years]]/Integrated[[#This Row],[Population 65 to 74 years]]</f>
        <v>1.1123676745953763E-3</v>
      </c>
      <c r="AM25" s="67">
        <f>Integrated[[#This Row],[Flu Deaths 75 to 84 years]]/Integrated[[#This Row],[Population 75 to 84 years]]</f>
        <v>1.9419361103019711E-3</v>
      </c>
      <c r="AN25" s="67">
        <f>Integrated[[#This Row],[Flu Deaths 85+ years]]/Integrated[[#This Row],[Population 85+ years]]</f>
        <v>3.7299515106303618E-3</v>
      </c>
      <c r="AO25" s="68">
        <f>Integrated[[#This Row],[Total Flu Deaths]]/Integrated[[#This Row],[Total population]]</f>
        <v>1.0270865548663933E-3</v>
      </c>
    </row>
    <row r="26" spans="1:41" x14ac:dyDescent="0.3">
      <c r="A26" s="44" t="s">
        <v>71</v>
      </c>
      <c r="B26" t="s">
        <v>43</v>
      </c>
      <c r="C26" s="45">
        <v>2009</v>
      </c>
      <c r="D26" s="51">
        <v>620414</v>
      </c>
      <c r="E26" s="2">
        <v>305039</v>
      </c>
      <c r="F26" s="2">
        <v>315375</v>
      </c>
      <c r="G26" s="78">
        <f>Integrated[[#This Row],[Female Total population]]/Integrated[[#This Row],[Total population]]</f>
        <v>0.50832992163297408</v>
      </c>
      <c r="H26" s="2">
        <v>32517</v>
      </c>
      <c r="I26" s="2">
        <v>72271</v>
      </c>
      <c r="J26" s="2">
        <v>94747</v>
      </c>
      <c r="K26" s="2">
        <v>67522</v>
      </c>
      <c r="L26" s="2">
        <v>85470</v>
      </c>
      <c r="M26" s="2">
        <v>102440</v>
      </c>
      <c r="N26" s="2">
        <v>80451</v>
      </c>
      <c r="O26" s="2">
        <v>44580</v>
      </c>
      <c r="P26" s="2">
        <v>30217</v>
      </c>
      <c r="Q26" s="52">
        <v>10734</v>
      </c>
      <c r="R26" s="127">
        <f>Integrated[[#This Row],[Population 85+ years]]/Integrated[[#This Row],[Total population]]</f>
        <v>1.7301350388611476E-2</v>
      </c>
      <c r="S26" s="58">
        <v>120</v>
      </c>
      <c r="T26" s="59">
        <v>60</v>
      </c>
      <c r="U26" s="59">
        <v>60</v>
      </c>
      <c r="V26" s="59">
        <v>60</v>
      </c>
      <c r="W26" s="59">
        <v>60</v>
      </c>
      <c r="X26" s="59">
        <v>60</v>
      </c>
      <c r="Y26" s="59">
        <v>60</v>
      </c>
      <c r="Z26" s="59">
        <v>60</v>
      </c>
      <c r="AA26" s="59">
        <v>60</v>
      </c>
      <c r="AB26" s="59">
        <v>60</v>
      </c>
      <c r="AC26" s="59">
        <f>VLOOKUP($A26,'[1]Flu Deaths Updated'!$A$2:$N$460,14,FALSE)</f>
        <v>60</v>
      </c>
      <c r="AD26" s="60">
        <f t="shared" si="0"/>
        <v>720</v>
      </c>
      <c r="AE26" s="66">
        <f>Integrated[[#This Row],[Flu Deaths &lt;5 years old]]/Integrated[[#This Row],[Population &lt;5 years]]</f>
        <v>3.6903773410831256E-3</v>
      </c>
      <c r="AF26" s="67">
        <f>Integrated[[#This Row],[Flu Deaths 5 to 14 years]]/Integrated[[#This Row],[Population 5 to 14 years]]</f>
        <v>8.3020852070678415E-4</v>
      </c>
      <c r="AG26" s="67">
        <f>Integrated[[#This Row],[Flu Deaths 15 to 24 years]]/Integrated[[#This Row],[Population 15 to 24 years]]</f>
        <v>6.3326543320632838E-4</v>
      </c>
      <c r="AH26" s="67">
        <f>Integrated[[#This Row],[Flu Deaths 25 to 34 years]]/Integrated[[#This Row],[Population 25 to 34 years]]</f>
        <v>8.8859927134859746E-4</v>
      </c>
      <c r="AI26" s="67">
        <f>Integrated[[#This Row],[Flu Deaths 35 to 44 years]]/Integrated[[#This Row],[Population 35 to 44 years]]</f>
        <v>7.0200070200070197E-4</v>
      </c>
      <c r="AJ26" s="67">
        <f>Integrated[[#This Row],[Flu Deaths 45 to 54 years]]/Integrated[[#This Row],[Population 45 to 54 years]]</f>
        <v>5.8570870753611867E-4</v>
      </c>
      <c r="AK26" s="67">
        <f>Integrated[[#This Row],[Flu Deaths 55 to 64 years]]/Integrated[[#This Row],[Population 55 to 64 years]]</f>
        <v>7.4579557743222578E-4</v>
      </c>
      <c r="AL26" s="67">
        <f>Integrated[[#This Row],[Flu Deaths 65 to 74 years]]/Integrated[[#This Row],[Population 65 to 74 years]]</f>
        <v>1.3458950201884253E-3</v>
      </c>
      <c r="AM26" s="67">
        <f>Integrated[[#This Row],[Flu Deaths 75 to 84 years]]/Integrated[[#This Row],[Population 75 to 84 years]]</f>
        <v>1.9856372240791608E-3</v>
      </c>
      <c r="AN26" s="67">
        <f>Integrated[[#This Row],[Flu Deaths 85+ years]]/Integrated[[#This Row],[Population 85+ years]]</f>
        <v>5.5897149245388482E-3</v>
      </c>
      <c r="AO26" s="68">
        <f>Integrated[[#This Row],[Total Flu Deaths]]/Integrated[[#This Row],[Total population]]</f>
        <v>1.1605153977827709E-3</v>
      </c>
    </row>
    <row r="27" spans="1:41" x14ac:dyDescent="0.3">
      <c r="A27" s="44" t="s">
        <v>60</v>
      </c>
      <c r="B27" t="s">
        <v>43</v>
      </c>
      <c r="C27" s="45">
        <v>2010</v>
      </c>
      <c r="D27" s="51">
        <v>572962</v>
      </c>
      <c r="E27" s="2">
        <v>281968</v>
      </c>
      <c r="F27" s="2">
        <v>290994</v>
      </c>
      <c r="G27" s="78">
        <f>Integrated[[#This Row],[Female Total population]]/Integrated[[#This Row],[Total population]]</f>
        <v>0.50787661310872279</v>
      </c>
      <c r="H27" s="2">
        <v>29373</v>
      </c>
      <c r="I27" s="2">
        <v>67677</v>
      </c>
      <c r="J27" s="2">
        <v>84970</v>
      </c>
      <c r="K27" s="2">
        <v>62480</v>
      </c>
      <c r="L27" s="2">
        <v>76919</v>
      </c>
      <c r="M27" s="2">
        <v>94831</v>
      </c>
      <c r="N27" s="2">
        <v>77062</v>
      </c>
      <c r="O27" s="2">
        <v>42035</v>
      </c>
      <c r="P27" s="2">
        <v>27478</v>
      </c>
      <c r="Q27" s="52">
        <v>10517</v>
      </c>
      <c r="R27" s="127">
        <f>Integrated[[#This Row],[Population 85+ years]]/Integrated[[#This Row],[Total population]]</f>
        <v>1.8355493034442075E-2</v>
      </c>
      <c r="S27" s="58">
        <v>120</v>
      </c>
      <c r="T27" s="59">
        <v>60</v>
      </c>
      <c r="U27" s="59">
        <v>60</v>
      </c>
      <c r="V27" s="59">
        <v>60</v>
      </c>
      <c r="W27" s="59">
        <v>60</v>
      </c>
      <c r="X27" s="59">
        <v>60</v>
      </c>
      <c r="Y27" s="59">
        <v>60</v>
      </c>
      <c r="Z27" s="59">
        <v>60</v>
      </c>
      <c r="AA27" s="59">
        <v>60</v>
      </c>
      <c r="AB27" s="59">
        <v>60</v>
      </c>
      <c r="AC27" s="59">
        <f>VLOOKUP($A27,'[1]Flu Deaths Updated'!$A$2:$N$460,14,FALSE)</f>
        <v>60</v>
      </c>
      <c r="AD27" s="60">
        <f t="shared" si="0"/>
        <v>720</v>
      </c>
      <c r="AE27" s="66">
        <f>Integrated[[#This Row],[Flu Deaths &lt;5 years old]]/Integrated[[#This Row],[Population &lt;5 years]]</f>
        <v>4.0853845368195281E-3</v>
      </c>
      <c r="AF27" s="67">
        <f>Integrated[[#This Row],[Flu Deaths 5 to 14 years]]/Integrated[[#This Row],[Population 5 to 14 years]]</f>
        <v>8.8656412075003329E-4</v>
      </c>
      <c r="AG27" s="67">
        <f>Integrated[[#This Row],[Flu Deaths 15 to 24 years]]/Integrated[[#This Row],[Population 15 to 24 years]]</f>
        <v>7.0613157585030009E-4</v>
      </c>
      <c r="AH27" s="67">
        <f>Integrated[[#This Row],[Flu Deaths 25 to 34 years]]/Integrated[[#This Row],[Population 25 to 34 years]]</f>
        <v>9.6030729833546731E-4</v>
      </c>
      <c r="AI27" s="67">
        <f>Integrated[[#This Row],[Flu Deaths 35 to 44 years]]/Integrated[[#This Row],[Population 35 to 44 years]]</f>
        <v>7.8004134219113608E-4</v>
      </c>
      <c r="AJ27" s="67">
        <f>Integrated[[#This Row],[Flu Deaths 45 to 54 years]]/Integrated[[#This Row],[Population 45 to 54 years]]</f>
        <v>6.3270449536543952E-4</v>
      </c>
      <c r="AK27" s="67">
        <f>Integrated[[#This Row],[Flu Deaths 55 to 64 years]]/Integrated[[#This Row],[Population 55 to 64 years]]</f>
        <v>7.7859385948976154E-4</v>
      </c>
      <c r="AL27" s="67">
        <f>Integrated[[#This Row],[Flu Deaths 65 to 74 years]]/Integrated[[#This Row],[Population 65 to 74 years]]</f>
        <v>1.4273819436184131E-3</v>
      </c>
      <c r="AM27" s="67">
        <f>Integrated[[#This Row],[Flu Deaths 75 to 84 years]]/Integrated[[#This Row],[Population 75 to 84 years]]</f>
        <v>2.1835650338452579E-3</v>
      </c>
      <c r="AN27" s="67">
        <f>Integrated[[#This Row],[Flu Deaths 85+ years]]/Integrated[[#This Row],[Population 85+ years]]</f>
        <v>5.7050489683369782E-3</v>
      </c>
      <c r="AO27" s="68">
        <f>Integrated[[#This Row],[Total Flu Deaths]]/Integrated[[#This Row],[Total population]]</f>
        <v>1.2566278391935241E-3</v>
      </c>
    </row>
    <row r="28" spans="1:41" x14ac:dyDescent="0.3">
      <c r="A28" s="44" t="s">
        <v>73</v>
      </c>
      <c r="B28" t="s">
        <v>43</v>
      </c>
      <c r="C28" s="45">
        <v>2011</v>
      </c>
      <c r="D28" s="51">
        <v>624954</v>
      </c>
      <c r="E28" s="2">
        <v>309064</v>
      </c>
      <c r="F28" s="2">
        <v>315890</v>
      </c>
      <c r="G28" s="78">
        <f>Integrated[[#This Row],[Female Total population]]/Integrated[[#This Row],[Total population]]</f>
        <v>0.50546120194446309</v>
      </c>
      <c r="H28" s="2">
        <v>32092</v>
      </c>
      <c r="I28" s="2">
        <v>72882</v>
      </c>
      <c r="J28" s="2">
        <v>90679</v>
      </c>
      <c r="K28" s="2">
        <v>70106</v>
      </c>
      <c r="L28" s="2">
        <v>81345</v>
      </c>
      <c r="M28" s="2">
        <v>101955</v>
      </c>
      <c r="N28" s="2">
        <v>86802</v>
      </c>
      <c r="O28" s="2">
        <v>47713</v>
      </c>
      <c r="P28" s="2">
        <v>29586</v>
      </c>
      <c r="Q28" s="52">
        <v>11704</v>
      </c>
      <c r="R28" s="127">
        <f>Integrated[[#This Row],[Population 85+ years]]/Integrated[[#This Row],[Total population]]</f>
        <v>1.8727778364487625E-2</v>
      </c>
      <c r="S28" s="58">
        <v>120</v>
      </c>
      <c r="T28" s="59">
        <v>60</v>
      </c>
      <c r="U28" s="59">
        <v>60</v>
      </c>
      <c r="V28" s="59">
        <v>60</v>
      </c>
      <c r="W28" s="59">
        <v>60</v>
      </c>
      <c r="X28" s="59">
        <v>60</v>
      </c>
      <c r="Y28" s="59">
        <v>60</v>
      </c>
      <c r="Z28" s="59">
        <v>60</v>
      </c>
      <c r="AA28" s="59">
        <v>60</v>
      </c>
      <c r="AB28" s="59">
        <v>60</v>
      </c>
      <c r="AC28" s="59">
        <f>VLOOKUP($A28,'[1]Flu Deaths Updated'!$A$2:$N$460,14,FALSE)</f>
        <v>60</v>
      </c>
      <c r="AD28" s="60">
        <f t="shared" si="0"/>
        <v>720</v>
      </c>
      <c r="AE28" s="66">
        <f>Integrated[[#This Row],[Flu Deaths &lt;5 years old]]/Integrated[[#This Row],[Population &lt;5 years]]</f>
        <v>3.739249657235448E-3</v>
      </c>
      <c r="AF28" s="67">
        <f>Integrated[[#This Row],[Flu Deaths 5 to 14 years]]/Integrated[[#This Row],[Population 5 to 14 years]]</f>
        <v>8.2324853873384373E-4</v>
      </c>
      <c r="AG28" s="67">
        <f>Integrated[[#This Row],[Flu Deaths 15 to 24 years]]/Integrated[[#This Row],[Population 15 to 24 years]]</f>
        <v>6.6167469866231432E-4</v>
      </c>
      <c r="AH28" s="67">
        <f>Integrated[[#This Row],[Flu Deaths 25 to 34 years]]/Integrated[[#This Row],[Population 25 to 34 years]]</f>
        <v>8.5584686046843354E-4</v>
      </c>
      <c r="AI28" s="67">
        <f>Integrated[[#This Row],[Flu Deaths 35 to 44 years]]/Integrated[[#This Row],[Population 35 to 44 years]]</f>
        <v>7.3759911488106215E-4</v>
      </c>
      <c r="AJ28" s="67">
        <f>Integrated[[#This Row],[Flu Deaths 45 to 54 years]]/Integrated[[#This Row],[Population 45 to 54 years]]</f>
        <v>5.8849492423127849E-4</v>
      </c>
      <c r="AK28" s="67">
        <f>Integrated[[#This Row],[Flu Deaths 55 to 64 years]]/Integrated[[#This Row],[Population 55 to 64 years]]</f>
        <v>6.9122831271168869E-4</v>
      </c>
      <c r="AL28" s="67">
        <f>Integrated[[#This Row],[Flu Deaths 65 to 74 years]]/Integrated[[#This Row],[Population 65 to 74 years]]</f>
        <v>1.2575189151803493E-3</v>
      </c>
      <c r="AM28" s="67">
        <f>Integrated[[#This Row],[Flu Deaths 75 to 84 years]]/Integrated[[#This Row],[Population 75 to 84 years]]</f>
        <v>2.0279862096937739E-3</v>
      </c>
      <c r="AN28" s="67">
        <f>Integrated[[#This Row],[Flu Deaths 85+ years]]/Integrated[[#This Row],[Population 85+ years]]</f>
        <v>5.1264524948735476E-3</v>
      </c>
      <c r="AO28" s="68">
        <f>Integrated[[#This Row],[Total Flu Deaths]]/Integrated[[#This Row],[Total population]]</f>
        <v>1.1520847934407973E-3</v>
      </c>
    </row>
    <row r="29" spans="1:41" x14ac:dyDescent="0.3">
      <c r="A29" s="44" t="s">
        <v>56</v>
      </c>
      <c r="B29" t="s">
        <v>43</v>
      </c>
      <c r="C29" s="45">
        <v>2012</v>
      </c>
      <c r="D29" s="51">
        <v>556597</v>
      </c>
      <c r="E29" s="2">
        <v>274147</v>
      </c>
      <c r="F29" s="2">
        <v>282450</v>
      </c>
      <c r="G29" s="78">
        <f>Integrated[[#This Row],[Female Total population]]/Integrated[[#This Row],[Total population]]</f>
        <v>0.50745871788744823</v>
      </c>
      <c r="H29" s="2">
        <v>28860</v>
      </c>
      <c r="I29" s="2">
        <v>64851</v>
      </c>
      <c r="J29" s="2">
        <v>81375</v>
      </c>
      <c r="K29" s="2">
        <v>62652</v>
      </c>
      <c r="L29" s="2">
        <v>69504</v>
      </c>
      <c r="M29" s="2">
        <v>88822</v>
      </c>
      <c r="N29" s="2">
        <v>78871</v>
      </c>
      <c r="O29" s="2">
        <v>44309</v>
      </c>
      <c r="P29" s="2">
        <v>26579</v>
      </c>
      <c r="Q29" s="52">
        <v>11293</v>
      </c>
      <c r="R29" s="127">
        <f>Integrated[[#This Row],[Population 85+ years]]/Integrated[[#This Row],[Total population]]</f>
        <v>2.028936555532998E-2</v>
      </c>
      <c r="S29" s="58">
        <v>120</v>
      </c>
      <c r="T29" s="59">
        <v>60</v>
      </c>
      <c r="U29" s="59">
        <v>60</v>
      </c>
      <c r="V29" s="59">
        <v>60</v>
      </c>
      <c r="W29" s="59">
        <v>60</v>
      </c>
      <c r="X29" s="59">
        <v>60</v>
      </c>
      <c r="Y29" s="59">
        <v>60</v>
      </c>
      <c r="Z29" s="59">
        <v>60</v>
      </c>
      <c r="AA29" s="59">
        <v>60</v>
      </c>
      <c r="AB29" s="59">
        <v>60</v>
      </c>
      <c r="AC29" s="59">
        <f>VLOOKUP($A29,'[1]Flu Deaths Updated'!$A$2:$N$460,14,FALSE)</f>
        <v>60</v>
      </c>
      <c r="AD29" s="60">
        <f t="shared" si="0"/>
        <v>720</v>
      </c>
      <c r="AE29" s="66">
        <f>Integrated[[#This Row],[Flu Deaths &lt;5 years old]]/Integrated[[#This Row],[Population &lt;5 years]]</f>
        <v>4.1580041580041582E-3</v>
      </c>
      <c r="AF29" s="67">
        <f>Integrated[[#This Row],[Flu Deaths 5 to 14 years]]/Integrated[[#This Row],[Population 5 to 14 years]]</f>
        <v>9.251977610214183E-4</v>
      </c>
      <c r="AG29" s="67">
        <f>Integrated[[#This Row],[Flu Deaths 15 to 24 years]]/Integrated[[#This Row],[Population 15 to 24 years]]</f>
        <v>7.3732718894009217E-4</v>
      </c>
      <c r="AH29" s="67">
        <f>Integrated[[#This Row],[Flu Deaths 25 to 34 years]]/Integrated[[#This Row],[Population 25 to 34 years]]</f>
        <v>9.5767094426355101E-4</v>
      </c>
      <c r="AI29" s="67">
        <f>Integrated[[#This Row],[Flu Deaths 35 to 44 years]]/Integrated[[#This Row],[Population 35 to 44 years]]</f>
        <v>8.6325966850828726E-4</v>
      </c>
      <c r="AJ29" s="67">
        <f>Integrated[[#This Row],[Flu Deaths 45 to 54 years]]/Integrated[[#This Row],[Population 45 to 54 years]]</f>
        <v>6.7550832001080812E-4</v>
      </c>
      <c r="AK29" s="67">
        <f>Integrated[[#This Row],[Flu Deaths 55 to 64 years]]/Integrated[[#This Row],[Population 55 to 64 years]]</f>
        <v>7.6073588517959706E-4</v>
      </c>
      <c r="AL29" s="67">
        <f>Integrated[[#This Row],[Flu Deaths 65 to 74 years]]/Integrated[[#This Row],[Population 65 to 74 years]]</f>
        <v>1.3541267011216683E-3</v>
      </c>
      <c r="AM29" s="67">
        <f>Integrated[[#This Row],[Flu Deaths 75 to 84 years]]/Integrated[[#This Row],[Population 75 to 84 years]]</f>
        <v>2.2574212724331237E-3</v>
      </c>
      <c r="AN29" s="67">
        <f>Integrated[[#This Row],[Flu Deaths 85+ years]]/Integrated[[#This Row],[Population 85+ years]]</f>
        <v>5.3130257681749758E-3</v>
      </c>
      <c r="AO29" s="68">
        <f>Integrated[[#This Row],[Total Flu Deaths]]/Integrated[[#This Row],[Total population]]</f>
        <v>1.2935750641846794E-3</v>
      </c>
    </row>
    <row r="30" spans="1:41" x14ac:dyDescent="0.3">
      <c r="A30" s="44" t="s">
        <v>50</v>
      </c>
      <c r="B30" t="s">
        <v>43</v>
      </c>
      <c r="C30" s="45">
        <v>2013</v>
      </c>
      <c r="D30" s="51">
        <v>532969</v>
      </c>
      <c r="E30" s="2">
        <v>262885</v>
      </c>
      <c r="F30" s="2">
        <v>270084</v>
      </c>
      <c r="G30" s="78">
        <f>Integrated[[#This Row],[Female Total population]]/Integrated[[#This Row],[Total population]]</f>
        <v>0.50675367610498923</v>
      </c>
      <c r="H30" s="2">
        <v>26958</v>
      </c>
      <c r="I30" s="2">
        <v>60935</v>
      </c>
      <c r="J30" s="2">
        <v>78181</v>
      </c>
      <c r="K30" s="2">
        <v>60646</v>
      </c>
      <c r="L30" s="2">
        <v>65709</v>
      </c>
      <c r="M30" s="2">
        <v>84073</v>
      </c>
      <c r="N30" s="2">
        <v>77225</v>
      </c>
      <c r="O30" s="2">
        <v>44172</v>
      </c>
      <c r="P30" s="2">
        <v>24877</v>
      </c>
      <c r="Q30" s="52">
        <v>10489</v>
      </c>
      <c r="R30" s="127">
        <f>Integrated[[#This Row],[Population 85+ years]]/Integrated[[#This Row],[Total population]]</f>
        <v>1.9680319117997482E-2</v>
      </c>
      <c r="S30" s="58">
        <v>120</v>
      </c>
      <c r="T30" s="59">
        <v>60</v>
      </c>
      <c r="U30" s="59">
        <v>60</v>
      </c>
      <c r="V30" s="59">
        <v>60</v>
      </c>
      <c r="W30" s="59">
        <v>60</v>
      </c>
      <c r="X30" s="59">
        <v>60</v>
      </c>
      <c r="Y30" s="59">
        <v>60</v>
      </c>
      <c r="Z30" s="59">
        <v>60</v>
      </c>
      <c r="AA30" s="59">
        <v>60</v>
      </c>
      <c r="AB30" s="59">
        <v>60</v>
      </c>
      <c r="AC30" s="59">
        <f>VLOOKUP($A30,'[1]Flu Deaths Updated'!$A$2:$N$460,14,FALSE)</f>
        <v>60</v>
      </c>
      <c r="AD30" s="60">
        <f t="shared" si="0"/>
        <v>720</v>
      </c>
      <c r="AE30" s="66">
        <f>Integrated[[#This Row],[Flu Deaths &lt;5 years old]]/Integrated[[#This Row],[Population &lt;5 years]]</f>
        <v>4.4513687959047404E-3</v>
      </c>
      <c r="AF30" s="67">
        <f>Integrated[[#This Row],[Flu Deaths 5 to 14 years]]/Integrated[[#This Row],[Population 5 to 14 years]]</f>
        <v>9.846557807499795E-4</v>
      </c>
      <c r="AG30" s="67">
        <f>Integrated[[#This Row],[Flu Deaths 15 to 24 years]]/Integrated[[#This Row],[Population 15 to 24 years]]</f>
        <v>7.674498919174736E-4</v>
      </c>
      <c r="AH30" s="67">
        <f>Integrated[[#This Row],[Flu Deaths 25 to 34 years]]/Integrated[[#This Row],[Population 25 to 34 years]]</f>
        <v>9.8934801965504726E-4</v>
      </c>
      <c r="AI30" s="67">
        <f>Integrated[[#This Row],[Flu Deaths 35 to 44 years]]/Integrated[[#This Row],[Population 35 to 44 years]]</f>
        <v>9.1311692462219787E-4</v>
      </c>
      <c r="AJ30" s="67">
        <f>Integrated[[#This Row],[Flu Deaths 45 to 54 years]]/Integrated[[#This Row],[Population 45 to 54 years]]</f>
        <v>7.1366550497781688E-4</v>
      </c>
      <c r="AK30" s="67">
        <f>Integrated[[#This Row],[Flu Deaths 55 to 64 years]]/Integrated[[#This Row],[Population 55 to 64 years]]</f>
        <v>7.769504694075753E-4</v>
      </c>
      <c r="AL30" s="67">
        <f>Integrated[[#This Row],[Flu Deaths 65 to 74 years]]/Integrated[[#This Row],[Population 65 to 74 years]]</f>
        <v>1.3583265417006249E-3</v>
      </c>
      <c r="AM30" s="67">
        <f>Integrated[[#This Row],[Flu Deaths 75 to 84 years]]/Integrated[[#This Row],[Population 75 to 84 years]]</f>
        <v>2.4118663826024037E-3</v>
      </c>
      <c r="AN30" s="67">
        <f>Integrated[[#This Row],[Flu Deaths 85+ years]]/Integrated[[#This Row],[Population 85+ years]]</f>
        <v>5.7202783868814952E-3</v>
      </c>
      <c r="AO30" s="68">
        <f>Integrated[[#This Row],[Total Flu Deaths]]/Integrated[[#This Row],[Total population]]</f>
        <v>1.3509228491713401E-3</v>
      </c>
    </row>
    <row r="31" spans="1:41" x14ac:dyDescent="0.3">
      <c r="A31" s="44" t="s">
        <v>42</v>
      </c>
      <c r="B31" t="s">
        <v>43</v>
      </c>
      <c r="C31" s="45">
        <v>2014</v>
      </c>
      <c r="D31" s="51">
        <v>501580</v>
      </c>
      <c r="E31" s="2">
        <v>247115</v>
      </c>
      <c r="F31" s="2">
        <v>254465</v>
      </c>
      <c r="G31" s="78">
        <f>Integrated[[#This Row],[Female Total population]]/Integrated[[#This Row],[Total population]]</f>
        <v>0.50732684716296506</v>
      </c>
      <c r="H31" s="2">
        <v>25169</v>
      </c>
      <c r="I31" s="2">
        <v>57392</v>
      </c>
      <c r="J31" s="2">
        <v>71494</v>
      </c>
      <c r="K31" s="2">
        <v>58699</v>
      </c>
      <c r="L31" s="2">
        <v>60723</v>
      </c>
      <c r="M31" s="2">
        <v>77125</v>
      </c>
      <c r="N31" s="2">
        <v>74526</v>
      </c>
      <c r="O31" s="2">
        <v>43470</v>
      </c>
      <c r="P31" s="2">
        <v>23573</v>
      </c>
      <c r="Q31" s="52">
        <v>9991</v>
      </c>
      <c r="R31" s="127">
        <f>Integrated[[#This Row],[Population 85+ years]]/Integrated[[#This Row],[Total population]]</f>
        <v>1.9919055783723435E-2</v>
      </c>
      <c r="S31" s="58">
        <v>120</v>
      </c>
      <c r="T31" s="59">
        <v>60</v>
      </c>
      <c r="U31" s="59">
        <v>60</v>
      </c>
      <c r="V31" s="59">
        <v>60</v>
      </c>
      <c r="W31" s="59">
        <v>60</v>
      </c>
      <c r="X31" s="59">
        <v>60</v>
      </c>
      <c r="Y31" s="59">
        <v>60</v>
      </c>
      <c r="Z31" s="59">
        <v>60</v>
      </c>
      <c r="AA31" s="59">
        <v>60</v>
      </c>
      <c r="AB31" s="59">
        <v>60</v>
      </c>
      <c r="AC31" s="59">
        <f>VLOOKUP($A31,'[1]Flu Deaths Updated'!$A$2:$N$460,14,FALSE)</f>
        <v>60</v>
      </c>
      <c r="AD31" s="60">
        <f t="shared" si="0"/>
        <v>720</v>
      </c>
      <c r="AE31" s="66">
        <f>Integrated[[#This Row],[Flu Deaths &lt;5 years old]]/Integrated[[#This Row],[Population &lt;5 years]]</f>
        <v>4.7677698756406692E-3</v>
      </c>
      <c r="AF31" s="67">
        <f>Integrated[[#This Row],[Flu Deaths 5 to 14 years]]/Integrated[[#This Row],[Population 5 to 14 years]]</f>
        <v>1.0454418734318371E-3</v>
      </c>
      <c r="AG31" s="67">
        <f>Integrated[[#This Row],[Flu Deaths 15 to 24 years]]/Integrated[[#This Row],[Population 15 to 24 years]]</f>
        <v>8.3923126416202761E-4</v>
      </c>
      <c r="AH31" s="67">
        <f>Integrated[[#This Row],[Flu Deaths 25 to 34 years]]/Integrated[[#This Row],[Population 25 to 34 years]]</f>
        <v>1.0221639210208011E-3</v>
      </c>
      <c r="AI31" s="67">
        <f>Integrated[[#This Row],[Flu Deaths 35 to 44 years]]/Integrated[[#This Row],[Population 35 to 44 years]]</f>
        <v>9.8809347364260669E-4</v>
      </c>
      <c r="AJ31" s="67">
        <f>Integrated[[#This Row],[Flu Deaths 45 to 54 years]]/Integrated[[#This Row],[Population 45 to 54 years]]</f>
        <v>7.7795786061588326E-4</v>
      </c>
      <c r="AK31" s="67">
        <f>Integrated[[#This Row],[Flu Deaths 55 to 64 years]]/Integrated[[#This Row],[Population 55 to 64 years]]</f>
        <v>8.0508815715320823E-4</v>
      </c>
      <c r="AL31" s="67">
        <f>Integrated[[#This Row],[Flu Deaths 65 to 74 years]]/Integrated[[#This Row],[Population 65 to 74 years]]</f>
        <v>1.3802622498274672E-3</v>
      </c>
      <c r="AM31" s="67">
        <f>Integrated[[#This Row],[Flu Deaths 75 to 84 years]]/Integrated[[#This Row],[Population 75 to 84 years]]</f>
        <v>2.5452848597972257E-3</v>
      </c>
      <c r="AN31" s="67">
        <f>Integrated[[#This Row],[Flu Deaths 85+ years]]/Integrated[[#This Row],[Population 85+ years]]</f>
        <v>6.0054048643779405E-3</v>
      </c>
      <c r="AO31" s="68">
        <f>Integrated[[#This Row],[Total Flu Deaths]]/Integrated[[#This Row],[Total population]]</f>
        <v>1.435463933968659E-3</v>
      </c>
    </row>
    <row r="32" spans="1:41" x14ac:dyDescent="0.3">
      <c r="A32" s="44" t="s">
        <v>44</v>
      </c>
      <c r="B32" t="s">
        <v>43</v>
      </c>
      <c r="C32" s="45">
        <v>2016</v>
      </c>
      <c r="D32" s="51">
        <v>501971</v>
      </c>
      <c r="E32" s="2">
        <v>246339</v>
      </c>
      <c r="F32" s="2">
        <v>255633</v>
      </c>
      <c r="G32" s="78">
        <f>Integrated[[#This Row],[Female Total population]]/Integrated[[#This Row],[Total population]]</f>
        <v>0.50925850298124797</v>
      </c>
      <c r="H32" s="2">
        <v>24236</v>
      </c>
      <c r="I32" s="2">
        <v>54118</v>
      </c>
      <c r="J32" s="2">
        <v>74639</v>
      </c>
      <c r="K32" s="2">
        <v>58562</v>
      </c>
      <c r="L32" s="2">
        <v>56907</v>
      </c>
      <c r="M32" s="2">
        <v>72963</v>
      </c>
      <c r="N32" s="2">
        <v>75673</v>
      </c>
      <c r="O32" s="2">
        <v>49235</v>
      </c>
      <c r="P32" s="2">
        <v>24344</v>
      </c>
      <c r="Q32" s="52">
        <v>11398</v>
      </c>
      <c r="R32" s="127">
        <f>Integrated[[#This Row],[Population 85+ years]]/Integrated[[#This Row],[Total population]]</f>
        <v>2.2706491012429005E-2</v>
      </c>
      <c r="S32" s="58">
        <v>120</v>
      </c>
      <c r="T32" s="59">
        <v>60</v>
      </c>
      <c r="U32" s="59">
        <v>60</v>
      </c>
      <c r="V32" s="59">
        <v>60</v>
      </c>
      <c r="W32" s="59">
        <v>60</v>
      </c>
      <c r="X32" s="59">
        <v>60</v>
      </c>
      <c r="Y32" s="59">
        <v>60</v>
      </c>
      <c r="Z32" s="59">
        <v>60</v>
      </c>
      <c r="AA32" s="59">
        <v>60</v>
      </c>
      <c r="AB32" s="59">
        <v>60</v>
      </c>
      <c r="AC32" s="59">
        <f>VLOOKUP($A32,'[1]Flu Deaths Updated'!$A$2:$N$460,14,FALSE)</f>
        <v>60</v>
      </c>
      <c r="AD32" s="60">
        <f t="shared" si="0"/>
        <v>720</v>
      </c>
      <c r="AE32" s="66">
        <f>Integrated[[#This Row],[Flu Deaths &lt;5 years old]]/Integrated[[#This Row],[Population &lt;5 years]]</f>
        <v>4.9513120977058922E-3</v>
      </c>
      <c r="AF32" s="67">
        <f>Integrated[[#This Row],[Flu Deaths 5 to 14 years]]/Integrated[[#This Row],[Population 5 to 14 years]]</f>
        <v>1.1086884215972504E-3</v>
      </c>
      <c r="AG32" s="67">
        <f>Integrated[[#This Row],[Flu Deaths 15 to 24 years]]/Integrated[[#This Row],[Population 15 to 24 years]]</f>
        <v>8.0386929085330728E-4</v>
      </c>
      <c r="AH32" s="67">
        <f>Integrated[[#This Row],[Flu Deaths 25 to 34 years]]/Integrated[[#This Row],[Population 25 to 34 years]]</f>
        <v>1.024555172296028E-3</v>
      </c>
      <c r="AI32" s="67">
        <f>Integrated[[#This Row],[Flu Deaths 35 to 44 years]]/Integrated[[#This Row],[Population 35 to 44 years]]</f>
        <v>1.0543518372080763E-3</v>
      </c>
      <c r="AJ32" s="67">
        <f>Integrated[[#This Row],[Flu Deaths 45 to 54 years]]/Integrated[[#This Row],[Population 45 to 54 years]]</f>
        <v>8.2233460795197563E-4</v>
      </c>
      <c r="AK32" s="67">
        <f>Integrated[[#This Row],[Flu Deaths 55 to 64 years]]/Integrated[[#This Row],[Population 55 to 64 years]]</f>
        <v>7.9288517701161577E-4</v>
      </c>
      <c r="AL32" s="67">
        <f>Integrated[[#This Row],[Flu Deaths 65 to 74 years]]/Integrated[[#This Row],[Population 65 to 74 years]]</f>
        <v>1.2186452726718798E-3</v>
      </c>
      <c r="AM32" s="67">
        <f>Integrated[[#This Row],[Flu Deaths 75 to 84 years]]/Integrated[[#This Row],[Population 75 to 84 years]]</f>
        <v>2.4646730200460071E-3</v>
      </c>
      <c r="AN32" s="67">
        <f>Integrated[[#This Row],[Flu Deaths 85+ years]]/Integrated[[#This Row],[Population 85+ years]]</f>
        <v>5.2640814177925951E-3</v>
      </c>
      <c r="AO32" s="68">
        <f>Integrated[[#This Row],[Total Flu Deaths]]/Integrated[[#This Row],[Total population]]</f>
        <v>1.4343458088216252E-3</v>
      </c>
    </row>
    <row r="33" spans="1:41" x14ac:dyDescent="0.3">
      <c r="A33" s="44" t="s">
        <v>64</v>
      </c>
      <c r="B33" t="s">
        <v>43</v>
      </c>
      <c r="C33" s="45">
        <v>2017</v>
      </c>
      <c r="D33" s="51">
        <v>588763</v>
      </c>
      <c r="E33" s="2">
        <v>290546</v>
      </c>
      <c r="F33" s="2">
        <v>298218</v>
      </c>
      <c r="G33" s="78">
        <f>Integrated[[#This Row],[Female Total population]]/Integrated[[#This Row],[Total population]]</f>
        <v>0.50651620431311073</v>
      </c>
      <c r="H33" s="2">
        <v>28478</v>
      </c>
      <c r="I33" s="2">
        <v>64191</v>
      </c>
      <c r="J33" s="2">
        <v>84581</v>
      </c>
      <c r="K33" s="2">
        <v>67861</v>
      </c>
      <c r="L33" s="2">
        <v>67111</v>
      </c>
      <c r="M33" s="2">
        <v>83687</v>
      </c>
      <c r="N33" s="2">
        <v>90498</v>
      </c>
      <c r="O33" s="2">
        <v>61269</v>
      </c>
      <c r="P33" s="2">
        <v>28697</v>
      </c>
      <c r="Q33" s="52">
        <v>12397</v>
      </c>
      <c r="R33" s="127">
        <f>Integrated[[#This Row],[Population 85+ years]]/Integrated[[#This Row],[Total population]]</f>
        <v>2.1056010652843335E-2</v>
      </c>
      <c r="S33" s="58">
        <v>120</v>
      </c>
      <c r="T33" s="59">
        <v>60</v>
      </c>
      <c r="U33" s="59">
        <v>60</v>
      </c>
      <c r="V33" s="59">
        <v>60</v>
      </c>
      <c r="W33" s="59">
        <v>60</v>
      </c>
      <c r="X33" s="59">
        <v>60</v>
      </c>
      <c r="Y33" s="59">
        <v>60</v>
      </c>
      <c r="Z33" s="59">
        <v>60</v>
      </c>
      <c r="AA33" s="59">
        <v>60</v>
      </c>
      <c r="AB33" s="59">
        <v>60</v>
      </c>
      <c r="AC33" s="59">
        <f>VLOOKUP($A33,'[1]Flu Deaths Updated'!$A$2:$N$460,14,FALSE)</f>
        <v>60</v>
      </c>
      <c r="AD33" s="60">
        <f t="shared" si="0"/>
        <v>720</v>
      </c>
      <c r="AE33" s="66">
        <f>Integrated[[#This Row],[Flu Deaths &lt;5 years old]]/Integrated[[#This Row],[Population &lt;5 years]]</f>
        <v>4.213779057518084E-3</v>
      </c>
      <c r="AF33" s="67">
        <f>Integrated[[#This Row],[Flu Deaths 5 to 14 years]]/Integrated[[#This Row],[Population 5 to 14 years]]</f>
        <v>9.347104734308548E-4</v>
      </c>
      <c r="AG33" s="67">
        <f>Integrated[[#This Row],[Flu Deaths 15 to 24 years]]/Integrated[[#This Row],[Population 15 to 24 years]]</f>
        <v>7.0937917499201946E-4</v>
      </c>
      <c r="AH33" s="67">
        <f>Integrated[[#This Row],[Flu Deaths 25 to 34 years]]/Integrated[[#This Row],[Population 25 to 34 years]]</f>
        <v>8.8416026878472174E-4</v>
      </c>
      <c r="AI33" s="67">
        <f>Integrated[[#This Row],[Flu Deaths 35 to 44 years]]/Integrated[[#This Row],[Population 35 to 44 years]]</f>
        <v>8.9404121530002535E-4</v>
      </c>
      <c r="AJ33" s="67">
        <f>Integrated[[#This Row],[Flu Deaths 45 to 54 years]]/Integrated[[#This Row],[Population 45 to 54 years]]</f>
        <v>7.1695723350102163E-4</v>
      </c>
      <c r="AK33" s="67">
        <f>Integrated[[#This Row],[Flu Deaths 55 to 64 years]]/Integrated[[#This Row],[Population 55 to 64 years]]</f>
        <v>6.6299807730557582E-4</v>
      </c>
      <c r="AL33" s="67">
        <f>Integrated[[#This Row],[Flu Deaths 65 to 74 years]]/Integrated[[#This Row],[Population 65 to 74 years]]</f>
        <v>9.7928805758213788E-4</v>
      </c>
      <c r="AM33" s="67">
        <f>Integrated[[#This Row],[Flu Deaths 75 to 84 years]]/Integrated[[#This Row],[Population 75 to 84 years]]</f>
        <v>2.0908108861553473E-3</v>
      </c>
      <c r="AN33" s="67">
        <f>Integrated[[#This Row],[Flu Deaths 85+ years]]/Integrated[[#This Row],[Population 85+ years]]</f>
        <v>4.8398806162781322E-3</v>
      </c>
      <c r="AO33" s="68">
        <f>Integrated[[#This Row],[Total Flu Deaths]]/Integrated[[#This Row],[Total population]]</f>
        <v>1.2229029337781077E-3</v>
      </c>
    </row>
    <row r="34" spans="1:41" x14ac:dyDescent="0.3">
      <c r="A34" s="44" t="s">
        <v>57</v>
      </c>
      <c r="B34" t="s">
        <v>40</v>
      </c>
      <c r="C34" s="45">
        <v>2012</v>
      </c>
      <c r="D34" s="51">
        <v>560719</v>
      </c>
      <c r="E34" s="2">
        <v>285617</v>
      </c>
      <c r="F34" s="2">
        <v>275104</v>
      </c>
      <c r="G34" s="78">
        <f>Integrated[[#This Row],[Female Total population]]/Integrated[[#This Row],[Total population]]</f>
        <v>0.49062721256101544</v>
      </c>
      <c r="H34" s="2">
        <v>38776</v>
      </c>
      <c r="I34" s="2">
        <v>73439</v>
      </c>
      <c r="J34" s="2">
        <v>79558</v>
      </c>
      <c r="K34" s="2">
        <v>76683</v>
      </c>
      <c r="L34" s="2">
        <v>68195</v>
      </c>
      <c r="M34" s="2">
        <v>82097</v>
      </c>
      <c r="N34" s="2">
        <v>72258</v>
      </c>
      <c r="O34" s="2">
        <v>39174</v>
      </c>
      <c r="P34" s="2">
        <v>21601</v>
      </c>
      <c r="Q34" s="52">
        <v>8723</v>
      </c>
      <c r="R34" s="127">
        <f>Integrated[[#This Row],[Population 85+ years]]/Integrated[[#This Row],[Total population]]</f>
        <v>1.5556811879033884E-2</v>
      </c>
      <c r="S34" s="58">
        <v>120</v>
      </c>
      <c r="T34" s="59">
        <v>60</v>
      </c>
      <c r="U34" s="59">
        <v>60</v>
      </c>
      <c r="V34" s="59">
        <v>60</v>
      </c>
      <c r="W34" s="59">
        <v>60</v>
      </c>
      <c r="X34" s="59">
        <v>60</v>
      </c>
      <c r="Y34" s="59">
        <v>60</v>
      </c>
      <c r="Z34" s="59">
        <v>60</v>
      </c>
      <c r="AA34" s="59">
        <v>60</v>
      </c>
      <c r="AB34" s="59">
        <v>60</v>
      </c>
      <c r="AC34" s="59">
        <f>VLOOKUP($A34,'[1]Flu Deaths Updated'!$A$2:$N$460,14,FALSE)</f>
        <v>60</v>
      </c>
      <c r="AD34" s="60">
        <f t="shared" si="0"/>
        <v>720</v>
      </c>
      <c r="AE34" s="66">
        <f>Integrated[[#This Row],[Flu Deaths &lt;5 years old]]/Integrated[[#This Row],[Population &lt;5 years]]</f>
        <v>3.0946977511863006E-3</v>
      </c>
      <c r="AF34" s="67">
        <f>Integrated[[#This Row],[Flu Deaths 5 to 14 years]]/Integrated[[#This Row],[Population 5 to 14 years]]</f>
        <v>8.1700458884244071E-4</v>
      </c>
      <c r="AG34" s="67">
        <f>Integrated[[#This Row],[Flu Deaths 15 to 24 years]]/Integrated[[#This Row],[Population 15 to 24 years]]</f>
        <v>7.5416677141205155E-4</v>
      </c>
      <c r="AH34" s="67">
        <f>Integrated[[#This Row],[Flu Deaths 25 to 34 years]]/Integrated[[#This Row],[Population 25 to 34 years]]</f>
        <v>7.8244200148663975E-4</v>
      </c>
      <c r="AI34" s="67">
        <f>Integrated[[#This Row],[Flu Deaths 35 to 44 years]]/Integrated[[#This Row],[Population 35 to 44 years]]</f>
        <v>8.7982989955275308E-4</v>
      </c>
      <c r="AJ34" s="67">
        <f>Integrated[[#This Row],[Flu Deaths 45 to 54 years]]/Integrated[[#This Row],[Population 45 to 54 years]]</f>
        <v>7.3084278353654825E-4</v>
      </c>
      <c r="AK34" s="67">
        <f>Integrated[[#This Row],[Flu Deaths 55 to 64 years]]/Integrated[[#This Row],[Population 55 to 64 years]]</f>
        <v>8.3035788424811092E-4</v>
      </c>
      <c r="AL34" s="67">
        <f>Integrated[[#This Row],[Flu Deaths 65 to 74 years]]/Integrated[[#This Row],[Population 65 to 74 years]]</f>
        <v>1.5316281206922959E-3</v>
      </c>
      <c r="AM34" s="67">
        <f>Integrated[[#This Row],[Flu Deaths 75 to 84 years]]/Integrated[[#This Row],[Population 75 to 84 years]]</f>
        <v>2.7776491829081987E-3</v>
      </c>
      <c r="AN34" s="67">
        <f>Integrated[[#This Row],[Flu Deaths 85+ years]]/Integrated[[#This Row],[Population 85+ years]]</f>
        <v>6.878367534105239E-3</v>
      </c>
      <c r="AO34" s="68">
        <f>Integrated[[#This Row],[Total Flu Deaths]]/Integrated[[#This Row],[Total population]]</f>
        <v>1.2840656371551527E-3</v>
      </c>
    </row>
    <row r="35" spans="1:41" x14ac:dyDescent="0.3">
      <c r="A35" s="44" t="s">
        <v>53</v>
      </c>
      <c r="B35" t="s">
        <v>40</v>
      </c>
      <c r="C35" s="45">
        <v>2014</v>
      </c>
      <c r="D35" s="51">
        <v>541920</v>
      </c>
      <c r="E35" s="2">
        <v>275971</v>
      </c>
      <c r="F35" s="2">
        <v>265950</v>
      </c>
      <c r="G35" s="78">
        <f>Integrated[[#This Row],[Female Total population]]/Integrated[[#This Row],[Total population]]</f>
        <v>0.49075509300265724</v>
      </c>
      <c r="H35" s="2">
        <v>36404</v>
      </c>
      <c r="I35" s="2">
        <v>71377</v>
      </c>
      <c r="J35" s="2">
        <v>76285</v>
      </c>
      <c r="K35" s="2">
        <v>77140</v>
      </c>
      <c r="L35" s="2">
        <v>65062</v>
      </c>
      <c r="M35" s="2">
        <v>72803</v>
      </c>
      <c r="N35" s="2">
        <v>72453</v>
      </c>
      <c r="O35" s="2">
        <v>40457</v>
      </c>
      <c r="P35" s="2">
        <v>21582</v>
      </c>
      <c r="Q35" s="52">
        <v>8443</v>
      </c>
      <c r="R35" s="127">
        <f>Integrated[[#This Row],[Population 85+ years]]/Integrated[[#This Row],[Total population]]</f>
        <v>1.5579790374963095E-2</v>
      </c>
      <c r="S35" s="58">
        <v>120</v>
      </c>
      <c r="T35" s="59">
        <v>60</v>
      </c>
      <c r="U35" s="59">
        <v>60</v>
      </c>
      <c r="V35" s="59">
        <v>60</v>
      </c>
      <c r="W35" s="59">
        <v>60</v>
      </c>
      <c r="X35" s="59">
        <v>60</v>
      </c>
      <c r="Y35" s="59">
        <v>60</v>
      </c>
      <c r="Z35" s="59">
        <v>60</v>
      </c>
      <c r="AA35" s="59">
        <v>60</v>
      </c>
      <c r="AB35" s="59">
        <v>60</v>
      </c>
      <c r="AC35" s="59">
        <f>VLOOKUP($A35,'[1]Flu Deaths Updated'!$A$2:$N$460,14,FALSE)</f>
        <v>60</v>
      </c>
      <c r="AD35" s="60">
        <f t="shared" si="0"/>
        <v>720</v>
      </c>
      <c r="AE35" s="66">
        <f>Integrated[[#This Row],[Flu Deaths &lt;5 years old]]/Integrated[[#This Row],[Population &lt;5 years]]</f>
        <v>3.2963410614218216E-3</v>
      </c>
      <c r="AF35" s="67">
        <f>Integrated[[#This Row],[Flu Deaths 5 to 14 years]]/Integrated[[#This Row],[Population 5 to 14 years]]</f>
        <v>8.4060691819493679E-4</v>
      </c>
      <c r="AG35" s="67">
        <f>Integrated[[#This Row],[Flu Deaths 15 to 24 years]]/Integrated[[#This Row],[Population 15 to 24 years]]</f>
        <v>7.8652421839155802E-4</v>
      </c>
      <c r="AH35" s="67">
        <f>Integrated[[#This Row],[Flu Deaths 25 to 34 years]]/Integrated[[#This Row],[Population 25 to 34 years]]</f>
        <v>7.7780658542909E-4</v>
      </c>
      <c r="AI35" s="67">
        <f>Integrated[[#This Row],[Flu Deaths 35 to 44 years]]/Integrated[[#This Row],[Population 35 to 44 years]]</f>
        <v>9.2219728873997109E-4</v>
      </c>
      <c r="AJ35" s="67">
        <f>Integrated[[#This Row],[Flu Deaths 45 to 54 years]]/Integrated[[#This Row],[Population 45 to 54 years]]</f>
        <v>8.2414186228589484E-4</v>
      </c>
      <c r="AK35" s="67">
        <f>Integrated[[#This Row],[Flu Deaths 55 to 64 years]]/Integrated[[#This Row],[Population 55 to 64 years]]</f>
        <v>8.281230590865803E-4</v>
      </c>
      <c r="AL35" s="67">
        <f>Integrated[[#This Row],[Flu Deaths 65 to 74 years]]/Integrated[[#This Row],[Population 65 to 74 years]]</f>
        <v>1.4830560842375856E-3</v>
      </c>
      <c r="AM35" s="67">
        <f>Integrated[[#This Row],[Flu Deaths 75 to 84 years]]/Integrated[[#This Row],[Population 75 to 84 years]]</f>
        <v>2.7800945232137894E-3</v>
      </c>
      <c r="AN35" s="67">
        <f>Integrated[[#This Row],[Flu Deaths 85+ years]]/Integrated[[#This Row],[Population 85+ years]]</f>
        <v>7.1064787397844371E-3</v>
      </c>
      <c r="AO35" s="68">
        <f>Integrated[[#This Row],[Total Flu Deaths]]/Integrated[[#This Row],[Total population]]</f>
        <v>1.3286093888396811E-3</v>
      </c>
    </row>
    <row r="36" spans="1:41" x14ac:dyDescent="0.3">
      <c r="A36" s="44" t="s">
        <v>45</v>
      </c>
      <c r="B36" t="s">
        <v>40</v>
      </c>
      <c r="C36" s="45">
        <v>2015</v>
      </c>
      <c r="D36" s="51">
        <v>511039</v>
      </c>
      <c r="E36" s="2">
        <v>260462</v>
      </c>
      <c r="F36" s="2">
        <v>250579</v>
      </c>
      <c r="G36" s="78">
        <f>Integrated[[#This Row],[Female Total population]]/Integrated[[#This Row],[Total population]]</f>
        <v>0.4903324403812625</v>
      </c>
      <c r="H36" s="2">
        <v>33769</v>
      </c>
      <c r="I36" s="2">
        <v>68321</v>
      </c>
      <c r="J36" s="2">
        <v>72024</v>
      </c>
      <c r="K36" s="2">
        <v>70658</v>
      </c>
      <c r="L36" s="2">
        <v>61181</v>
      </c>
      <c r="M36" s="2">
        <v>66809</v>
      </c>
      <c r="N36" s="2">
        <v>70212</v>
      </c>
      <c r="O36" s="2">
        <v>39979</v>
      </c>
      <c r="P36" s="2">
        <v>20364</v>
      </c>
      <c r="Q36" s="52">
        <v>8173</v>
      </c>
      <c r="R36" s="127">
        <f>Integrated[[#This Row],[Population 85+ years]]/Integrated[[#This Row],[Total population]]</f>
        <v>1.5992908564708367E-2</v>
      </c>
      <c r="S36" s="58">
        <v>120</v>
      </c>
      <c r="T36" s="59">
        <v>60</v>
      </c>
      <c r="U36" s="59">
        <v>60</v>
      </c>
      <c r="V36" s="59">
        <v>60</v>
      </c>
      <c r="W36" s="59">
        <v>60</v>
      </c>
      <c r="X36" s="59">
        <v>60</v>
      </c>
      <c r="Y36" s="59">
        <v>60</v>
      </c>
      <c r="Z36" s="59">
        <v>60</v>
      </c>
      <c r="AA36" s="59">
        <v>60</v>
      </c>
      <c r="AB36" s="59">
        <v>60</v>
      </c>
      <c r="AC36" s="59">
        <f>VLOOKUP($A36,'[1]Flu Deaths Updated'!$A$2:$N$460,14,FALSE)</f>
        <v>60</v>
      </c>
      <c r="AD36" s="60">
        <f t="shared" si="0"/>
        <v>720</v>
      </c>
      <c r="AE36" s="66">
        <f>Integrated[[#This Row],[Flu Deaths &lt;5 years old]]/Integrated[[#This Row],[Population &lt;5 years]]</f>
        <v>3.5535550356836153E-3</v>
      </c>
      <c r="AF36" s="67">
        <f>Integrated[[#This Row],[Flu Deaths 5 to 14 years]]/Integrated[[#This Row],[Population 5 to 14 years]]</f>
        <v>8.782072861931178E-4</v>
      </c>
      <c r="AG36" s="67">
        <f>Integrated[[#This Row],[Flu Deaths 15 to 24 years]]/Integrated[[#This Row],[Population 15 to 24 years]]</f>
        <v>8.3305564811729429E-4</v>
      </c>
      <c r="AH36" s="67">
        <f>Integrated[[#This Row],[Flu Deaths 25 to 34 years]]/Integrated[[#This Row],[Population 25 to 34 years]]</f>
        <v>8.4916074612924222E-4</v>
      </c>
      <c r="AI36" s="67">
        <f>Integrated[[#This Row],[Flu Deaths 35 to 44 years]]/Integrated[[#This Row],[Population 35 to 44 years]]</f>
        <v>9.8069662150013898E-4</v>
      </c>
      <c r="AJ36" s="67">
        <f>Integrated[[#This Row],[Flu Deaths 45 to 54 years]]/Integrated[[#This Row],[Population 45 to 54 years]]</f>
        <v>8.9808259366253051E-4</v>
      </c>
      <c r="AK36" s="67">
        <f>Integrated[[#This Row],[Flu Deaths 55 to 64 years]]/Integrated[[#This Row],[Population 55 to 64 years]]</f>
        <v>8.5455477696120326E-4</v>
      </c>
      <c r="AL36" s="67">
        <f>Integrated[[#This Row],[Flu Deaths 65 to 74 years]]/Integrated[[#This Row],[Population 65 to 74 years]]</f>
        <v>1.5007879136546688E-3</v>
      </c>
      <c r="AM36" s="67">
        <f>Integrated[[#This Row],[Flu Deaths 75 to 84 years]]/Integrated[[#This Row],[Population 75 to 84 years]]</f>
        <v>2.9463759575721863E-3</v>
      </c>
      <c r="AN36" s="67">
        <f>Integrated[[#This Row],[Flu Deaths 85+ years]]/Integrated[[#This Row],[Population 85+ years]]</f>
        <v>7.3412455646641381E-3</v>
      </c>
      <c r="AO36" s="68">
        <f>Integrated[[#This Row],[Total Flu Deaths]]/Integrated[[#This Row],[Total population]]</f>
        <v>1.4088944288009331E-3</v>
      </c>
    </row>
    <row r="37" spans="1:41" x14ac:dyDescent="0.3">
      <c r="A37" s="44" t="s">
        <v>39</v>
      </c>
      <c r="B37" t="s">
        <v>40</v>
      </c>
      <c r="C37" s="45">
        <v>2016</v>
      </c>
      <c r="D37" s="51">
        <v>490521</v>
      </c>
      <c r="E37" s="2">
        <v>248736</v>
      </c>
      <c r="F37" s="2">
        <v>241786</v>
      </c>
      <c r="G37" s="78">
        <f>Integrated[[#This Row],[Female Total population]]/Integrated[[#This Row],[Total population]]</f>
        <v>0.49291671508457335</v>
      </c>
      <c r="H37" s="2">
        <v>32521</v>
      </c>
      <c r="I37" s="2">
        <v>67826</v>
      </c>
      <c r="J37" s="2">
        <v>63312</v>
      </c>
      <c r="K37" s="2">
        <v>66417</v>
      </c>
      <c r="L37" s="2">
        <v>59495</v>
      </c>
      <c r="M37" s="2">
        <v>62596</v>
      </c>
      <c r="N37" s="2">
        <v>67901</v>
      </c>
      <c r="O37" s="2">
        <v>41514</v>
      </c>
      <c r="P37" s="2">
        <v>20978</v>
      </c>
      <c r="Q37" s="52">
        <v>8313</v>
      </c>
      <c r="R37" s="127">
        <f>Integrated[[#This Row],[Population 85+ years]]/Integrated[[#This Row],[Total population]]</f>
        <v>1.6947286660509948E-2</v>
      </c>
      <c r="S37" s="58">
        <v>120</v>
      </c>
      <c r="T37" s="59">
        <v>60</v>
      </c>
      <c r="U37" s="59">
        <v>60</v>
      </c>
      <c r="V37" s="59">
        <v>60</v>
      </c>
      <c r="W37" s="59">
        <v>60</v>
      </c>
      <c r="X37" s="59">
        <v>60</v>
      </c>
      <c r="Y37" s="59">
        <v>60</v>
      </c>
      <c r="Z37" s="59">
        <v>60</v>
      </c>
      <c r="AA37" s="59">
        <v>60</v>
      </c>
      <c r="AB37" s="59">
        <v>60</v>
      </c>
      <c r="AC37" s="59">
        <f>VLOOKUP($A37,'[1]Flu Deaths Updated'!$A$2:$N$460,14,FALSE)</f>
        <v>60</v>
      </c>
      <c r="AD37" s="60">
        <f t="shared" si="0"/>
        <v>720</v>
      </c>
      <c r="AE37" s="66">
        <f>Integrated[[#This Row],[Flu Deaths &lt;5 years old]]/Integrated[[#This Row],[Population &lt;5 years]]</f>
        <v>3.6899234340887427E-3</v>
      </c>
      <c r="AF37" s="67">
        <f>Integrated[[#This Row],[Flu Deaths 5 to 14 years]]/Integrated[[#This Row],[Population 5 to 14 years]]</f>
        <v>8.8461651873912659E-4</v>
      </c>
      <c r="AG37" s="67">
        <f>Integrated[[#This Row],[Flu Deaths 15 to 24 years]]/Integrated[[#This Row],[Population 15 to 24 years]]</f>
        <v>9.4768764215314631E-4</v>
      </c>
      <c r="AH37" s="67">
        <f>Integrated[[#This Row],[Flu Deaths 25 to 34 years]]/Integrated[[#This Row],[Population 25 to 34 years]]</f>
        <v>9.0338316997154347E-4</v>
      </c>
      <c r="AI37" s="67">
        <f>Integrated[[#This Row],[Flu Deaths 35 to 44 years]]/Integrated[[#This Row],[Population 35 to 44 years]]</f>
        <v>1.0084881082443903E-3</v>
      </c>
      <c r="AJ37" s="67">
        <f>Integrated[[#This Row],[Flu Deaths 45 to 54 years]]/Integrated[[#This Row],[Population 45 to 54 years]]</f>
        <v>9.5852770145057192E-4</v>
      </c>
      <c r="AK37" s="67">
        <f>Integrated[[#This Row],[Flu Deaths 55 to 64 years]]/Integrated[[#This Row],[Population 55 to 64 years]]</f>
        <v>8.8363941620889241E-4</v>
      </c>
      <c r="AL37" s="67">
        <f>Integrated[[#This Row],[Flu Deaths 65 to 74 years]]/Integrated[[#This Row],[Population 65 to 74 years]]</f>
        <v>1.4452955629426219E-3</v>
      </c>
      <c r="AM37" s="67">
        <f>Integrated[[#This Row],[Flu Deaths 75 to 84 years]]/Integrated[[#This Row],[Population 75 to 84 years]]</f>
        <v>2.8601391934407476E-3</v>
      </c>
      <c r="AN37" s="67">
        <f>Integrated[[#This Row],[Flu Deaths 85+ years]]/Integrated[[#This Row],[Population 85+ years]]</f>
        <v>7.2176109707686757E-3</v>
      </c>
      <c r="AO37" s="68">
        <f>Integrated[[#This Row],[Total Flu Deaths]]/Integrated[[#This Row],[Total population]]</f>
        <v>1.4678270655078987E-3</v>
      </c>
    </row>
    <row r="38" spans="1:41" x14ac:dyDescent="0.3">
      <c r="A38" s="44" t="s">
        <v>119</v>
      </c>
      <c r="B38" t="s">
        <v>104</v>
      </c>
      <c r="C38" s="45">
        <v>2017</v>
      </c>
      <c r="D38" s="51">
        <v>943732</v>
      </c>
      <c r="E38" s="2">
        <v>456876</v>
      </c>
      <c r="F38" s="2">
        <v>486856</v>
      </c>
      <c r="G38" s="78">
        <f>Integrated[[#This Row],[Female Total population]]/Integrated[[#This Row],[Total population]]</f>
        <v>0.51588374665688985</v>
      </c>
      <c r="H38" s="2">
        <v>55282</v>
      </c>
      <c r="I38" s="2">
        <v>114024</v>
      </c>
      <c r="J38" s="2">
        <v>122886</v>
      </c>
      <c r="K38" s="2">
        <v>125241</v>
      </c>
      <c r="L38" s="2">
        <v>110313</v>
      </c>
      <c r="M38" s="2">
        <v>128392</v>
      </c>
      <c r="N38" s="2">
        <v>127029</v>
      </c>
      <c r="O38" s="2">
        <v>95605</v>
      </c>
      <c r="P38" s="2">
        <v>46641</v>
      </c>
      <c r="Q38" s="52">
        <v>18319</v>
      </c>
      <c r="R38" s="127">
        <f>Integrated[[#This Row],[Population 85+ years]]/Integrated[[#This Row],[Total population]]</f>
        <v>1.9411231154607453E-2</v>
      </c>
      <c r="S38" s="58">
        <v>120</v>
      </c>
      <c r="T38" s="59">
        <v>60</v>
      </c>
      <c r="U38" s="59">
        <v>60</v>
      </c>
      <c r="V38" s="59">
        <v>60</v>
      </c>
      <c r="W38" s="59">
        <v>60</v>
      </c>
      <c r="X38" s="59">
        <v>60</v>
      </c>
      <c r="Y38" s="59">
        <v>60</v>
      </c>
      <c r="Z38" s="59">
        <v>60</v>
      </c>
      <c r="AA38" s="59">
        <v>65</v>
      </c>
      <c r="AB38" s="59">
        <v>60</v>
      </c>
      <c r="AC38" s="59">
        <f>VLOOKUP($A38,'[1]Flu Deaths Updated'!$A$2:$N$460,14,FALSE)</f>
        <v>60</v>
      </c>
      <c r="AD38" s="60">
        <f t="shared" si="0"/>
        <v>725</v>
      </c>
      <c r="AE38" s="66">
        <f>Integrated[[#This Row],[Flu Deaths &lt;5 years old]]/Integrated[[#This Row],[Population &lt;5 years]]</f>
        <v>2.1706884700264102E-3</v>
      </c>
      <c r="AF38" s="67">
        <f>Integrated[[#This Row],[Flu Deaths 5 to 14 years]]/Integrated[[#This Row],[Population 5 to 14 years]]</f>
        <v>5.2620500947169022E-4</v>
      </c>
      <c r="AG38" s="67">
        <f>Integrated[[#This Row],[Flu Deaths 15 to 24 years]]/Integrated[[#This Row],[Population 15 to 24 years]]</f>
        <v>4.8825740930618625E-4</v>
      </c>
      <c r="AH38" s="67">
        <f>Integrated[[#This Row],[Flu Deaths 25 to 34 years]]/Integrated[[#This Row],[Population 25 to 34 years]]</f>
        <v>4.7907634081490884E-4</v>
      </c>
      <c r="AI38" s="67">
        <f>Integrated[[#This Row],[Flu Deaths 35 to 44 years]]/Integrated[[#This Row],[Population 35 to 44 years]]</f>
        <v>5.4390688314160621E-4</v>
      </c>
      <c r="AJ38" s="67">
        <f>Integrated[[#This Row],[Flu Deaths 45 to 54 years]]/Integrated[[#This Row],[Population 45 to 54 years]]</f>
        <v>4.6731883606455232E-4</v>
      </c>
      <c r="AK38" s="67">
        <f>Integrated[[#This Row],[Flu Deaths 55 to 64 years]]/Integrated[[#This Row],[Population 55 to 64 years]]</f>
        <v>4.7233308929457051E-4</v>
      </c>
      <c r="AL38" s="67">
        <f>Integrated[[#This Row],[Flu Deaths 65 to 74 years]]/Integrated[[#This Row],[Population 65 to 74 years]]</f>
        <v>6.2758223942262431E-4</v>
      </c>
      <c r="AM38" s="67">
        <f>Integrated[[#This Row],[Flu Deaths 75 to 84 years]]/Integrated[[#This Row],[Population 75 to 84 years]]</f>
        <v>1.3936236358568642E-3</v>
      </c>
      <c r="AN38" s="67">
        <f>Integrated[[#This Row],[Flu Deaths 85+ years]]/Integrated[[#This Row],[Population 85+ years]]</f>
        <v>3.2752879523991483E-3</v>
      </c>
      <c r="AO38" s="68">
        <f>Integrated[[#This Row],[Total Flu Deaths]]/Integrated[[#This Row],[Total population]]</f>
        <v>7.6822657279820969E-4</v>
      </c>
    </row>
    <row r="39" spans="1:41" x14ac:dyDescent="0.3">
      <c r="A39" s="44" t="s">
        <v>105</v>
      </c>
      <c r="B39" t="s">
        <v>104</v>
      </c>
      <c r="C39" s="45">
        <v>2010</v>
      </c>
      <c r="D39" s="51">
        <v>881278</v>
      </c>
      <c r="E39" s="2">
        <v>427218</v>
      </c>
      <c r="F39" s="2">
        <v>454060</v>
      </c>
      <c r="G39" s="78">
        <f>Integrated[[#This Row],[Female Total population]]/Integrated[[#This Row],[Total population]]</f>
        <v>0.51522901967370116</v>
      </c>
      <c r="H39" s="2">
        <v>55857</v>
      </c>
      <c r="I39" s="2">
        <v>112546</v>
      </c>
      <c r="J39" s="2">
        <v>125222</v>
      </c>
      <c r="K39" s="2">
        <v>109918</v>
      </c>
      <c r="L39" s="2">
        <v>120415</v>
      </c>
      <c r="M39" s="2">
        <v>130204</v>
      </c>
      <c r="N39" s="2">
        <v>104768</v>
      </c>
      <c r="O39" s="2">
        <v>67712</v>
      </c>
      <c r="P39" s="2">
        <v>39452</v>
      </c>
      <c r="Q39" s="52">
        <v>15623</v>
      </c>
      <c r="R39" s="127">
        <f>Integrated[[#This Row],[Population 85+ years]]/Integrated[[#This Row],[Total population]]</f>
        <v>1.7727663688416141E-2</v>
      </c>
      <c r="S39" s="58">
        <v>120</v>
      </c>
      <c r="T39" s="59">
        <v>60</v>
      </c>
      <c r="U39" s="59">
        <v>60</v>
      </c>
      <c r="V39" s="59">
        <v>60</v>
      </c>
      <c r="W39" s="59">
        <v>60</v>
      </c>
      <c r="X39" s="59">
        <v>60</v>
      </c>
      <c r="Y39" s="59">
        <v>60</v>
      </c>
      <c r="Z39" s="59">
        <v>60</v>
      </c>
      <c r="AA39" s="59">
        <v>60</v>
      </c>
      <c r="AB39" s="59">
        <v>65</v>
      </c>
      <c r="AC39" s="59">
        <f>VLOOKUP($A39,'[1]Flu Deaths Updated'!$A$2:$N$460,14,FALSE)</f>
        <v>60</v>
      </c>
      <c r="AD39" s="60">
        <f t="shared" si="0"/>
        <v>725</v>
      </c>
      <c r="AE39" s="66">
        <f>Integrated[[#This Row],[Flu Deaths &lt;5 years old]]/Integrated[[#This Row],[Population &lt;5 years]]</f>
        <v>2.1483430903915354E-3</v>
      </c>
      <c r="AF39" s="67">
        <f>Integrated[[#This Row],[Flu Deaths 5 to 14 years]]/Integrated[[#This Row],[Population 5 to 14 years]]</f>
        <v>5.3311534839088019E-4</v>
      </c>
      <c r="AG39" s="67">
        <f>Integrated[[#This Row],[Flu Deaths 15 to 24 years]]/Integrated[[#This Row],[Population 15 to 24 years]]</f>
        <v>4.7914903132037501E-4</v>
      </c>
      <c r="AH39" s="67">
        <f>Integrated[[#This Row],[Flu Deaths 25 to 34 years]]/Integrated[[#This Row],[Population 25 to 34 years]]</f>
        <v>5.4586146036136028E-4</v>
      </c>
      <c r="AI39" s="67">
        <f>Integrated[[#This Row],[Flu Deaths 35 to 44 years]]/Integrated[[#This Row],[Population 35 to 44 years]]</f>
        <v>4.9827679275837725E-4</v>
      </c>
      <c r="AJ39" s="67">
        <f>Integrated[[#This Row],[Flu Deaths 45 to 54 years]]/Integrated[[#This Row],[Population 45 to 54 years]]</f>
        <v>4.6081533593437992E-4</v>
      </c>
      <c r="AK39" s="67">
        <f>Integrated[[#This Row],[Flu Deaths 55 to 64 years]]/Integrated[[#This Row],[Population 55 to 64 years]]</f>
        <v>5.7269395235186316E-4</v>
      </c>
      <c r="AL39" s="67">
        <f>Integrated[[#This Row],[Flu Deaths 65 to 74 years]]/Integrated[[#This Row],[Population 65 to 74 years]]</f>
        <v>8.8610586011342155E-4</v>
      </c>
      <c r="AM39" s="67">
        <f>Integrated[[#This Row],[Flu Deaths 75 to 84 years]]/Integrated[[#This Row],[Population 75 to 84 years]]</f>
        <v>1.5208354456047856E-3</v>
      </c>
      <c r="AN39" s="67">
        <f>Integrated[[#This Row],[Flu Deaths 85+ years]]/Integrated[[#This Row],[Population 85+ years]]</f>
        <v>4.160532548166165E-3</v>
      </c>
      <c r="AO39" s="68">
        <f>Integrated[[#This Row],[Total Flu Deaths]]/Integrated[[#This Row],[Total population]]</f>
        <v>8.2266889676129438E-4</v>
      </c>
    </row>
    <row r="40" spans="1:41" x14ac:dyDescent="0.3">
      <c r="A40" s="44" t="s">
        <v>113</v>
      </c>
      <c r="B40" t="s">
        <v>104</v>
      </c>
      <c r="C40" s="45">
        <v>2013</v>
      </c>
      <c r="D40" s="51">
        <v>908446</v>
      </c>
      <c r="E40" s="2">
        <v>439985</v>
      </c>
      <c r="F40" s="2">
        <v>468461</v>
      </c>
      <c r="G40" s="78">
        <f>Integrated[[#This Row],[Female Total population]]/Integrated[[#This Row],[Total population]]</f>
        <v>0.51567291836829043</v>
      </c>
      <c r="H40" s="2">
        <v>56148</v>
      </c>
      <c r="I40" s="2">
        <v>113816</v>
      </c>
      <c r="J40" s="2">
        <v>127266</v>
      </c>
      <c r="K40" s="2">
        <v>114395</v>
      </c>
      <c r="L40" s="2">
        <v>113782</v>
      </c>
      <c r="M40" s="2">
        <v>132613</v>
      </c>
      <c r="N40" s="2">
        <v>115012</v>
      </c>
      <c r="O40" s="2">
        <v>77614</v>
      </c>
      <c r="P40" s="2">
        <v>41073</v>
      </c>
      <c r="Q40" s="52">
        <v>16720</v>
      </c>
      <c r="R40" s="127">
        <f>Integrated[[#This Row],[Population 85+ years]]/Integrated[[#This Row],[Total population]]</f>
        <v>1.8405056547114523E-2</v>
      </c>
      <c r="S40" s="58">
        <v>120</v>
      </c>
      <c r="T40" s="59">
        <v>60</v>
      </c>
      <c r="U40" s="59">
        <v>60</v>
      </c>
      <c r="V40" s="59">
        <v>60</v>
      </c>
      <c r="W40" s="59">
        <v>60</v>
      </c>
      <c r="X40" s="59">
        <v>60</v>
      </c>
      <c r="Y40" s="59">
        <v>60</v>
      </c>
      <c r="Z40" s="59">
        <v>60</v>
      </c>
      <c r="AA40" s="59">
        <v>60</v>
      </c>
      <c r="AB40" s="59">
        <v>65</v>
      </c>
      <c r="AC40" s="59">
        <f>VLOOKUP($A40,'[1]Flu Deaths Updated'!$A$2:$N$460,14,FALSE)</f>
        <v>60</v>
      </c>
      <c r="AD40" s="60">
        <f t="shared" si="0"/>
        <v>725</v>
      </c>
      <c r="AE40" s="66">
        <f>Integrated[[#This Row],[Flu Deaths &lt;5 years old]]/Integrated[[#This Row],[Population &lt;5 years]]</f>
        <v>2.1372088053002777E-3</v>
      </c>
      <c r="AF40" s="67">
        <f>Integrated[[#This Row],[Flu Deaths 5 to 14 years]]/Integrated[[#This Row],[Population 5 to 14 years]]</f>
        <v>5.2716665495185211E-4</v>
      </c>
      <c r="AG40" s="67">
        <f>Integrated[[#This Row],[Flu Deaths 15 to 24 years]]/Integrated[[#This Row],[Population 15 to 24 years]]</f>
        <v>4.7145349111310167E-4</v>
      </c>
      <c r="AH40" s="67">
        <f>Integrated[[#This Row],[Flu Deaths 25 to 34 years]]/Integrated[[#This Row],[Population 25 to 34 years]]</f>
        <v>5.2449844835875689E-4</v>
      </c>
      <c r="AI40" s="67">
        <f>Integrated[[#This Row],[Flu Deaths 35 to 44 years]]/Integrated[[#This Row],[Population 35 to 44 years]]</f>
        <v>5.2732418132920851E-4</v>
      </c>
      <c r="AJ40" s="67">
        <f>Integrated[[#This Row],[Flu Deaths 45 to 54 years]]/Integrated[[#This Row],[Population 45 to 54 years]]</f>
        <v>4.5244433049550193E-4</v>
      </c>
      <c r="AK40" s="67">
        <f>Integrated[[#This Row],[Flu Deaths 55 to 64 years]]/Integrated[[#This Row],[Population 55 to 64 years]]</f>
        <v>5.2168469377108476E-4</v>
      </c>
      <c r="AL40" s="67">
        <f>Integrated[[#This Row],[Flu Deaths 65 to 74 years]]/Integrated[[#This Row],[Population 65 to 74 years]]</f>
        <v>7.7305640734918958E-4</v>
      </c>
      <c r="AM40" s="67">
        <f>Integrated[[#This Row],[Flu Deaths 75 to 84 years]]/Integrated[[#This Row],[Population 75 to 84 years]]</f>
        <v>1.4608136732159813E-3</v>
      </c>
      <c r="AN40" s="67">
        <f>Integrated[[#This Row],[Flu Deaths 85+ years]]/Integrated[[#This Row],[Population 85+ years]]</f>
        <v>3.8875598086124401E-3</v>
      </c>
      <c r="AO40" s="68">
        <f>Integrated[[#This Row],[Total Flu Deaths]]/Integrated[[#This Row],[Total population]]</f>
        <v>7.9806614812548025E-4</v>
      </c>
    </row>
    <row r="41" spans="1:41" x14ac:dyDescent="0.3">
      <c r="A41" s="44" t="s">
        <v>186</v>
      </c>
      <c r="B41" t="s">
        <v>166</v>
      </c>
      <c r="C41" s="45">
        <v>2009</v>
      </c>
      <c r="D41" s="51">
        <v>1488444</v>
      </c>
      <c r="E41" s="2">
        <v>746910</v>
      </c>
      <c r="F41" s="2">
        <v>741534</v>
      </c>
      <c r="G41" s="78">
        <f>Integrated[[#This Row],[Female Total population]]/Integrated[[#This Row],[Total population]]</f>
        <v>0.49819408724815983</v>
      </c>
      <c r="H41" s="2">
        <v>118234</v>
      </c>
      <c r="I41" s="2">
        <v>219576</v>
      </c>
      <c r="J41" s="2">
        <v>226838</v>
      </c>
      <c r="K41" s="2">
        <v>198701</v>
      </c>
      <c r="L41" s="2">
        <v>190708</v>
      </c>
      <c r="M41" s="2">
        <v>201728</v>
      </c>
      <c r="N41" s="2">
        <v>158621</v>
      </c>
      <c r="O41" s="2">
        <v>93242</v>
      </c>
      <c r="P41" s="2">
        <v>58096</v>
      </c>
      <c r="Q41" s="52">
        <v>23462</v>
      </c>
      <c r="R41" s="127">
        <f>Integrated[[#This Row],[Population 85+ years]]/Integrated[[#This Row],[Total population]]</f>
        <v>1.576276971118833E-2</v>
      </c>
      <c r="S41" s="58">
        <v>120</v>
      </c>
      <c r="T41" s="59">
        <v>60</v>
      </c>
      <c r="U41" s="59">
        <v>60</v>
      </c>
      <c r="V41" s="59">
        <v>60</v>
      </c>
      <c r="W41" s="59">
        <v>60</v>
      </c>
      <c r="X41" s="59">
        <v>60</v>
      </c>
      <c r="Y41" s="59">
        <v>60</v>
      </c>
      <c r="Z41" s="59">
        <v>60</v>
      </c>
      <c r="AA41" s="59">
        <v>60</v>
      </c>
      <c r="AB41" s="59">
        <v>65</v>
      </c>
      <c r="AC41" s="59">
        <f>VLOOKUP($A41,'[1]Flu Deaths Updated'!$A$2:$N$460,14,FALSE)</f>
        <v>60</v>
      </c>
      <c r="AD41" s="60">
        <f t="shared" si="0"/>
        <v>725</v>
      </c>
      <c r="AE41" s="66">
        <f>Integrated[[#This Row],[Flu Deaths &lt;5 years old]]/Integrated[[#This Row],[Population &lt;5 years]]</f>
        <v>1.0149364818918417E-3</v>
      </c>
      <c r="AF41" s="67">
        <f>Integrated[[#This Row],[Flu Deaths 5 to 14 years]]/Integrated[[#This Row],[Population 5 to 14 years]]</f>
        <v>2.732539075308777E-4</v>
      </c>
      <c r="AG41" s="67">
        <f>Integrated[[#This Row],[Flu Deaths 15 to 24 years]]/Integrated[[#This Row],[Population 15 to 24 years]]</f>
        <v>2.6450594697537448E-4</v>
      </c>
      <c r="AH41" s="67">
        <f>Integrated[[#This Row],[Flu Deaths 25 to 34 years]]/Integrated[[#This Row],[Population 25 to 34 years]]</f>
        <v>3.0196123824238427E-4</v>
      </c>
      <c r="AI41" s="67">
        <f>Integrated[[#This Row],[Flu Deaths 35 to 44 years]]/Integrated[[#This Row],[Population 35 to 44 years]]</f>
        <v>3.146171109759423E-4</v>
      </c>
      <c r="AJ41" s="67">
        <f>Integrated[[#This Row],[Flu Deaths 45 to 54 years]]/Integrated[[#This Row],[Population 45 to 54 years]]</f>
        <v>2.974302030456853E-4</v>
      </c>
      <c r="AK41" s="67">
        <f>Integrated[[#This Row],[Flu Deaths 55 to 64 years]]/Integrated[[#This Row],[Population 55 to 64 years]]</f>
        <v>3.7826012949105102E-4</v>
      </c>
      <c r="AL41" s="67">
        <f>Integrated[[#This Row],[Flu Deaths 65 to 74 years]]/Integrated[[#This Row],[Population 65 to 74 years]]</f>
        <v>6.4348684069410783E-4</v>
      </c>
      <c r="AM41" s="67">
        <f>Integrated[[#This Row],[Flu Deaths 75 to 84 years]]/Integrated[[#This Row],[Population 75 to 84 years]]</f>
        <v>1.0327733406774993E-3</v>
      </c>
      <c r="AN41" s="67">
        <f>Integrated[[#This Row],[Flu Deaths 85+ years]]/Integrated[[#This Row],[Population 85+ years]]</f>
        <v>2.7704373028727305E-3</v>
      </c>
      <c r="AO41" s="68">
        <f>Integrated[[#This Row],[Total Flu Deaths]]/Integrated[[#This Row],[Total population]]</f>
        <v>4.8708584266522623E-4</v>
      </c>
    </row>
    <row r="42" spans="1:41" x14ac:dyDescent="0.3">
      <c r="A42" s="44" t="s">
        <v>54</v>
      </c>
      <c r="B42" t="s">
        <v>55</v>
      </c>
      <c r="C42" s="45">
        <v>2010</v>
      </c>
      <c r="D42" s="51">
        <v>557784</v>
      </c>
      <c r="E42" s="2">
        <v>280656</v>
      </c>
      <c r="F42" s="2">
        <v>277129</v>
      </c>
      <c r="G42" s="78">
        <f>Integrated[[#This Row],[Female Total population]]/Integrated[[#This Row],[Total population]]</f>
        <v>0.49683927828693547</v>
      </c>
      <c r="H42" s="2">
        <v>35868</v>
      </c>
      <c r="I42" s="2">
        <v>68326</v>
      </c>
      <c r="J42" s="2">
        <v>86908</v>
      </c>
      <c r="K42" s="2">
        <v>70964</v>
      </c>
      <c r="L42" s="2">
        <v>66425</v>
      </c>
      <c r="M42" s="2">
        <v>82661</v>
      </c>
      <c r="N42" s="2">
        <v>64644</v>
      </c>
      <c r="O42" s="2">
        <v>39115</v>
      </c>
      <c r="P42" s="2">
        <v>29292</v>
      </c>
      <c r="Q42" s="52">
        <v>13751</v>
      </c>
      <c r="R42" s="127">
        <f>Integrated[[#This Row],[Population 85+ years]]/Integrated[[#This Row],[Total population]]</f>
        <v>2.4652912238429213E-2</v>
      </c>
      <c r="S42" s="58">
        <v>120</v>
      </c>
      <c r="T42" s="59">
        <v>60</v>
      </c>
      <c r="U42" s="59">
        <v>60</v>
      </c>
      <c r="V42" s="59">
        <v>60</v>
      </c>
      <c r="W42" s="59">
        <v>60</v>
      </c>
      <c r="X42" s="59">
        <v>60</v>
      </c>
      <c r="Y42" s="59">
        <v>60</v>
      </c>
      <c r="Z42" s="59">
        <v>60</v>
      </c>
      <c r="AA42" s="59">
        <v>60</v>
      </c>
      <c r="AB42" s="59">
        <v>65</v>
      </c>
      <c r="AC42" s="59">
        <f>VLOOKUP($A42,'[1]Flu Deaths Updated'!$A$2:$N$460,14,FALSE)</f>
        <v>60</v>
      </c>
      <c r="AD42" s="60">
        <f t="shared" si="0"/>
        <v>725</v>
      </c>
      <c r="AE42" s="66">
        <f>Integrated[[#This Row],[Flu Deaths &lt;5 years old]]/Integrated[[#This Row],[Population &lt;5 years]]</f>
        <v>3.3456005352960855E-3</v>
      </c>
      <c r="AF42" s="67">
        <f>Integrated[[#This Row],[Flu Deaths 5 to 14 years]]/Integrated[[#This Row],[Population 5 to 14 years]]</f>
        <v>8.7814302022656094E-4</v>
      </c>
      <c r="AG42" s="67">
        <f>Integrated[[#This Row],[Flu Deaths 15 to 24 years]]/Integrated[[#This Row],[Population 15 to 24 years]]</f>
        <v>6.9038523496110825E-4</v>
      </c>
      <c r="AH42" s="67">
        <f>Integrated[[#This Row],[Flu Deaths 25 to 34 years]]/Integrated[[#This Row],[Population 25 to 34 years]]</f>
        <v>8.4549912631756946E-4</v>
      </c>
      <c r="AI42" s="67">
        <f>Integrated[[#This Row],[Flu Deaths 35 to 44 years]]/Integrated[[#This Row],[Population 35 to 44 years]]</f>
        <v>9.032743695897629E-4</v>
      </c>
      <c r="AJ42" s="67">
        <f>Integrated[[#This Row],[Flu Deaths 45 to 54 years]]/Integrated[[#This Row],[Population 45 to 54 years]]</f>
        <v>7.2585620788521792E-4</v>
      </c>
      <c r="AK42" s="67">
        <f>Integrated[[#This Row],[Flu Deaths 55 to 64 years]]/Integrated[[#This Row],[Population 55 to 64 years]]</f>
        <v>9.2816038611472063E-4</v>
      </c>
      <c r="AL42" s="67">
        <f>Integrated[[#This Row],[Flu Deaths 65 to 74 years]]/Integrated[[#This Row],[Population 65 to 74 years]]</f>
        <v>1.5339383868081299E-3</v>
      </c>
      <c r="AM42" s="67">
        <f>Integrated[[#This Row],[Flu Deaths 75 to 84 years]]/Integrated[[#This Row],[Population 75 to 84 years]]</f>
        <v>2.0483408439164277E-3</v>
      </c>
      <c r="AN42" s="67">
        <f>Integrated[[#This Row],[Flu Deaths 85+ years]]/Integrated[[#This Row],[Population 85+ years]]</f>
        <v>4.7269289506217732E-3</v>
      </c>
      <c r="AO42" s="68">
        <f>Integrated[[#This Row],[Total Flu Deaths]]/Integrated[[#This Row],[Total population]]</f>
        <v>1.2997862972046526E-3</v>
      </c>
    </row>
    <row r="43" spans="1:41" x14ac:dyDescent="0.3">
      <c r="A43" s="44" t="s">
        <v>46</v>
      </c>
      <c r="B43" t="s">
        <v>40</v>
      </c>
      <c r="C43" s="45">
        <v>2009</v>
      </c>
      <c r="D43" s="51">
        <v>519426</v>
      </c>
      <c r="E43" s="2">
        <v>264260</v>
      </c>
      <c r="F43" s="2">
        <v>255166</v>
      </c>
      <c r="G43" s="78">
        <f>Integrated[[#This Row],[Female Total population]]/Integrated[[#This Row],[Total population]]</f>
        <v>0.49124610627885396</v>
      </c>
      <c r="H43" s="2">
        <v>35733</v>
      </c>
      <c r="I43" s="2">
        <v>67050</v>
      </c>
      <c r="J43" s="2">
        <v>80433</v>
      </c>
      <c r="K43" s="2">
        <v>67082</v>
      </c>
      <c r="L43" s="2">
        <v>64151</v>
      </c>
      <c r="M43" s="2">
        <v>81263</v>
      </c>
      <c r="N43" s="2">
        <v>61528</v>
      </c>
      <c r="O43" s="2">
        <v>33341</v>
      </c>
      <c r="P43" s="2">
        <v>21298</v>
      </c>
      <c r="Q43" s="52">
        <v>7891</v>
      </c>
      <c r="R43" s="127">
        <f>Integrated[[#This Row],[Population 85+ years]]/Integrated[[#This Row],[Total population]]</f>
        <v>1.5191769376196032E-2</v>
      </c>
      <c r="S43" s="58">
        <v>120</v>
      </c>
      <c r="T43" s="59">
        <v>60</v>
      </c>
      <c r="U43" s="59">
        <v>60</v>
      </c>
      <c r="V43" s="59">
        <v>60</v>
      </c>
      <c r="W43" s="59">
        <v>60</v>
      </c>
      <c r="X43" s="59">
        <v>60</v>
      </c>
      <c r="Y43" s="59">
        <v>60</v>
      </c>
      <c r="Z43" s="59">
        <v>60</v>
      </c>
      <c r="AA43" s="59">
        <v>60</v>
      </c>
      <c r="AB43" s="59">
        <v>65</v>
      </c>
      <c r="AC43" s="59">
        <f>VLOOKUP($A43,'[1]Flu Deaths Updated'!$A$2:$N$460,14,FALSE)</f>
        <v>60</v>
      </c>
      <c r="AD43" s="60">
        <f t="shared" si="0"/>
        <v>725</v>
      </c>
      <c r="AE43" s="66">
        <f>Integrated[[#This Row],[Flu Deaths &lt;5 years old]]/Integrated[[#This Row],[Population &lt;5 years]]</f>
        <v>3.3582402820921836E-3</v>
      </c>
      <c r="AF43" s="67">
        <f>Integrated[[#This Row],[Flu Deaths 5 to 14 years]]/Integrated[[#This Row],[Population 5 to 14 years]]</f>
        <v>8.9485458612975394E-4</v>
      </c>
      <c r="AG43" s="67">
        <f>Integrated[[#This Row],[Flu Deaths 15 to 24 years]]/Integrated[[#This Row],[Population 15 to 24 years]]</f>
        <v>7.4596247808735223E-4</v>
      </c>
      <c r="AH43" s="67">
        <f>Integrated[[#This Row],[Flu Deaths 25 to 34 years]]/Integrated[[#This Row],[Population 25 to 34 years]]</f>
        <v>8.9442771533347252E-4</v>
      </c>
      <c r="AI43" s="67">
        <f>Integrated[[#This Row],[Flu Deaths 35 to 44 years]]/Integrated[[#This Row],[Population 35 to 44 years]]</f>
        <v>9.3529329238827138E-4</v>
      </c>
      <c r="AJ43" s="67">
        <f>Integrated[[#This Row],[Flu Deaths 45 to 54 years]]/Integrated[[#This Row],[Population 45 to 54 years]]</f>
        <v>7.3834340351697572E-4</v>
      </c>
      <c r="AK43" s="67">
        <f>Integrated[[#This Row],[Flu Deaths 55 to 64 years]]/Integrated[[#This Row],[Population 55 to 64 years]]</f>
        <v>9.7516577818229102E-4</v>
      </c>
      <c r="AL43" s="67">
        <f>Integrated[[#This Row],[Flu Deaths 65 to 74 years]]/Integrated[[#This Row],[Population 65 to 74 years]]</f>
        <v>1.7995860951981043E-3</v>
      </c>
      <c r="AM43" s="67">
        <f>Integrated[[#This Row],[Flu Deaths 75 to 84 years]]/Integrated[[#This Row],[Population 75 to 84 years]]</f>
        <v>2.8171659310733403E-3</v>
      </c>
      <c r="AN43" s="67">
        <f>Integrated[[#This Row],[Flu Deaths 85+ years]]/Integrated[[#This Row],[Population 85+ years]]</f>
        <v>8.2372322899505763E-3</v>
      </c>
      <c r="AO43" s="68">
        <f>Integrated[[#This Row],[Total Flu Deaths]]/Integrated[[#This Row],[Total population]]</f>
        <v>1.3957714862174785E-3</v>
      </c>
    </row>
    <row r="44" spans="1:41" x14ac:dyDescent="0.3">
      <c r="A44" s="44" t="s">
        <v>52</v>
      </c>
      <c r="B44" t="s">
        <v>40</v>
      </c>
      <c r="C44" s="45">
        <v>2010</v>
      </c>
      <c r="D44" s="51">
        <v>539266</v>
      </c>
      <c r="E44" s="2">
        <v>273830</v>
      </c>
      <c r="F44" s="2">
        <v>265437</v>
      </c>
      <c r="G44" s="78">
        <f>Integrated[[#This Row],[Female Total population]]/Integrated[[#This Row],[Total population]]</f>
        <v>0.49221905330578974</v>
      </c>
      <c r="H44" s="2">
        <v>36397</v>
      </c>
      <c r="I44" s="2">
        <v>69578</v>
      </c>
      <c r="J44" s="2">
        <v>79547</v>
      </c>
      <c r="K44" s="2">
        <v>69865</v>
      </c>
      <c r="L44" s="2">
        <v>65705</v>
      </c>
      <c r="M44" s="2">
        <v>83498</v>
      </c>
      <c r="N44" s="2">
        <v>67458</v>
      </c>
      <c r="O44" s="2">
        <v>36900</v>
      </c>
      <c r="P44" s="2">
        <v>21981</v>
      </c>
      <c r="Q44" s="52">
        <v>8427</v>
      </c>
      <c r="R44" s="127">
        <f>Integrated[[#This Row],[Population 85+ years]]/Integrated[[#This Row],[Total population]]</f>
        <v>1.5626796423286467E-2</v>
      </c>
      <c r="S44" s="58">
        <v>120</v>
      </c>
      <c r="T44" s="59">
        <v>60</v>
      </c>
      <c r="U44" s="59">
        <v>60</v>
      </c>
      <c r="V44" s="59">
        <v>60</v>
      </c>
      <c r="W44" s="59">
        <v>60</v>
      </c>
      <c r="X44" s="59">
        <v>60</v>
      </c>
      <c r="Y44" s="59">
        <v>60</v>
      </c>
      <c r="Z44" s="59">
        <v>60</v>
      </c>
      <c r="AA44" s="59">
        <v>60</v>
      </c>
      <c r="AB44" s="59">
        <v>65</v>
      </c>
      <c r="AC44" s="59">
        <f>VLOOKUP($A44,'[1]Flu Deaths Updated'!$A$2:$N$460,14,FALSE)</f>
        <v>60</v>
      </c>
      <c r="AD44" s="60">
        <f t="shared" si="0"/>
        <v>725</v>
      </c>
      <c r="AE44" s="66">
        <f>Integrated[[#This Row],[Flu Deaths &lt;5 years old]]/Integrated[[#This Row],[Population &lt;5 years]]</f>
        <v>3.2969750254141826E-3</v>
      </c>
      <c r="AF44" s="67">
        <f>Integrated[[#This Row],[Flu Deaths 5 to 14 years]]/Integrated[[#This Row],[Population 5 to 14 years]]</f>
        <v>8.6234154474115385E-4</v>
      </c>
      <c r="AG44" s="67">
        <f>Integrated[[#This Row],[Flu Deaths 15 to 24 years]]/Integrated[[#This Row],[Population 15 to 24 years]]</f>
        <v>7.5427105987655092E-4</v>
      </c>
      <c r="AH44" s="67">
        <f>Integrated[[#This Row],[Flu Deaths 25 to 34 years]]/Integrated[[#This Row],[Population 25 to 34 years]]</f>
        <v>8.5879911257425031E-4</v>
      </c>
      <c r="AI44" s="67">
        <f>Integrated[[#This Row],[Flu Deaths 35 to 44 years]]/Integrated[[#This Row],[Population 35 to 44 years]]</f>
        <v>9.1317251350734338E-4</v>
      </c>
      <c r="AJ44" s="67">
        <f>Integrated[[#This Row],[Flu Deaths 45 to 54 years]]/Integrated[[#This Row],[Population 45 to 54 years]]</f>
        <v>7.1858008575055685E-4</v>
      </c>
      <c r="AK44" s="67">
        <f>Integrated[[#This Row],[Flu Deaths 55 to 64 years]]/Integrated[[#This Row],[Population 55 to 64 years]]</f>
        <v>8.8944231966556968E-4</v>
      </c>
      <c r="AL44" s="67">
        <f>Integrated[[#This Row],[Flu Deaths 65 to 74 years]]/Integrated[[#This Row],[Population 65 to 74 years]]</f>
        <v>1.6260162601626016E-3</v>
      </c>
      <c r="AM44" s="67">
        <f>Integrated[[#This Row],[Flu Deaths 75 to 84 years]]/Integrated[[#This Row],[Population 75 to 84 years]]</f>
        <v>2.7296301351166915E-3</v>
      </c>
      <c r="AN44" s="67">
        <f>Integrated[[#This Row],[Flu Deaths 85+ years]]/Integrated[[#This Row],[Population 85+ years]]</f>
        <v>7.7133024801234133E-3</v>
      </c>
      <c r="AO44" s="68">
        <f>Integrated[[#This Row],[Total Flu Deaths]]/Integrated[[#This Row],[Total population]]</f>
        <v>1.344420007936714E-3</v>
      </c>
    </row>
    <row r="45" spans="1:41" x14ac:dyDescent="0.3">
      <c r="A45" s="44" t="s">
        <v>120</v>
      </c>
      <c r="B45" t="s">
        <v>99</v>
      </c>
      <c r="C45" s="45">
        <v>2016</v>
      </c>
      <c r="D45" s="51">
        <v>946754</v>
      </c>
      <c r="E45" s="2">
        <v>474328</v>
      </c>
      <c r="F45" s="2">
        <v>472429</v>
      </c>
      <c r="G45" s="78">
        <f>Integrated[[#This Row],[Female Total population]]/Integrated[[#This Row],[Total population]]</f>
        <v>0.49899868392422952</v>
      </c>
      <c r="H45" s="2">
        <v>57198</v>
      </c>
      <c r="I45" s="2">
        <v>117777</v>
      </c>
      <c r="J45" s="2">
        <v>127660</v>
      </c>
      <c r="K45" s="2">
        <v>121396</v>
      </c>
      <c r="L45" s="2">
        <v>108422</v>
      </c>
      <c r="M45" s="2">
        <v>121804</v>
      </c>
      <c r="N45" s="2">
        <v>136794</v>
      </c>
      <c r="O45" s="2">
        <v>90456</v>
      </c>
      <c r="P45" s="2">
        <v>46168</v>
      </c>
      <c r="Q45" s="52">
        <v>19330</v>
      </c>
      <c r="R45" s="127">
        <f>Integrated[[#This Row],[Population 85+ years]]/Integrated[[#This Row],[Total population]]</f>
        <v>2.0417130532324131E-2</v>
      </c>
      <c r="S45" s="58">
        <v>120</v>
      </c>
      <c r="T45" s="59">
        <v>60</v>
      </c>
      <c r="U45" s="59">
        <v>60</v>
      </c>
      <c r="V45" s="59">
        <v>60</v>
      </c>
      <c r="W45" s="59">
        <v>60</v>
      </c>
      <c r="X45" s="59">
        <v>60</v>
      </c>
      <c r="Y45" s="59">
        <v>60</v>
      </c>
      <c r="Z45" s="59">
        <v>60</v>
      </c>
      <c r="AA45" s="59">
        <v>60</v>
      </c>
      <c r="AB45" s="59">
        <v>66</v>
      </c>
      <c r="AC45" s="59">
        <f>VLOOKUP($A45,'[1]Flu Deaths Updated'!$A$2:$N$460,14,FALSE)</f>
        <v>60</v>
      </c>
      <c r="AD45" s="60">
        <f t="shared" si="0"/>
        <v>726</v>
      </c>
      <c r="AE45" s="66">
        <f>Integrated[[#This Row],[Flu Deaths &lt;5 years old]]/Integrated[[#This Row],[Population &lt;5 years]]</f>
        <v>2.0979754536871917E-3</v>
      </c>
      <c r="AF45" s="67">
        <f>Integrated[[#This Row],[Flu Deaths 5 to 14 years]]/Integrated[[#This Row],[Population 5 to 14 years]]</f>
        <v>5.0943732647291062E-4</v>
      </c>
      <c r="AG45" s="67">
        <f>Integrated[[#This Row],[Flu Deaths 15 to 24 years]]/Integrated[[#This Row],[Population 15 to 24 years]]</f>
        <v>4.6999843333855553E-4</v>
      </c>
      <c r="AH45" s="67">
        <f>Integrated[[#This Row],[Flu Deaths 25 to 34 years]]/Integrated[[#This Row],[Population 25 to 34 years]]</f>
        <v>4.9425022241260006E-4</v>
      </c>
      <c r="AI45" s="67">
        <f>Integrated[[#This Row],[Flu Deaths 35 to 44 years]]/Integrated[[#This Row],[Population 35 to 44 years]]</f>
        <v>5.5339322277766503E-4</v>
      </c>
      <c r="AJ45" s="67">
        <f>Integrated[[#This Row],[Flu Deaths 45 to 54 years]]/Integrated[[#This Row],[Population 45 to 54 years]]</f>
        <v>4.9259466027388261E-4</v>
      </c>
      <c r="AK45" s="67">
        <f>Integrated[[#This Row],[Flu Deaths 55 to 64 years]]/Integrated[[#This Row],[Population 55 to 64 years]]</f>
        <v>4.3861572876003333E-4</v>
      </c>
      <c r="AL45" s="67">
        <f>Integrated[[#This Row],[Flu Deaths 65 to 74 years]]/Integrated[[#This Row],[Population 65 to 74 years]]</f>
        <v>6.6330591668877685E-4</v>
      </c>
      <c r="AM45" s="67">
        <f>Integrated[[#This Row],[Flu Deaths 75 to 84 years]]/Integrated[[#This Row],[Population 75 to 84 years]]</f>
        <v>1.2996014555536302E-3</v>
      </c>
      <c r="AN45" s="67">
        <f>Integrated[[#This Row],[Flu Deaths 85+ years]]/Integrated[[#This Row],[Population 85+ years]]</f>
        <v>3.4143817899637868E-3</v>
      </c>
      <c r="AO45" s="68">
        <f>Integrated[[#This Row],[Total Flu Deaths]]/Integrated[[#This Row],[Total population]]</f>
        <v>7.6683066562169267E-4</v>
      </c>
    </row>
    <row r="46" spans="1:41" x14ac:dyDescent="0.3">
      <c r="A46" s="44" t="s">
        <v>41</v>
      </c>
      <c r="B46" t="s">
        <v>40</v>
      </c>
      <c r="C46" s="45">
        <v>2013</v>
      </c>
      <c r="D46" s="51">
        <v>500216</v>
      </c>
      <c r="E46" s="2">
        <v>254360</v>
      </c>
      <c r="F46" s="2">
        <v>245856</v>
      </c>
      <c r="G46" s="78">
        <f>Integrated[[#This Row],[Female Total population]]/Integrated[[#This Row],[Total population]]</f>
        <v>0.49149967214163481</v>
      </c>
      <c r="H46" s="2">
        <v>34580</v>
      </c>
      <c r="I46" s="2">
        <v>66554</v>
      </c>
      <c r="J46" s="2">
        <v>71114</v>
      </c>
      <c r="K46" s="2">
        <v>69046</v>
      </c>
      <c r="L46" s="2">
        <v>59774</v>
      </c>
      <c r="M46" s="2">
        <v>70183</v>
      </c>
      <c r="N46" s="2">
        <v>66522</v>
      </c>
      <c r="O46" s="2">
        <v>35747</v>
      </c>
      <c r="P46" s="2">
        <v>19601</v>
      </c>
      <c r="Q46" s="52">
        <v>7753</v>
      </c>
      <c r="R46" s="127">
        <f>Integrated[[#This Row],[Population 85+ years]]/Integrated[[#This Row],[Total population]]</f>
        <v>1.5499304300542166E-2</v>
      </c>
      <c r="S46" s="58">
        <v>120</v>
      </c>
      <c r="T46" s="59">
        <v>60</v>
      </c>
      <c r="U46" s="59">
        <v>60</v>
      </c>
      <c r="V46" s="59">
        <v>60</v>
      </c>
      <c r="W46" s="59">
        <v>60</v>
      </c>
      <c r="X46" s="59">
        <v>60</v>
      </c>
      <c r="Y46" s="59">
        <v>60</v>
      </c>
      <c r="Z46" s="59">
        <v>60</v>
      </c>
      <c r="AA46" s="59">
        <v>60</v>
      </c>
      <c r="AB46" s="59">
        <v>67</v>
      </c>
      <c r="AC46" s="59">
        <f>VLOOKUP($A46,'[1]Flu Deaths Updated'!$A$2:$N$460,14,FALSE)</f>
        <v>60</v>
      </c>
      <c r="AD46" s="60">
        <f t="shared" si="0"/>
        <v>727</v>
      </c>
      <c r="AE46" s="66">
        <f>Integrated[[#This Row],[Flu Deaths &lt;5 years old]]/Integrated[[#This Row],[Population &lt;5 years]]</f>
        <v>3.470213996529786E-3</v>
      </c>
      <c r="AF46" s="67">
        <f>Integrated[[#This Row],[Flu Deaths 5 to 14 years]]/Integrated[[#This Row],[Population 5 to 14 years]]</f>
        <v>9.0152357484148214E-4</v>
      </c>
      <c r="AG46" s="67">
        <f>Integrated[[#This Row],[Flu Deaths 15 to 24 years]]/Integrated[[#This Row],[Population 15 to 24 years]]</f>
        <v>8.4371572404871051E-4</v>
      </c>
      <c r="AH46" s="67">
        <f>Integrated[[#This Row],[Flu Deaths 25 to 34 years]]/Integrated[[#This Row],[Population 25 to 34 years]]</f>
        <v>8.6898589346232947E-4</v>
      </c>
      <c r="AI46" s="67">
        <f>Integrated[[#This Row],[Flu Deaths 35 to 44 years]]/Integrated[[#This Row],[Population 35 to 44 years]]</f>
        <v>1.0037809080871282E-3</v>
      </c>
      <c r="AJ46" s="67">
        <f>Integrated[[#This Row],[Flu Deaths 45 to 54 years]]/Integrated[[#This Row],[Population 45 to 54 years]]</f>
        <v>8.5490788367553392E-4</v>
      </c>
      <c r="AK46" s="67">
        <f>Integrated[[#This Row],[Flu Deaths 55 to 64 years]]/Integrated[[#This Row],[Population 55 to 64 years]]</f>
        <v>9.0195724722648147E-4</v>
      </c>
      <c r="AL46" s="67">
        <f>Integrated[[#This Row],[Flu Deaths 65 to 74 years]]/Integrated[[#This Row],[Population 65 to 74 years]]</f>
        <v>1.6784625283240552E-3</v>
      </c>
      <c r="AM46" s="67">
        <f>Integrated[[#This Row],[Flu Deaths 75 to 84 years]]/Integrated[[#This Row],[Population 75 to 84 years]]</f>
        <v>3.0610683128411815E-3</v>
      </c>
      <c r="AN46" s="67">
        <f>Integrated[[#This Row],[Flu Deaths 85+ years]]/Integrated[[#This Row],[Population 85+ years]]</f>
        <v>8.6418160711982453E-3</v>
      </c>
      <c r="AO46" s="68">
        <f>Integrated[[#This Row],[Total Flu Deaths]]/Integrated[[#This Row],[Total population]]</f>
        <v>1.4533721432341228E-3</v>
      </c>
    </row>
    <row r="47" spans="1:41" x14ac:dyDescent="0.3">
      <c r="A47" s="44" t="s">
        <v>110</v>
      </c>
      <c r="B47" t="s">
        <v>104</v>
      </c>
      <c r="C47" s="45">
        <v>2014</v>
      </c>
      <c r="D47" s="51">
        <v>917060</v>
      </c>
      <c r="E47" s="2">
        <v>443923</v>
      </c>
      <c r="F47" s="2">
        <v>473137</v>
      </c>
      <c r="G47" s="78">
        <f>Integrated[[#This Row],[Female Total population]]/Integrated[[#This Row],[Total population]]</f>
        <v>0.51592807449894229</v>
      </c>
      <c r="H47" s="2">
        <v>55965</v>
      </c>
      <c r="I47" s="2">
        <v>114172</v>
      </c>
      <c r="J47" s="2">
        <v>126044</v>
      </c>
      <c r="K47" s="2">
        <v>117068</v>
      </c>
      <c r="L47" s="2">
        <v>112279</v>
      </c>
      <c r="M47" s="2">
        <v>132015</v>
      </c>
      <c r="N47" s="2">
        <v>118520</v>
      </c>
      <c r="O47" s="2">
        <v>81248</v>
      </c>
      <c r="P47" s="2">
        <v>42246</v>
      </c>
      <c r="Q47" s="52">
        <v>17600</v>
      </c>
      <c r="R47" s="127">
        <f>Integrated[[#This Row],[Population 85+ years]]/Integrated[[#This Row],[Total population]]</f>
        <v>1.9191764988114191E-2</v>
      </c>
      <c r="S47" s="58">
        <v>120</v>
      </c>
      <c r="T47" s="59">
        <v>60</v>
      </c>
      <c r="U47" s="59">
        <v>60</v>
      </c>
      <c r="V47" s="59">
        <v>60</v>
      </c>
      <c r="W47" s="59">
        <v>60</v>
      </c>
      <c r="X47" s="59">
        <v>60</v>
      </c>
      <c r="Y47" s="59">
        <v>60</v>
      </c>
      <c r="Z47" s="59">
        <v>60</v>
      </c>
      <c r="AA47" s="59">
        <v>66</v>
      </c>
      <c r="AB47" s="59">
        <v>70</v>
      </c>
      <c r="AC47" s="59">
        <f>VLOOKUP($A47,'[1]Flu Deaths Updated'!$A$2:$N$460,14,FALSE)</f>
        <v>60</v>
      </c>
      <c r="AD47" s="60">
        <f t="shared" si="0"/>
        <v>736</v>
      </c>
      <c r="AE47" s="66">
        <f>Integrated[[#This Row],[Flu Deaths &lt;5 years old]]/Integrated[[#This Row],[Population &lt;5 years]]</f>
        <v>2.1441972661484857E-3</v>
      </c>
      <c r="AF47" s="67">
        <f>Integrated[[#This Row],[Flu Deaths 5 to 14 years]]/Integrated[[#This Row],[Population 5 to 14 years]]</f>
        <v>5.2552289528080441E-4</v>
      </c>
      <c r="AG47" s="67">
        <f>Integrated[[#This Row],[Flu Deaths 15 to 24 years]]/Integrated[[#This Row],[Population 15 to 24 years]]</f>
        <v>4.7602424550157086E-4</v>
      </c>
      <c r="AH47" s="67">
        <f>Integrated[[#This Row],[Flu Deaths 25 to 34 years]]/Integrated[[#This Row],[Population 25 to 34 years]]</f>
        <v>5.1252263641644175E-4</v>
      </c>
      <c r="AI47" s="67">
        <f>Integrated[[#This Row],[Flu Deaths 35 to 44 years]]/Integrated[[#This Row],[Population 35 to 44 years]]</f>
        <v>5.3438309924384788E-4</v>
      </c>
      <c r="AJ47" s="67">
        <f>Integrated[[#This Row],[Flu Deaths 45 to 54 years]]/Integrated[[#This Row],[Population 45 to 54 years]]</f>
        <v>4.5449380752187249E-4</v>
      </c>
      <c r="AK47" s="67">
        <f>Integrated[[#This Row],[Flu Deaths 55 to 64 years]]/Integrated[[#This Row],[Population 55 to 64 years]]</f>
        <v>5.0624367195410062E-4</v>
      </c>
      <c r="AL47" s="67">
        <f>Integrated[[#This Row],[Flu Deaths 65 to 74 years]]/Integrated[[#This Row],[Population 65 to 74 years]]</f>
        <v>7.3847971642378889E-4</v>
      </c>
      <c r="AM47" s="67">
        <f>Integrated[[#This Row],[Flu Deaths 75 to 84 years]]/Integrated[[#This Row],[Population 75 to 84 years]]</f>
        <v>1.5622780854992189E-3</v>
      </c>
      <c r="AN47" s="67">
        <f>Integrated[[#This Row],[Flu Deaths 85+ years]]/Integrated[[#This Row],[Population 85+ years]]</f>
        <v>3.9772727272727269E-3</v>
      </c>
      <c r="AO47" s="68">
        <f>Integrated[[#This Row],[Total Flu Deaths]]/Integrated[[#This Row],[Total population]]</f>
        <v>8.0256471768477529E-4</v>
      </c>
    </row>
    <row r="48" spans="1:41" x14ac:dyDescent="0.3">
      <c r="A48" s="44" t="s">
        <v>106</v>
      </c>
      <c r="B48" t="s">
        <v>104</v>
      </c>
      <c r="C48" s="45">
        <v>2012</v>
      </c>
      <c r="D48" s="51">
        <v>900131</v>
      </c>
      <c r="E48" s="2">
        <v>436338</v>
      </c>
      <c r="F48" s="2">
        <v>463793</v>
      </c>
      <c r="G48" s="78">
        <f>Integrated[[#This Row],[Female Total population]]/Integrated[[#This Row],[Total population]]</f>
        <v>0.51525055797433927</v>
      </c>
      <c r="H48" s="2">
        <v>56159</v>
      </c>
      <c r="I48" s="2">
        <v>113488</v>
      </c>
      <c r="J48" s="2">
        <v>127045</v>
      </c>
      <c r="K48" s="2">
        <v>111984</v>
      </c>
      <c r="L48" s="2">
        <v>115869</v>
      </c>
      <c r="M48" s="2">
        <v>132337</v>
      </c>
      <c r="N48" s="2">
        <v>111948</v>
      </c>
      <c r="O48" s="2">
        <v>73354</v>
      </c>
      <c r="P48" s="2">
        <v>41223</v>
      </c>
      <c r="Q48" s="52">
        <v>16164</v>
      </c>
      <c r="R48" s="127">
        <f>Integrated[[#This Row],[Population 85+ years]]/Integrated[[#This Row],[Total population]]</f>
        <v>1.7957386202674945E-2</v>
      </c>
      <c r="S48" s="58">
        <v>120</v>
      </c>
      <c r="T48" s="59">
        <v>60</v>
      </c>
      <c r="U48" s="59">
        <v>60</v>
      </c>
      <c r="V48" s="59">
        <v>60</v>
      </c>
      <c r="W48" s="59">
        <v>60</v>
      </c>
      <c r="X48" s="59">
        <v>60</v>
      </c>
      <c r="Y48" s="59">
        <v>60</v>
      </c>
      <c r="Z48" s="59">
        <v>60</v>
      </c>
      <c r="AA48" s="59">
        <v>60</v>
      </c>
      <c r="AB48" s="59">
        <v>71</v>
      </c>
      <c r="AC48" s="59">
        <f>VLOOKUP($A48,'[1]Flu Deaths Updated'!$A$2:$N$460,14,FALSE)</f>
        <v>60</v>
      </c>
      <c r="AD48" s="60">
        <f t="shared" si="0"/>
        <v>731</v>
      </c>
      <c r="AE48" s="66">
        <f>Integrated[[#This Row],[Flu Deaths &lt;5 years old]]/Integrated[[#This Row],[Population &lt;5 years]]</f>
        <v>2.1367901850104167E-3</v>
      </c>
      <c r="AF48" s="67">
        <f>Integrated[[#This Row],[Flu Deaths 5 to 14 years]]/Integrated[[#This Row],[Population 5 to 14 years]]</f>
        <v>5.286902580008459E-4</v>
      </c>
      <c r="AG48" s="67">
        <f>Integrated[[#This Row],[Flu Deaths 15 to 24 years]]/Integrated[[#This Row],[Population 15 to 24 years]]</f>
        <v>4.7227360384115866E-4</v>
      </c>
      <c r="AH48" s="67">
        <f>Integrated[[#This Row],[Flu Deaths 25 to 34 years]]/Integrated[[#This Row],[Population 25 to 34 years]]</f>
        <v>5.3579082726103731E-4</v>
      </c>
      <c r="AI48" s="67">
        <f>Integrated[[#This Row],[Flu Deaths 35 to 44 years]]/Integrated[[#This Row],[Population 35 to 44 years]]</f>
        <v>5.1782616575615564E-4</v>
      </c>
      <c r="AJ48" s="67">
        <f>Integrated[[#This Row],[Flu Deaths 45 to 54 years]]/Integrated[[#This Row],[Population 45 to 54 years]]</f>
        <v>4.5338794139205212E-4</v>
      </c>
      <c r="AK48" s="67">
        <f>Integrated[[#This Row],[Flu Deaths 55 to 64 years]]/Integrated[[#This Row],[Population 55 to 64 years]]</f>
        <v>5.3596312573694926E-4</v>
      </c>
      <c r="AL48" s="67">
        <f>Integrated[[#This Row],[Flu Deaths 65 to 74 years]]/Integrated[[#This Row],[Population 65 to 74 years]]</f>
        <v>8.1795130463233089E-4</v>
      </c>
      <c r="AM48" s="67">
        <f>Integrated[[#This Row],[Flu Deaths 75 to 84 years]]/Integrated[[#This Row],[Population 75 to 84 years]]</f>
        <v>1.4554981442398661E-3</v>
      </c>
      <c r="AN48" s="67">
        <f>Integrated[[#This Row],[Flu Deaths 85+ years]]/Integrated[[#This Row],[Population 85+ years]]</f>
        <v>4.3924771096263302E-3</v>
      </c>
      <c r="AO48" s="68">
        <f>Integrated[[#This Row],[Total Flu Deaths]]/Integrated[[#This Row],[Total population]]</f>
        <v>8.1210401597100871E-4</v>
      </c>
    </row>
    <row r="49" spans="1:41" x14ac:dyDescent="0.3">
      <c r="A49" s="44" t="s">
        <v>67</v>
      </c>
      <c r="B49" t="s">
        <v>55</v>
      </c>
      <c r="C49" s="45">
        <v>2009</v>
      </c>
      <c r="D49" s="51">
        <v>614109</v>
      </c>
      <c r="E49" s="2">
        <v>308413</v>
      </c>
      <c r="F49" s="2">
        <v>305698</v>
      </c>
      <c r="G49" s="78">
        <f>Integrated[[#This Row],[Female Total population]]/Integrated[[#This Row],[Total population]]</f>
        <v>0.49779110874453886</v>
      </c>
      <c r="H49" s="2">
        <v>39099</v>
      </c>
      <c r="I49" s="2">
        <v>73423</v>
      </c>
      <c r="J49" s="2">
        <v>110566</v>
      </c>
      <c r="K49" s="2">
        <v>75514</v>
      </c>
      <c r="L49" s="2">
        <v>72898</v>
      </c>
      <c r="M49" s="2">
        <v>88570</v>
      </c>
      <c r="N49" s="2">
        <v>65470</v>
      </c>
      <c r="O49" s="2">
        <v>41071</v>
      </c>
      <c r="P49" s="2">
        <v>32630</v>
      </c>
      <c r="Q49" s="52">
        <v>15286</v>
      </c>
      <c r="R49" s="127">
        <f>Integrated[[#This Row],[Population 85+ years]]/Integrated[[#This Row],[Total population]]</f>
        <v>2.4891346650187506E-2</v>
      </c>
      <c r="S49" s="58">
        <v>120</v>
      </c>
      <c r="T49" s="59">
        <v>60</v>
      </c>
      <c r="U49" s="59">
        <v>60</v>
      </c>
      <c r="V49" s="59">
        <v>60</v>
      </c>
      <c r="W49" s="59">
        <v>60</v>
      </c>
      <c r="X49" s="59">
        <v>60</v>
      </c>
      <c r="Y49" s="59">
        <v>60</v>
      </c>
      <c r="Z49" s="59">
        <v>60</v>
      </c>
      <c r="AA49" s="59">
        <v>60</v>
      </c>
      <c r="AB49" s="59">
        <v>71</v>
      </c>
      <c r="AC49" s="59">
        <f>VLOOKUP($A49,'[1]Flu Deaths Updated'!$A$2:$N$460,14,FALSE)</f>
        <v>60</v>
      </c>
      <c r="AD49" s="60">
        <f t="shared" si="0"/>
        <v>731</v>
      </c>
      <c r="AE49" s="66">
        <f>Integrated[[#This Row],[Flu Deaths &lt;5 years old]]/Integrated[[#This Row],[Population &lt;5 years]]</f>
        <v>3.0691322028696386E-3</v>
      </c>
      <c r="AF49" s="67">
        <f>Integrated[[#This Row],[Flu Deaths 5 to 14 years]]/Integrated[[#This Row],[Population 5 to 14 years]]</f>
        <v>8.171826266973564E-4</v>
      </c>
      <c r="AG49" s="67">
        <f>Integrated[[#This Row],[Flu Deaths 15 to 24 years]]/Integrated[[#This Row],[Population 15 to 24 years]]</f>
        <v>5.4266230124993219E-4</v>
      </c>
      <c r="AH49" s="67">
        <f>Integrated[[#This Row],[Flu Deaths 25 to 34 years]]/Integrated[[#This Row],[Population 25 to 34 years]]</f>
        <v>7.945546521174881E-4</v>
      </c>
      <c r="AI49" s="67">
        <f>Integrated[[#This Row],[Flu Deaths 35 to 44 years]]/Integrated[[#This Row],[Population 35 to 44 years]]</f>
        <v>8.2306784822628882E-4</v>
      </c>
      <c r="AJ49" s="67">
        <f>Integrated[[#This Row],[Flu Deaths 45 to 54 years]]/Integrated[[#This Row],[Population 45 to 54 years]]</f>
        <v>6.7743028113356665E-4</v>
      </c>
      <c r="AK49" s="67">
        <f>Integrated[[#This Row],[Flu Deaths 55 to 64 years]]/Integrated[[#This Row],[Population 55 to 64 years]]</f>
        <v>9.1645028257217049E-4</v>
      </c>
      <c r="AL49" s="67">
        <f>Integrated[[#This Row],[Flu Deaths 65 to 74 years]]/Integrated[[#This Row],[Population 65 to 74 years]]</f>
        <v>1.4608848092327921E-3</v>
      </c>
      <c r="AM49" s="67">
        <f>Integrated[[#This Row],[Flu Deaths 75 to 84 years]]/Integrated[[#This Row],[Population 75 to 84 years]]</f>
        <v>1.8387986515476554E-3</v>
      </c>
      <c r="AN49" s="67">
        <f>Integrated[[#This Row],[Flu Deaths 85+ years]]/Integrated[[#This Row],[Population 85+ years]]</f>
        <v>4.6447729948972914E-3</v>
      </c>
      <c r="AO49" s="68">
        <f>Integrated[[#This Row],[Total Flu Deaths]]/Integrated[[#This Row],[Total population]]</f>
        <v>1.1903424310667975E-3</v>
      </c>
    </row>
    <row r="50" spans="1:41" x14ac:dyDescent="0.3">
      <c r="A50" s="44" t="s">
        <v>78</v>
      </c>
      <c r="B50" t="s">
        <v>55</v>
      </c>
      <c r="C50" s="45">
        <v>2012</v>
      </c>
      <c r="D50" s="51">
        <v>644817</v>
      </c>
      <c r="E50" s="2">
        <v>325562</v>
      </c>
      <c r="F50" s="2">
        <v>319258</v>
      </c>
      <c r="G50" s="78">
        <f>Integrated[[#This Row],[Female Total population]]/Integrated[[#This Row],[Total population]]</f>
        <v>0.4951141176488833</v>
      </c>
      <c r="H50" s="2">
        <v>42027</v>
      </c>
      <c r="I50" s="2">
        <v>77033</v>
      </c>
      <c r="J50" s="2">
        <v>105168</v>
      </c>
      <c r="K50" s="2">
        <v>87393</v>
      </c>
      <c r="L50" s="2">
        <v>72882</v>
      </c>
      <c r="M50" s="2">
        <v>90712</v>
      </c>
      <c r="N50" s="2">
        <v>78119</v>
      </c>
      <c r="O50" s="2">
        <v>45173</v>
      </c>
      <c r="P50" s="2">
        <v>31403</v>
      </c>
      <c r="Q50" s="52">
        <v>15062</v>
      </c>
      <c r="R50" s="127">
        <f>Integrated[[#This Row],[Population 85+ years]]/Integrated[[#This Row],[Total population]]</f>
        <v>2.3358565298371475E-2</v>
      </c>
      <c r="S50" s="58">
        <v>120</v>
      </c>
      <c r="T50" s="59">
        <v>60</v>
      </c>
      <c r="U50" s="59">
        <v>60</v>
      </c>
      <c r="V50" s="59">
        <v>60</v>
      </c>
      <c r="W50" s="59">
        <v>60</v>
      </c>
      <c r="X50" s="59">
        <v>60</v>
      </c>
      <c r="Y50" s="59">
        <v>60</v>
      </c>
      <c r="Z50" s="59">
        <v>60</v>
      </c>
      <c r="AA50" s="59">
        <v>60</v>
      </c>
      <c r="AB50" s="59">
        <v>71</v>
      </c>
      <c r="AC50" s="59">
        <f>VLOOKUP($A50,'[1]Flu Deaths Updated'!$A$2:$N$460,14,FALSE)</f>
        <v>60</v>
      </c>
      <c r="AD50" s="60">
        <f t="shared" si="0"/>
        <v>731</v>
      </c>
      <c r="AE50" s="66">
        <f>Integrated[[#This Row],[Flu Deaths &lt;5 years old]]/Integrated[[#This Row],[Population &lt;5 years]]</f>
        <v>2.8553073024484262E-3</v>
      </c>
      <c r="AF50" s="67">
        <f>Integrated[[#This Row],[Flu Deaths 5 to 14 years]]/Integrated[[#This Row],[Population 5 to 14 years]]</f>
        <v>7.7888697051912818E-4</v>
      </c>
      <c r="AG50" s="67">
        <f>Integrated[[#This Row],[Flu Deaths 15 to 24 years]]/Integrated[[#This Row],[Population 15 to 24 years]]</f>
        <v>5.705157462345961E-4</v>
      </c>
      <c r="AH50" s="67">
        <f>Integrated[[#This Row],[Flu Deaths 25 to 34 years]]/Integrated[[#This Row],[Population 25 to 34 years]]</f>
        <v>6.8655384298513613E-4</v>
      </c>
      <c r="AI50" s="67">
        <f>Integrated[[#This Row],[Flu Deaths 35 to 44 years]]/Integrated[[#This Row],[Population 35 to 44 years]]</f>
        <v>8.2324853873384373E-4</v>
      </c>
      <c r="AJ50" s="67">
        <f>Integrated[[#This Row],[Flu Deaths 45 to 54 years]]/Integrated[[#This Row],[Population 45 to 54 years]]</f>
        <v>6.6143398888790896E-4</v>
      </c>
      <c r="AK50" s="67">
        <f>Integrated[[#This Row],[Flu Deaths 55 to 64 years]]/Integrated[[#This Row],[Population 55 to 64 years]]</f>
        <v>7.6805898693019627E-4</v>
      </c>
      <c r="AL50" s="67">
        <f>Integrated[[#This Row],[Flu Deaths 65 to 74 years]]/Integrated[[#This Row],[Population 65 to 74 years]]</f>
        <v>1.3282270382750758E-3</v>
      </c>
      <c r="AM50" s="67">
        <f>Integrated[[#This Row],[Flu Deaths 75 to 84 years]]/Integrated[[#This Row],[Population 75 to 84 years]]</f>
        <v>1.910645479731236E-3</v>
      </c>
      <c r="AN50" s="67">
        <f>Integrated[[#This Row],[Flu Deaths 85+ years]]/Integrated[[#This Row],[Population 85+ years]]</f>
        <v>4.7138494223874653E-3</v>
      </c>
      <c r="AO50" s="68">
        <f>Integrated[[#This Row],[Total Flu Deaths]]/Integrated[[#This Row],[Total population]]</f>
        <v>1.1336549749773968E-3</v>
      </c>
    </row>
    <row r="51" spans="1:41" x14ac:dyDescent="0.3">
      <c r="A51" s="44" t="s">
        <v>132</v>
      </c>
      <c r="B51" t="s">
        <v>118</v>
      </c>
      <c r="C51" s="45">
        <v>2016</v>
      </c>
      <c r="D51" s="51">
        <v>1054491</v>
      </c>
      <c r="E51" s="2">
        <v>511297</v>
      </c>
      <c r="F51" s="2">
        <v>543194</v>
      </c>
      <c r="G51" s="78">
        <f>Integrated[[#This Row],[Female Total population]]/Integrated[[#This Row],[Total population]]</f>
        <v>0.51512435857679206</v>
      </c>
      <c r="H51" s="2">
        <v>55059</v>
      </c>
      <c r="I51" s="2">
        <v>118663</v>
      </c>
      <c r="J51" s="2">
        <v>156289</v>
      </c>
      <c r="K51" s="2">
        <v>138078</v>
      </c>
      <c r="L51" s="2">
        <v>125869</v>
      </c>
      <c r="M51" s="2">
        <v>152612</v>
      </c>
      <c r="N51" s="2">
        <v>142248</v>
      </c>
      <c r="O51" s="2">
        <v>88892</v>
      </c>
      <c r="P51" s="2">
        <v>47760</v>
      </c>
      <c r="Q51" s="52">
        <v>28941</v>
      </c>
      <c r="R51" s="127">
        <f>Integrated[[#This Row],[Population 85+ years]]/Integrated[[#This Row],[Total population]]</f>
        <v>2.7445468951370851E-2</v>
      </c>
      <c r="S51" s="58">
        <v>120</v>
      </c>
      <c r="T51" s="59">
        <v>60</v>
      </c>
      <c r="U51" s="59">
        <v>60</v>
      </c>
      <c r="V51" s="59">
        <v>60</v>
      </c>
      <c r="W51" s="59">
        <v>60</v>
      </c>
      <c r="X51" s="59">
        <v>60</v>
      </c>
      <c r="Y51" s="59">
        <v>60</v>
      </c>
      <c r="Z51" s="59">
        <v>60</v>
      </c>
      <c r="AA51" s="59">
        <v>60</v>
      </c>
      <c r="AB51" s="59">
        <v>71</v>
      </c>
      <c r="AC51" s="59">
        <f>VLOOKUP($A51,'[1]Flu Deaths Updated'!$A$2:$N$460,14,FALSE)</f>
        <v>60</v>
      </c>
      <c r="AD51" s="60">
        <f t="shared" si="0"/>
        <v>731</v>
      </c>
      <c r="AE51" s="66">
        <f>Integrated[[#This Row],[Flu Deaths &lt;5 years old]]/Integrated[[#This Row],[Population &lt;5 years]]</f>
        <v>2.1794801939737374E-3</v>
      </c>
      <c r="AF51" s="67">
        <f>Integrated[[#This Row],[Flu Deaths 5 to 14 years]]/Integrated[[#This Row],[Population 5 to 14 years]]</f>
        <v>5.0563360103823428E-4</v>
      </c>
      <c r="AG51" s="67">
        <f>Integrated[[#This Row],[Flu Deaths 15 to 24 years]]/Integrated[[#This Row],[Population 15 to 24 years]]</f>
        <v>3.8390417751729168E-4</v>
      </c>
      <c r="AH51" s="67">
        <f>Integrated[[#This Row],[Flu Deaths 25 to 34 years]]/Integrated[[#This Row],[Population 25 to 34 years]]</f>
        <v>4.3453700082562031E-4</v>
      </c>
      <c r="AI51" s="67">
        <f>Integrated[[#This Row],[Flu Deaths 35 to 44 years]]/Integrated[[#This Row],[Population 35 to 44 years]]</f>
        <v>4.7668607838308082E-4</v>
      </c>
      <c r="AJ51" s="67">
        <f>Integrated[[#This Row],[Flu Deaths 45 to 54 years]]/Integrated[[#This Row],[Population 45 to 54 years]]</f>
        <v>3.9315388042879983E-4</v>
      </c>
      <c r="AK51" s="67">
        <f>Integrated[[#This Row],[Flu Deaths 55 to 64 years]]/Integrated[[#This Row],[Population 55 to 64 years]]</f>
        <v>4.217985490129914E-4</v>
      </c>
      <c r="AL51" s="67">
        <f>Integrated[[#This Row],[Flu Deaths 65 to 74 years]]/Integrated[[#This Row],[Population 65 to 74 years]]</f>
        <v>6.7497637582684608E-4</v>
      </c>
      <c r="AM51" s="67">
        <f>Integrated[[#This Row],[Flu Deaths 75 to 84 years]]/Integrated[[#This Row],[Population 75 to 84 years]]</f>
        <v>1.2562814070351759E-3</v>
      </c>
      <c r="AN51" s="67">
        <f>Integrated[[#This Row],[Flu Deaths 85+ years]]/Integrated[[#This Row],[Population 85+ years]]</f>
        <v>2.453266991465395E-3</v>
      </c>
      <c r="AO51" s="68">
        <f>Integrated[[#This Row],[Total Flu Deaths]]/Integrated[[#This Row],[Total population]]</f>
        <v>6.9322545190049034E-4</v>
      </c>
    </row>
    <row r="52" spans="1:41" x14ac:dyDescent="0.3">
      <c r="A52" s="44" t="s">
        <v>47</v>
      </c>
      <c r="B52" t="s">
        <v>40</v>
      </c>
      <c r="C52" s="45">
        <v>2011</v>
      </c>
      <c r="D52" s="51">
        <v>532428</v>
      </c>
      <c r="E52" s="2">
        <v>271072</v>
      </c>
      <c r="F52" s="2">
        <v>261356</v>
      </c>
      <c r="G52" s="78">
        <f>Integrated[[#This Row],[Female Total population]]/Integrated[[#This Row],[Total population]]</f>
        <v>0.49087576160532503</v>
      </c>
      <c r="H52" s="2">
        <v>38158</v>
      </c>
      <c r="I52" s="2">
        <v>70835</v>
      </c>
      <c r="J52" s="2">
        <v>77160</v>
      </c>
      <c r="K52" s="2">
        <v>71731</v>
      </c>
      <c r="L52" s="2">
        <v>63799</v>
      </c>
      <c r="M52" s="2">
        <v>79454</v>
      </c>
      <c r="N52" s="2">
        <v>67096</v>
      </c>
      <c r="O52" s="2">
        <v>36131</v>
      </c>
      <c r="P52" s="2">
        <v>20806</v>
      </c>
      <c r="Q52" s="52">
        <v>7875</v>
      </c>
      <c r="R52" s="127">
        <f>Integrated[[#This Row],[Population 85+ years]]/Integrated[[#This Row],[Total population]]</f>
        <v>1.4790732268024973E-2</v>
      </c>
      <c r="S52" s="58">
        <v>120</v>
      </c>
      <c r="T52" s="59">
        <v>60</v>
      </c>
      <c r="U52" s="59">
        <v>60</v>
      </c>
      <c r="V52" s="59">
        <v>60</v>
      </c>
      <c r="W52" s="59">
        <v>60</v>
      </c>
      <c r="X52" s="59">
        <v>60</v>
      </c>
      <c r="Y52" s="59">
        <v>60</v>
      </c>
      <c r="Z52" s="59">
        <v>60</v>
      </c>
      <c r="AA52" s="59">
        <v>60</v>
      </c>
      <c r="AB52" s="59">
        <v>72</v>
      </c>
      <c r="AC52" s="59">
        <f>VLOOKUP($A52,'[1]Flu Deaths Updated'!$A$2:$N$460,14,FALSE)</f>
        <v>60</v>
      </c>
      <c r="AD52" s="60">
        <f t="shared" si="0"/>
        <v>732</v>
      </c>
      <c r="AE52" s="66">
        <f>Integrated[[#This Row],[Flu Deaths &lt;5 years old]]/Integrated[[#This Row],[Population &lt;5 years]]</f>
        <v>3.144818910844384E-3</v>
      </c>
      <c r="AF52" s="67">
        <f>Integrated[[#This Row],[Flu Deaths 5 to 14 years]]/Integrated[[#This Row],[Population 5 to 14 years]]</f>
        <v>8.4703889320251287E-4</v>
      </c>
      <c r="AG52" s="67">
        <f>Integrated[[#This Row],[Flu Deaths 15 to 24 years]]/Integrated[[#This Row],[Population 15 to 24 years]]</f>
        <v>7.776049766718507E-4</v>
      </c>
      <c r="AH52" s="67">
        <f>Integrated[[#This Row],[Flu Deaths 25 to 34 years]]/Integrated[[#This Row],[Population 25 to 34 years]]</f>
        <v>8.3645843498626814E-4</v>
      </c>
      <c r="AI52" s="67">
        <f>Integrated[[#This Row],[Flu Deaths 35 to 44 years]]/Integrated[[#This Row],[Population 35 to 44 years]]</f>
        <v>9.4045361212558194E-4</v>
      </c>
      <c r="AJ52" s="67">
        <f>Integrated[[#This Row],[Flu Deaths 45 to 54 years]]/Integrated[[#This Row],[Population 45 to 54 years]]</f>
        <v>7.5515392554182292E-4</v>
      </c>
      <c r="AK52" s="67">
        <f>Integrated[[#This Row],[Flu Deaths 55 to 64 years]]/Integrated[[#This Row],[Population 55 to 64 years]]</f>
        <v>8.9424108739716225E-4</v>
      </c>
      <c r="AL52" s="67">
        <f>Integrated[[#This Row],[Flu Deaths 65 to 74 years]]/Integrated[[#This Row],[Population 65 to 74 years]]</f>
        <v>1.6606238410229444E-3</v>
      </c>
      <c r="AM52" s="67">
        <f>Integrated[[#This Row],[Flu Deaths 75 to 84 years]]/Integrated[[#This Row],[Population 75 to 84 years]]</f>
        <v>2.8837835239834664E-3</v>
      </c>
      <c r="AN52" s="67">
        <f>Integrated[[#This Row],[Flu Deaths 85+ years]]/Integrated[[#This Row],[Population 85+ years]]</f>
        <v>9.1428571428571435E-3</v>
      </c>
      <c r="AO52" s="68">
        <f>Integrated[[#This Row],[Total Flu Deaths]]/Integrated[[#This Row],[Total population]]</f>
        <v>1.3748337803421308E-3</v>
      </c>
    </row>
    <row r="53" spans="1:41" x14ac:dyDescent="0.3">
      <c r="A53" s="44" t="s">
        <v>51</v>
      </c>
      <c r="B53" t="s">
        <v>40</v>
      </c>
      <c r="C53" s="45">
        <v>2017</v>
      </c>
      <c r="D53" s="51">
        <v>542494</v>
      </c>
      <c r="E53" s="2">
        <v>276381</v>
      </c>
      <c r="F53" s="2">
        <v>266113</v>
      </c>
      <c r="G53" s="78">
        <f>Integrated[[#This Row],[Female Total population]]/Integrated[[#This Row],[Total population]]</f>
        <v>0.4905363008623137</v>
      </c>
      <c r="H53" s="2">
        <v>34581</v>
      </c>
      <c r="I53" s="2">
        <v>72392</v>
      </c>
      <c r="J53" s="2">
        <v>74864</v>
      </c>
      <c r="K53" s="2">
        <v>76914</v>
      </c>
      <c r="L53" s="2">
        <v>65749</v>
      </c>
      <c r="M53" s="2">
        <v>66166</v>
      </c>
      <c r="N53" s="2">
        <v>74913</v>
      </c>
      <c r="O53" s="2">
        <v>45851</v>
      </c>
      <c r="P53" s="2">
        <v>22010</v>
      </c>
      <c r="Q53" s="52">
        <v>9074</v>
      </c>
      <c r="R53" s="127">
        <f>Integrated[[#This Row],[Population 85+ years]]/Integrated[[#This Row],[Total population]]</f>
        <v>1.6726452274126533E-2</v>
      </c>
      <c r="S53" s="58">
        <v>120</v>
      </c>
      <c r="T53" s="59">
        <v>60</v>
      </c>
      <c r="U53" s="59">
        <v>60</v>
      </c>
      <c r="V53" s="59">
        <v>60</v>
      </c>
      <c r="W53" s="59">
        <v>60</v>
      </c>
      <c r="X53" s="59">
        <v>60</v>
      </c>
      <c r="Y53" s="59">
        <v>60</v>
      </c>
      <c r="Z53" s="59">
        <v>60</v>
      </c>
      <c r="AA53" s="59">
        <v>60</v>
      </c>
      <c r="AB53" s="59">
        <v>72</v>
      </c>
      <c r="AC53" s="59">
        <f>VLOOKUP($A53,'[1]Flu Deaths Updated'!$A$2:$N$460,14,FALSE)</f>
        <v>60</v>
      </c>
      <c r="AD53" s="60">
        <f t="shared" si="0"/>
        <v>732</v>
      </c>
      <c r="AE53" s="66">
        <f>Integrated[[#This Row],[Flu Deaths &lt;5 years old]]/Integrated[[#This Row],[Population &lt;5 years]]</f>
        <v>3.4701136462219136E-3</v>
      </c>
      <c r="AF53" s="67">
        <f>Integrated[[#This Row],[Flu Deaths 5 to 14 years]]/Integrated[[#This Row],[Population 5 to 14 years]]</f>
        <v>8.2882086418388772E-4</v>
      </c>
      <c r="AG53" s="67">
        <f>Integrated[[#This Row],[Flu Deaths 15 to 24 years]]/Integrated[[#This Row],[Population 15 to 24 years]]</f>
        <v>8.0145330198760423E-4</v>
      </c>
      <c r="AH53" s="67">
        <f>Integrated[[#This Row],[Flu Deaths 25 to 34 years]]/Integrated[[#This Row],[Population 25 to 34 years]]</f>
        <v>7.800920508620017E-4</v>
      </c>
      <c r="AI53" s="67">
        <f>Integrated[[#This Row],[Flu Deaths 35 to 44 years]]/Integrated[[#This Row],[Population 35 to 44 years]]</f>
        <v>9.1256140777806511E-4</v>
      </c>
      <c r="AJ53" s="67">
        <f>Integrated[[#This Row],[Flu Deaths 45 to 54 years]]/Integrated[[#This Row],[Population 45 to 54 years]]</f>
        <v>9.0681014418281291E-4</v>
      </c>
      <c r="AK53" s="67">
        <f>Integrated[[#This Row],[Flu Deaths 55 to 64 years]]/Integrated[[#This Row],[Population 55 to 64 years]]</f>
        <v>8.0092907773016695E-4</v>
      </c>
      <c r="AL53" s="67">
        <f>Integrated[[#This Row],[Flu Deaths 65 to 74 years]]/Integrated[[#This Row],[Population 65 to 74 years]]</f>
        <v>1.3085865084730976E-3</v>
      </c>
      <c r="AM53" s="67">
        <f>Integrated[[#This Row],[Flu Deaths 75 to 84 years]]/Integrated[[#This Row],[Population 75 to 84 years]]</f>
        <v>2.7260336210813267E-3</v>
      </c>
      <c r="AN53" s="67">
        <f>Integrated[[#This Row],[Flu Deaths 85+ years]]/Integrated[[#This Row],[Population 85+ years]]</f>
        <v>7.9347586510910301E-3</v>
      </c>
      <c r="AO53" s="68">
        <f>Integrated[[#This Row],[Total Flu Deaths]]/Integrated[[#This Row],[Total population]]</f>
        <v>1.3493236791558985E-3</v>
      </c>
    </row>
    <row r="54" spans="1:41" x14ac:dyDescent="0.3">
      <c r="A54" s="44" t="s">
        <v>72</v>
      </c>
      <c r="B54" t="s">
        <v>55</v>
      </c>
      <c r="C54" s="45">
        <v>2013</v>
      </c>
      <c r="D54" s="51">
        <v>636807</v>
      </c>
      <c r="E54" s="2">
        <v>322610</v>
      </c>
      <c r="F54" s="2">
        <v>314202</v>
      </c>
      <c r="G54" s="78">
        <f>Integrated[[#This Row],[Female Total population]]/Integrated[[#This Row],[Total population]]</f>
        <v>0.49340223961105956</v>
      </c>
      <c r="H54" s="2">
        <v>41926</v>
      </c>
      <c r="I54" s="2">
        <v>77211</v>
      </c>
      <c r="J54" s="2">
        <v>104773</v>
      </c>
      <c r="K54" s="2">
        <v>87956</v>
      </c>
      <c r="L54" s="2">
        <v>71249</v>
      </c>
      <c r="M54" s="2">
        <v>86568</v>
      </c>
      <c r="N54" s="2">
        <v>78012</v>
      </c>
      <c r="O54" s="2">
        <v>44483</v>
      </c>
      <c r="P54" s="2">
        <v>30518</v>
      </c>
      <c r="Q54" s="52">
        <v>14678</v>
      </c>
      <c r="R54" s="127">
        <f>Integrated[[#This Row],[Population 85+ years]]/Integrated[[#This Row],[Total population]]</f>
        <v>2.3049369746249649E-2</v>
      </c>
      <c r="S54" s="58">
        <v>120</v>
      </c>
      <c r="T54" s="59">
        <v>60</v>
      </c>
      <c r="U54" s="59">
        <v>60</v>
      </c>
      <c r="V54" s="59">
        <v>60</v>
      </c>
      <c r="W54" s="59">
        <v>60</v>
      </c>
      <c r="X54" s="59">
        <v>60</v>
      </c>
      <c r="Y54" s="59">
        <v>60</v>
      </c>
      <c r="Z54" s="59">
        <v>60</v>
      </c>
      <c r="AA54" s="59">
        <v>60</v>
      </c>
      <c r="AB54" s="59">
        <v>75</v>
      </c>
      <c r="AC54" s="59">
        <f>VLOOKUP($A54,'[1]Flu Deaths Updated'!$A$2:$N$460,14,FALSE)</f>
        <v>60</v>
      </c>
      <c r="AD54" s="60">
        <f t="shared" si="0"/>
        <v>735</v>
      </c>
      <c r="AE54" s="66">
        <f>Integrated[[#This Row],[Flu Deaths &lt;5 years old]]/Integrated[[#This Row],[Population &lt;5 years]]</f>
        <v>2.862185755855555E-3</v>
      </c>
      <c r="AF54" s="67">
        <f>Integrated[[#This Row],[Flu Deaths 5 to 14 years]]/Integrated[[#This Row],[Population 5 to 14 years]]</f>
        <v>7.7709134708785015E-4</v>
      </c>
      <c r="AG54" s="67">
        <f>Integrated[[#This Row],[Flu Deaths 15 to 24 years]]/Integrated[[#This Row],[Population 15 to 24 years]]</f>
        <v>5.7266662212592944E-4</v>
      </c>
      <c r="AH54" s="67">
        <f>Integrated[[#This Row],[Flu Deaths 25 to 34 years]]/Integrated[[#This Row],[Population 25 to 34 years]]</f>
        <v>6.8215926144890625E-4</v>
      </c>
      <c r="AI54" s="67">
        <f>Integrated[[#This Row],[Flu Deaths 35 to 44 years]]/Integrated[[#This Row],[Population 35 to 44 years]]</f>
        <v>8.4211708234501533E-4</v>
      </c>
      <c r="AJ54" s="67">
        <f>Integrated[[#This Row],[Flu Deaths 45 to 54 years]]/Integrated[[#This Row],[Population 45 to 54 years]]</f>
        <v>6.9309675630718044E-4</v>
      </c>
      <c r="AK54" s="67">
        <f>Integrated[[#This Row],[Flu Deaths 55 to 64 years]]/Integrated[[#This Row],[Population 55 to 64 years]]</f>
        <v>7.6911244423934775E-4</v>
      </c>
      <c r="AL54" s="67">
        <f>Integrated[[#This Row],[Flu Deaths 65 to 74 years]]/Integrated[[#This Row],[Population 65 to 74 years]]</f>
        <v>1.3488298900703639E-3</v>
      </c>
      <c r="AM54" s="67">
        <f>Integrated[[#This Row],[Flu Deaths 75 to 84 years]]/Integrated[[#This Row],[Population 75 to 84 years]]</f>
        <v>1.9660528212857987E-3</v>
      </c>
      <c r="AN54" s="67">
        <f>Integrated[[#This Row],[Flu Deaths 85+ years]]/Integrated[[#This Row],[Population 85+ years]]</f>
        <v>5.1096879683880641E-3</v>
      </c>
      <c r="AO54" s="68">
        <f>Integrated[[#This Row],[Total Flu Deaths]]/Integrated[[#This Row],[Total population]]</f>
        <v>1.1541958552591287E-3</v>
      </c>
    </row>
    <row r="55" spans="1:41" x14ac:dyDescent="0.3">
      <c r="A55" s="44" t="s">
        <v>100</v>
      </c>
      <c r="B55" t="s">
        <v>49</v>
      </c>
      <c r="C55" s="45">
        <v>2009</v>
      </c>
      <c r="D55" s="51">
        <v>786961</v>
      </c>
      <c r="E55" s="2">
        <v>392549</v>
      </c>
      <c r="F55" s="2">
        <v>394412</v>
      </c>
      <c r="G55" s="78">
        <f>Integrated[[#This Row],[Female Total population]]/Integrated[[#This Row],[Total population]]</f>
        <v>0.50118366729736286</v>
      </c>
      <c r="H55" s="2">
        <v>55558</v>
      </c>
      <c r="I55" s="2">
        <v>104262</v>
      </c>
      <c r="J55" s="2">
        <v>119562</v>
      </c>
      <c r="K55" s="2">
        <v>97017</v>
      </c>
      <c r="L55" s="2">
        <v>96850</v>
      </c>
      <c r="M55" s="2">
        <v>114803</v>
      </c>
      <c r="N55" s="2">
        <v>86613</v>
      </c>
      <c r="O55" s="2">
        <v>53490</v>
      </c>
      <c r="P55" s="2">
        <v>41005</v>
      </c>
      <c r="Q55" s="52">
        <v>18564</v>
      </c>
      <c r="R55" s="127">
        <f>Integrated[[#This Row],[Population 85+ years]]/Integrated[[#This Row],[Total population]]</f>
        <v>2.3589479021196732E-2</v>
      </c>
      <c r="S55" s="58">
        <v>120</v>
      </c>
      <c r="T55" s="59">
        <v>60</v>
      </c>
      <c r="U55" s="59">
        <v>60</v>
      </c>
      <c r="V55" s="59">
        <v>60</v>
      </c>
      <c r="W55" s="59">
        <v>60</v>
      </c>
      <c r="X55" s="59">
        <v>60</v>
      </c>
      <c r="Y55" s="59">
        <v>60</v>
      </c>
      <c r="Z55" s="59">
        <v>60</v>
      </c>
      <c r="AA55" s="59">
        <v>60</v>
      </c>
      <c r="AB55" s="59">
        <v>75</v>
      </c>
      <c r="AC55" s="59">
        <f>VLOOKUP($A55,'[1]Flu Deaths Updated'!$A$2:$N$460,14,FALSE)</f>
        <v>60</v>
      </c>
      <c r="AD55" s="60">
        <f t="shared" si="0"/>
        <v>735</v>
      </c>
      <c r="AE55" s="66">
        <f>Integrated[[#This Row],[Flu Deaths &lt;5 years old]]/Integrated[[#This Row],[Population &lt;5 years]]</f>
        <v>2.159904964181576E-3</v>
      </c>
      <c r="AF55" s="67">
        <f>Integrated[[#This Row],[Flu Deaths 5 to 14 years]]/Integrated[[#This Row],[Population 5 to 14 years]]</f>
        <v>5.7547332681130226E-4</v>
      </c>
      <c r="AG55" s="67">
        <f>Integrated[[#This Row],[Flu Deaths 15 to 24 years]]/Integrated[[#This Row],[Population 15 to 24 years]]</f>
        <v>5.0183168565263211E-4</v>
      </c>
      <c r="AH55" s="67">
        <f>Integrated[[#This Row],[Flu Deaths 25 to 34 years]]/Integrated[[#This Row],[Population 25 to 34 years]]</f>
        <v>6.1844831318222577E-4</v>
      </c>
      <c r="AI55" s="67">
        <f>Integrated[[#This Row],[Flu Deaths 35 to 44 years]]/Integrated[[#This Row],[Population 35 to 44 years]]</f>
        <v>6.1951471347444504E-4</v>
      </c>
      <c r="AJ55" s="67">
        <f>Integrated[[#This Row],[Flu Deaths 45 to 54 years]]/Integrated[[#This Row],[Population 45 to 54 years]]</f>
        <v>5.2263442592963597E-4</v>
      </c>
      <c r="AK55" s="67">
        <f>Integrated[[#This Row],[Flu Deaths 55 to 64 years]]/Integrated[[#This Row],[Population 55 to 64 years]]</f>
        <v>6.9273665616016071E-4</v>
      </c>
      <c r="AL55" s="67">
        <f>Integrated[[#This Row],[Flu Deaths 65 to 74 years]]/Integrated[[#This Row],[Population 65 to 74 years]]</f>
        <v>1.1217049915872126E-3</v>
      </c>
      <c r="AM55" s="67">
        <f>Integrated[[#This Row],[Flu Deaths 75 to 84 years]]/Integrated[[#This Row],[Population 75 to 84 years]]</f>
        <v>1.4632361907084503E-3</v>
      </c>
      <c r="AN55" s="67">
        <f>Integrated[[#This Row],[Flu Deaths 85+ years]]/Integrated[[#This Row],[Population 85+ years]]</f>
        <v>4.0400775694893346E-3</v>
      </c>
      <c r="AO55" s="68">
        <f>Integrated[[#This Row],[Total Flu Deaths]]/Integrated[[#This Row],[Total population]]</f>
        <v>9.3397258568086604E-4</v>
      </c>
    </row>
    <row r="56" spans="1:41" x14ac:dyDescent="0.3">
      <c r="A56" s="44" t="s">
        <v>69</v>
      </c>
      <c r="B56" t="s">
        <v>43</v>
      </c>
      <c r="C56" s="45">
        <v>2015</v>
      </c>
      <c r="D56" s="51">
        <v>620738</v>
      </c>
      <c r="E56" s="2">
        <v>306015</v>
      </c>
      <c r="F56" s="2">
        <v>314724</v>
      </c>
      <c r="G56" s="78">
        <f>Integrated[[#This Row],[Female Total population]]/Integrated[[#This Row],[Total population]]</f>
        <v>0.50701584243271713</v>
      </c>
      <c r="H56" s="2">
        <v>30748</v>
      </c>
      <c r="I56" s="2">
        <v>70336</v>
      </c>
      <c r="J56" s="2">
        <v>90404</v>
      </c>
      <c r="K56" s="2">
        <v>71110</v>
      </c>
      <c r="L56" s="2">
        <v>73730</v>
      </c>
      <c r="M56" s="2">
        <v>93156</v>
      </c>
      <c r="N56" s="2">
        <v>92097</v>
      </c>
      <c r="O56" s="2">
        <v>57194</v>
      </c>
      <c r="P56" s="2">
        <v>29233</v>
      </c>
      <c r="Q56" s="52">
        <v>12843</v>
      </c>
      <c r="R56" s="127">
        <f>Integrated[[#This Row],[Population 85+ years]]/Integrated[[#This Row],[Total population]]</f>
        <v>2.0689888487574467E-2</v>
      </c>
      <c r="S56" s="58">
        <v>120</v>
      </c>
      <c r="T56" s="59">
        <v>60</v>
      </c>
      <c r="U56" s="59">
        <v>60</v>
      </c>
      <c r="V56" s="59">
        <v>60</v>
      </c>
      <c r="W56" s="59">
        <v>60</v>
      </c>
      <c r="X56" s="59">
        <v>60</v>
      </c>
      <c r="Y56" s="59">
        <v>60</v>
      </c>
      <c r="Z56" s="59">
        <v>60</v>
      </c>
      <c r="AA56" s="59">
        <v>60</v>
      </c>
      <c r="AB56" s="59">
        <v>75</v>
      </c>
      <c r="AC56" s="59">
        <f>VLOOKUP($A56,'[1]Flu Deaths Updated'!$A$2:$N$460,14,FALSE)</f>
        <v>60</v>
      </c>
      <c r="AD56" s="60">
        <f t="shared" si="0"/>
        <v>735</v>
      </c>
      <c r="AE56" s="66">
        <f>Integrated[[#This Row],[Flu Deaths &lt;5 years old]]/Integrated[[#This Row],[Population &lt;5 years]]</f>
        <v>3.9026928580720697E-3</v>
      </c>
      <c r="AF56" s="67">
        <f>Integrated[[#This Row],[Flu Deaths 5 to 14 years]]/Integrated[[#This Row],[Population 5 to 14 years]]</f>
        <v>8.5304822565969061E-4</v>
      </c>
      <c r="AG56" s="67">
        <f>Integrated[[#This Row],[Flu Deaths 15 to 24 years]]/Integrated[[#This Row],[Population 15 to 24 years]]</f>
        <v>6.6368744745807704E-4</v>
      </c>
      <c r="AH56" s="67">
        <f>Integrated[[#This Row],[Flu Deaths 25 to 34 years]]/Integrated[[#This Row],[Population 25 to 34 years]]</f>
        <v>8.4376318379974688E-4</v>
      </c>
      <c r="AI56" s="67">
        <f>Integrated[[#This Row],[Flu Deaths 35 to 44 years]]/Integrated[[#This Row],[Population 35 to 44 years]]</f>
        <v>8.1378000813780006E-4</v>
      </c>
      <c r="AJ56" s="67">
        <f>Integrated[[#This Row],[Flu Deaths 45 to 54 years]]/Integrated[[#This Row],[Population 45 to 54 years]]</f>
        <v>6.4408089656060798E-4</v>
      </c>
      <c r="AK56" s="67">
        <f>Integrated[[#This Row],[Flu Deaths 55 to 64 years]]/Integrated[[#This Row],[Population 55 to 64 years]]</f>
        <v>6.5148701912114398E-4</v>
      </c>
      <c r="AL56" s="67">
        <f>Integrated[[#This Row],[Flu Deaths 65 to 74 years]]/Integrated[[#This Row],[Population 65 to 74 years]]</f>
        <v>1.0490610903241598E-3</v>
      </c>
      <c r="AM56" s="67">
        <f>Integrated[[#This Row],[Flu Deaths 75 to 84 years]]/Integrated[[#This Row],[Population 75 to 84 years]]</f>
        <v>2.0524749427017412E-3</v>
      </c>
      <c r="AN56" s="67">
        <f>Integrated[[#This Row],[Flu Deaths 85+ years]]/Integrated[[#This Row],[Population 85+ years]]</f>
        <v>5.8397570661060496E-3</v>
      </c>
      <c r="AO56" s="68">
        <f>Integrated[[#This Row],[Total Flu Deaths]]/Integrated[[#This Row],[Total population]]</f>
        <v>1.1840744404241403E-3</v>
      </c>
    </row>
    <row r="57" spans="1:41" x14ac:dyDescent="0.3">
      <c r="A57" s="44" t="s">
        <v>130</v>
      </c>
      <c r="B57" t="s">
        <v>118</v>
      </c>
      <c r="C57" s="45">
        <v>2012</v>
      </c>
      <c r="D57" s="51">
        <v>1052471</v>
      </c>
      <c r="E57" s="2">
        <v>508521</v>
      </c>
      <c r="F57" s="2">
        <v>543950</v>
      </c>
      <c r="G57" s="78">
        <f>Integrated[[#This Row],[Female Total population]]/Integrated[[#This Row],[Total population]]</f>
        <v>0.51683134262131691</v>
      </c>
      <c r="H57" s="2">
        <v>56624</v>
      </c>
      <c r="I57" s="2">
        <v>124770</v>
      </c>
      <c r="J57" s="2">
        <v>161413</v>
      </c>
      <c r="K57" s="2">
        <v>128134</v>
      </c>
      <c r="L57" s="2">
        <v>137117</v>
      </c>
      <c r="M57" s="2">
        <v>160133</v>
      </c>
      <c r="N57" s="2">
        <v>130748</v>
      </c>
      <c r="O57" s="2">
        <v>75069</v>
      </c>
      <c r="P57" s="2">
        <v>51459</v>
      </c>
      <c r="Q57" s="52">
        <v>26119</v>
      </c>
      <c r="R57" s="127">
        <f>Integrated[[#This Row],[Population 85+ years]]/Integrated[[#This Row],[Total population]]</f>
        <v>2.4816835808302556E-2</v>
      </c>
      <c r="S57" s="58">
        <v>120</v>
      </c>
      <c r="T57" s="59">
        <v>60</v>
      </c>
      <c r="U57" s="59">
        <v>60</v>
      </c>
      <c r="V57" s="59">
        <v>60</v>
      </c>
      <c r="W57" s="59">
        <v>60</v>
      </c>
      <c r="X57" s="59">
        <v>60</v>
      </c>
      <c r="Y57" s="59">
        <v>60</v>
      </c>
      <c r="Z57" s="59">
        <v>60</v>
      </c>
      <c r="AA57" s="59">
        <v>60</v>
      </c>
      <c r="AB57" s="59">
        <v>76</v>
      </c>
      <c r="AC57" s="59">
        <f>VLOOKUP($A57,'[1]Flu Deaths Updated'!$A$2:$N$460,14,FALSE)</f>
        <v>60</v>
      </c>
      <c r="AD57" s="60">
        <f t="shared" si="0"/>
        <v>736</v>
      </c>
      <c r="AE57" s="66">
        <f>Integrated[[#This Row],[Flu Deaths &lt;5 years old]]/Integrated[[#This Row],[Population &lt;5 years]]</f>
        <v>2.1192427239333147E-3</v>
      </c>
      <c r="AF57" s="67">
        <f>Integrated[[#This Row],[Flu Deaths 5 to 14 years]]/Integrated[[#This Row],[Population 5 to 14 years]]</f>
        <v>4.8088482808367395E-4</v>
      </c>
      <c r="AG57" s="67">
        <f>Integrated[[#This Row],[Flu Deaths 15 to 24 years]]/Integrated[[#This Row],[Population 15 to 24 years]]</f>
        <v>3.7171727184303618E-4</v>
      </c>
      <c r="AH57" s="67">
        <f>Integrated[[#This Row],[Flu Deaths 25 to 34 years]]/Integrated[[#This Row],[Population 25 to 34 years]]</f>
        <v>4.6825979053178706E-4</v>
      </c>
      <c r="AI57" s="67">
        <f>Integrated[[#This Row],[Flu Deaths 35 to 44 years]]/Integrated[[#This Row],[Population 35 to 44 years]]</f>
        <v>4.3758250253433202E-4</v>
      </c>
      <c r="AJ57" s="67">
        <f>Integrated[[#This Row],[Flu Deaths 45 to 54 years]]/Integrated[[#This Row],[Population 45 to 54 years]]</f>
        <v>3.7468854015099948E-4</v>
      </c>
      <c r="AK57" s="67">
        <f>Integrated[[#This Row],[Flu Deaths 55 to 64 years]]/Integrated[[#This Row],[Population 55 to 64 years]]</f>
        <v>4.5889803285709916E-4</v>
      </c>
      <c r="AL57" s="67">
        <f>Integrated[[#This Row],[Flu Deaths 65 to 74 years]]/Integrated[[#This Row],[Population 65 to 74 years]]</f>
        <v>7.9926467649762219E-4</v>
      </c>
      <c r="AM57" s="67">
        <f>Integrated[[#This Row],[Flu Deaths 75 to 84 years]]/Integrated[[#This Row],[Population 75 to 84 years]]</f>
        <v>1.1659767970617384E-3</v>
      </c>
      <c r="AN57" s="67">
        <f>Integrated[[#This Row],[Flu Deaths 85+ years]]/Integrated[[#This Row],[Population 85+ years]]</f>
        <v>2.9097591791416209E-3</v>
      </c>
      <c r="AO57" s="68">
        <f>Integrated[[#This Row],[Total Flu Deaths]]/Integrated[[#This Row],[Total population]]</f>
        <v>6.9930667923391717E-4</v>
      </c>
    </row>
    <row r="58" spans="1:41" x14ac:dyDescent="0.3">
      <c r="A58" s="44" t="s">
        <v>115</v>
      </c>
      <c r="B58" t="s">
        <v>99</v>
      </c>
      <c r="C58" s="45">
        <v>2009</v>
      </c>
      <c r="D58" s="51">
        <v>937916</v>
      </c>
      <c r="E58" s="2">
        <v>468185</v>
      </c>
      <c r="F58" s="2">
        <v>469732</v>
      </c>
      <c r="G58" s="78">
        <f>Integrated[[#This Row],[Female Total population]]/Integrated[[#This Row],[Total population]]</f>
        <v>0.50082523381624788</v>
      </c>
      <c r="H58" s="2">
        <v>58489</v>
      </c>
      <c r="I58" s="2">
        <v>116709</v>
      </c>
      <c r="J58" s="2">
        <v>142944</v>
      </c>
      <c r="K58" s="2">
        <v>110993</v>
      </c>
      <c r="L58" s="2">
        <v>114985</v>
      </c>
      <c r="M58" s="2">
        <v>146385</v>
      </c>
      <c r="N58" s="2">
        <v>116563</v>
      </c>
      <c r="O58" s="2">
        <v>68039</v>
      </c>
      <c r="P58" s="2">
        <v>45980</v>
      </c>
      <c r="Q58" s="52">
        <v>17813</v>
      </c>
      <c r="R58" s="127">
        <f>Integrated[[#This Row],[Population 85+ years]]/Integrated[[#This Row],[Total population]]</f>
        <v>1.8992105902874031E-2</v>
      </c>
      <c r="S58" s="58">
        <v>120</v>
      </c>
      <c r="T58" s="59">
        <v>60</v>
      </c>
      <c r="U58" s="59">
        <v>60</v>
      </c>
      <c r="V58" s="59">
        <v>60</v>
      </c>
      <c r="W58" s="59">
        <v>60</v>
      </c>
      <c r="X58" s="59">
        <v>60</v>
      </c>
      <c r="Y58" s="59">
        <v>60</v>
      </c>
      <c r="Z58" s="59">
        <v>60</v>
      </c>
      <c r="AA58" s="59">
        <v>60</v>
      </c>
      <c r="AB58" s="59">
        <v>77</v>
      </c>
      <c r="AC58" s="59">
        <f>VLOOKUP($A58,'[1]Flu Deaths Updated'!$A$2:$N$460,14,FALSE)</f>
        <v>60</v>
      </c>
      <c r="AD58" s="60">
        <f t="shared" si="0"/>
        <v>737</v>
      </c>
      <c r="AE58" s="66">
        <f>Integrated[[#This Row],[Flu Deaths &lt;5 years old]]/Integrated[[#This Row],[Population &lt;5 years]]</f>
        <v>2.0516678349775173E-3</v>
      </c>
      <c r="AF58" s="67">
        <f>Integrated[[#This Row],[Flu Deaths 5 to 14 years]]/Integrated[[#This Row],[Population 5 to 14 years]]</f>
        <v>5.1409916972984093E-4</v>
      </c>
      <c r="AG58" s="67">
        <f>Integrated[[#This Row],[Flu Deaths 15 to 24 years]]/Integrated[[#This Row],[Population 15 to 24 years]]</f>
        <v>4.1974479516453995E-4</v>
      </c>
      <c r="AH58" s="67">
        <f>Integrated[[#This Row],[Flu Deaths 25 to 34 years]]/Integrated[[#This Row],[Population 25 to 34 years]]</f>
        <v>5.4057463083257502E-4</v>
      </c>
      <c r="AI58" s="67">
        <f>Integrated[[#This Row],[Flu Deaths 35 to 44 years]]/Integrated[[#This Row],[Population 35 to 44 years]]</f>
        <v>5.2180719224246641E-4</v>
      </c>
      <c r="AJ58" s="67">
        <f>Integrated[[#This Row],[Flu Deaths 45 to 54 years]]/Integrated[[#This Row],[Population 45 to 54 years]]</f>
        <v>4.0987806127677014E-4</v>
      </c>
      <c r="AK58" s="67">
        <f>Integrated[[#This Row],[Flu Deaths 55 to 64 years]]/Integrated[[#This Row],[Population 55 to 64 years]]</f>
        <v>5.1474310029769313E-4</v>
      </c>
      <c r="AL58" s="67">
        <f>Integrated[[#This Row],[Flu Deaths 65 to 74 years]]/Integrated[[#This Row],[Population 65 to 74 years]]</f>
        <v>8.8184717588441928E-4</v>
      </c>
      <c r="AM58" s="67">
        <f>Integrated[[#This Row],[Flu Deaths 75 to 84 years]]/Integrated[[#This Row],[Population 75 to 84 years]]</f>
        <v>1.3049151805132667E-3</v>
      </c>
      <c r="AN58" s="67">
        <f>Integrated[[#This Row],[Flu Deaths 85+ years]]/Integrated[[#This Row],[Population 85+ years]]</f>
        <v>4.3226856789984839E-3</v>
      </c>
      <c r="AO58" s="68">
        <f>Integrated[[#This Row],[Total Flu Deaths]]/Integrated[[#This Row],[Total population]]</f>
        <v>7.8578465448931462E-4</v>
      </c>
    </row>
    <row r="59" spans="1:41" x14ac:dyDescent="0.3">
      <c r="A59" s="44" t="s">
        <v>111</v>
      </c>
      <c r="B59" t="s">
        <v>99</v>
      </c>
      <c r="C59" s="45">
        <v>2011</v>
      </c>
      <c r="D59" s="51">
        <v>921227</v>
      </c>
      <c r="E59" s="2">
        <v>461425</v>
      </c>
      <c r="F59" s="2">
        <v>459804</v>
      </c>
      <c r="G59" s="78">
        <f>Integrated[[#This Row],[Female Total population]]/Integrated[[#This Row],[Total population]]</f>
        <v>0.49912128063984229</v>
      </c>
      <c r="H59" s="2">
        <v>56769</v>
      </c>
      <c r="I59" s="2">
        <v>114201</v>
      </c>
      <c r="J59" s="2">
        <v>128648</v>
      </c>
      <c r="K59" s="2">
        <v>114884</v>
      </c>
      <c r="L59" s="2">
        <v>108739</v>
      </c>
      <c r="M59" s="2">
        <v>139852</v>
      </c>
      <c r="N59" s="2">
        <v>124548</v>
      </c>
      <c r="O59" s="2">
        <v>72220</v>
      </c>
      <c r="P59" s="2">
        <v>43661</v>
      </c>
      <c r="Q59" s="52">
        <v>17838</v>
      </c>
      <c r="R59" s="127">
        <f>Integrated[[#This Row],[Population 85+ years]]/Integrated[[#This Row],[Total population]]</f>
        <v>1.9363305678187896E-2</v>
      </c>
      <c r="S59" s="58">
        <v>120</v>
      </c>
      <c r="T59" s="59">
        <v>60</v>
      </c>
      <c r="U59" s="59">
        <v>60</v>
      </c>
      <c r="V59" s="59">
        <v>60</v>
      </c>
      <c r="W59" s="59">
        <v>60</v>
      </c>
      <c r="X59" s="59">
        <v>60</v>
      </c>
      <c r="Y59" s="59">
        <v>60</v>
      </c>
      <c r="Z59" s="59">
        <v>60</v>
      </c>
      <c r="AA59" s="59">
        <v>60</v>
      </c>
      <c r="AB59" s="59">
        <v>77</v>
      </c>
      <c r="AC59" s="59">
        <f>VLOOKUP($A59,'[1]Flu Deaths Updated'!$A$2:$N$460,14,FALSE)</f>
        <v>60</v>
      </c>
      <c r="AD59" s="60">
        <f t="shared" si="0"/>
        <v>737</v>
      </c>
      <c r="AE59" s="66">
        <f>Integrated[[#This Row],[Flu Deaths &lt;5 years old]]/Integrated[[#This Row],[Population &lt;5 years]]</f>
        <v>2.1138297310151666E-3</v>
      </c>
      <c r="AF59" s="67">
        <f>Integrated[[#This Row],[Flu Deaths 5 to 14 years]]/Integrated[[#This Row],[Population 5 to 14 years]]</f>
        <v>5.2538944492605143E-4</v>
      </c>
      <c r="AG59" s="67">
        <f>Integrated[[#This Row],[Flu Deaths 15 to 24 years]]/Integrated[[#This Row],[Population 15 to 24 years]]</f>
        <v>4.6638890616255209E-4</v>
      </c>
      <c r="AH59" s="67">
        <f>Integrated[[#This Row],[Flu Deaths 25 to 34 years]]/Integrated[[#This Row],[Population 25 to 34 years]]</f>
        <v>5.2226593781553568E-4</v>
      </c>
      <c r="AI59" s="67">
        <f>Integrated[[#This Row],[Flu Deaths 35 to 44 years]]/Integrated[[#This Row],[Population 35 to 44 years]]</f>
        <v>5.5177995015587788E-4</v>
      </c>
      <c r="AJ59" s="67">
        <f>Integrated[[#This Row],[Flu Deaths 45 to 54 years]]/Integrated[[#This Row],[Population 45 to 54 years]]</f>
        <v>4.2902496925321053E-4</v>
      </c>
      <c r="AK59" s="67">
        <f>Integrated[[#This Row],[Flu Deaths 55 to 64 years]]/Integrated[[#This Row],[Population 55 to 64 years]]</f>
        <v>4.8174197899604969E-4</v>
      </c>
      <c r="AL59" s="67">
        <f>Integrated[[#This Row],[Flu Deaths 65 to 74 years]]/Integrated[[#This Row],[Population 65 to 74 years]]</f>
        <v>8.3079479368595955E-4</v>
      </c>
      <c r="AM59" s="67">
        <f>Integrated[[#This Row],[Flu Deaths 75 to 84 years]]/Integrated[[#This Row],[Population 75 to 84 years]]</f>
        <v>1.3742241359565746E-3</v>
      </c>
      <c r="AN59" s="67">
        <f>Integrated[[#This Row],[Flu Deaths 85+ years]]/Integrated[[#This Row],[Population 85+ years]]</f>
        <v>4.31662742459917E-3</v>
      </c>
      <c r="AO59" s="68">
        <f>Integrated[[#This Row],[Total Flu Deaths]]/Integrated[[#This Row],[Total population]]</f>
        <v>8.0001997336161441E-4</v>
      </c>
    </row>
    <row r="60" spans="1:41" x14ac:dyDescent="0.3">
      <c r="A60" s="44" t="s">
        <v>158</v>
      </c>
      <c r="B60" t="s">
        <v>137</v>
      </c>
      <c r="C60" s="45">
        <v>2012</v>
      </c>
      <c r="D60" s="51">
        <v>1311652</v>
      </c>
      <c r="E60" s="2">
        <v>641608</v>
      </c>
      <c r="F60" s="2">
        <v>670044</v>
      </c>
      <c r="G60" s="78">
        <f>Integrated[[#This Row],[Female Total population]]/Integrated[[#This Row],[Total population]]</f>
        <v>0.5108397654255854</v>
      </c>
      <c r="H60" s="2">
        <v>68006</v>
      </c>
      <c r="I60" s="2">
        <v>151767</v>
      </c>
      <c r="J60" s="2">
        <v>166620</v>
      </c>
      <c r="K60" s="2">
        <v>143657</v>
      </c>
      <c r="L60" s="2">
        <v>169265</v>
      </c>
      <c r="M60" s="2">
        <v>213972</v>
      </c>
      <c r="N60" s="2">
        <v>189194</v>
      </c>
      <c r="O60" s="2">
        <v>112281</v>
      </c>
      <c r="P60" s="2">
        <v>69206</v>
      </c>
      <c r="Q60" s="52">
        <v>28283</v>
      </c>
      <c r="R60" s="127">
        <f>Integrated[[#This Row],[Population 85+ years]]/Integrated[[#This Row],[Total population]]</f>
        <v>2.1562884057661637E-2</v>
      </c>
      <c r="S60" s="58">
        <v>120</v>
      </c>
      <c r="T60" s="59">
        <v>60</v>
      </c>
      <c r="U60" s="59">
        <v>60</v>
      </c>
      <c r="V60" s="59">
        <v>60</v>
      </c>
      <c r="W60" s="59">
        <v>60</v>
      </c>
      <c r="X60" s="59">
        <v>60</v>
      </c>
      <c r="Y60" s="59">
        <v>60</v>
      </c>
      <c r="Z60" s="59">
        <v>60</v>
      </c>
      <c r="AA60" s="59">
        <v>68</v>
      </c>
      <c r="AB60" s="59">
        <v>83</v>
      </c>
      <c r="AC60" s="59">
        <f>VLOOKUP($A60,'[1]Flu Deaths Updated'!$A$2:$N$460,14,FALSE)</f>
        <v>60</v>
      </c>
      <c r="AD60" s="60">
        <f t="shared" si="0"/>
        <v>751</v>
      </c>
      <c r="AE60" s="66">
        <f>Integrated[[#This Row],[Flu Deaths &lt;5 years old]]/Integrated[[#This Row],[Population &lt;5 years]]</f>
        <v>1.7645501867482281E-3</v>
      </c>
      <c r="AF60" s="67">
        <f>Integrated[[#This Row],[Flu Deaths 5 to 14 years]]/Integrated[[#This Row],[Population 5 to 14 years]]</f>
        <v>3.9534286109628577E-4</v>
      </c>
      <c r="AG60" s="67">
        <f>Integrated[[#This Row],[Flu Deaths 15 to 24 years]]/Integrated[[#This Row],[Population 15 to 24 years]]</f>
        <v>3.6010082823190496E-4</v>
      </c>
      <c r="AH60" s="67">
        <f>Integrated[[#This Row],[Flu Deaths 25 to 34 years]]/Integrated[[#This Row],[Population 25 to 34 years]]</f>
        <v>4.1766151318766229E-4</v>
      </c>
      <c r="AI60" s="67">
        <f>Integrated[[#This Row],[Flu Deaths 35 to 44 years]]/Integrated[[#This Row],[Population 35 to 44 years]]</f>
        <v>3.5447375417245149E-4</v>
      </c>
      <c r="AJ60" s="67">
        <f>Integrated[[#This Row],[Flu Deaths 45 to 54 years]]/Integrated[[#This Row],[Population 45 to 54 years]]</f>
        <v>2.8041052100274803E-4</v>
      </c>
      <c r="AK60" s="67">
        <f>Integrated[[#This Row],[Flu Deaths 55 to 64 years]]/Integrated[[#This Row],[Population 55 to 64 years]]</f>
        <v>3.1713479285812448E-4</v>
      </c>
      <c r="AL60" s="67">
        <f>Integrated[[#This Row],[Flu Deaths 65 to 74 years]]/Integrated[[#This Row],[Population 65 to 74 years]]</f>
        <v>5.3437358057017656E-4</v>
      </c>
      <c r="AM60" s="67">
        <f>Integrated[[#This Row],[Flu Deaths 75 to 84 years]]/Integrated[[#This Row],[Population 75 to 84 years]]</f>
        <v>9.8257376528046707E-4</v>
      </c>
      <c r="AN60" s="67">
        <f>Integrated[[#This Row],[Flu Deaths 85+ years]]/Integrated[[#This Row],[Population 85+ years]]</f>
        <v>2.9346250397765442E-3</v>
      </c>
      <c r="AO60" s="68">
        <f>Integrated[[#This Row],[Total Flu Deaths]]/Integrated[[#This Row],[Total population]]</f>
        <v>5.7256040474150155E-4</v>
      </c>
    </row>
    <row r="61" spans="1:41" x14ac:dyDescent="0.3">
      <c r="A61" s="44" t="s">
        <v>107</v>
      </c>
      <c r="B61" t="s">
        <v>99</v>
      </c>
      <c r="C61" s="45">
        <v>2012</v>
      </c>
      <c r="D61" s="51">
        <v>916440</v>
      </c>
      <c r="E61" s="2">
        <v>459300</v>
      </c>
      <c r="F61" s="2">
        <v>457144</v>
      </c>
      <c r="G61" s="78">
        <f>Integrated[[#This Row],[Female Total population]]/Integrated[[#This Row],[Total population]]</f>
        <v>0.49882589149316919</v>
      </c>
      <c r="H61" s="2">
        <v>55176</v>
      </c>
      <c r="I61" s="2">
        <v>112615</v>
      </c>
      <c r="J61" s="2">
        <v>125384</v>
      </c>
      <c r="K61" s="2">
        <v>113571</v>
      </c>
      <c r="L61" s="2">
        <v>106395</v>
      </c>
      <c r="M61" s="2">
        <v>136651</v>
      </c>
      <c r="N61" s="2">
        <v>129513</v>
      </c>
      <c r="O61" s="2">
        <v>75679</v>
      </c>
      <c r="P61" s="2">
        <v>43654</v>
      </c>
      <c r="Q61" s="52">
        <v>18412</v>
      </c>
      <c r="R61" s="127">
        <f>Integrated[[#This Row],[Population 85+ years]]/Integrated[[#This Row],[Total population]]</f>
        <v>2.0090786085286545E-2</v>
      </c>
      <c r="S61" s="58">
        <v>120</v>
      </c>
      <c r="T61" s="59">
        <v>60</v>
      </c>
      <c r="U61" s="59">
        <v>60</v>
      </c>
      <c r="V61" s="59">
        <v>60</v>
      </c>
      <c r="W61" s="59">
        <v>60</v>
      </c>
      <c r="X61" s="59">
        <v>60</v>
      </c>
      <c r="Y61" s="59">
        <v>60</v>
      </c>
      <c r="Z61" s="59">
        <v>60</v>
      </c>
      <c r="AA61" s="59">
        <v>60</v>
      </c>
      <c r="AB61" s="59">
        <v>84</v>
      </c>
      <c r="AC61" s="59">
        <f>VLOOKUP($A61,'[1]Flu Deaths Updated'!$A$2:$N$460,14,FALSE)</f>
        <v>60</v>
      </c>
      <c r="AD61" s="60">
        <f t="shared" si="0"/>
        <v>744</v>
      </c>
      <c r="AE61" s="66">
        <f>Integrated[[#This Row],[Flu Deaths &lt;5 years old]]/Integrated[[#This Row],[Population &lt;5 years]]</f>
        <v>2.1748586341887779E-3</v>
      </c>
      <c r="AF61" s="67">
        <f>Integrated[[#This Row],[Flu Deaths 5 to 14 years]]/Integrated[[#This Row],[Population 5 to 14 years]]</f>
        <v>5.3278870487945653E-4</v>
      </c>
      <c r="AG61" s="67">
        <f>Integrated[[#This Row],[Flu Deaths 15 to 24 years]]/Integrated[[#This Row],[Population 15 to 24 years]]</f>
        <v>4.7852995597524406E-4</v>
      </c>
      <c r="AH61" s="67">
        <f>Integrated[[#This Row],[Flu Deaths 25 to 34 years]]/Integrated[[#This Row],[Population 25 to 34 years]]</f>
        <v>5.2830388039200153E-4</v>
      </c>
      <c r="AI61" s="67">
        <f>Integrated[[#This Row],[Flu Deaths 35 to 44 years]]/Integrated[[#This Row],[Population 35 to 44 years]]</f>
        <v>5.6393627520090234E-4</v>
      </c>
      <c r="AJ61" s="67">
        <f>Integrated[[#This Row],[Flu Deaths 45 to 54 years]]/Integrated[[#This Row],[Population 45 to 54 years]]</f>
        <v>4.3907472319997659E-4</v>
      </c>
      <c r="AK61" s="67">
        <f>Integrated[[#This Row],[Flu Deaths 55 to 64 years]]/Integrated[[#This Row],[Population 55 to 64 years]]</f>
        <v>4.6327395705450416E-4</v>
      </c>
      <c r="AL61" s="67">
        <f>Integrated[[#This Row],[Flu Deaths 65 to 74 years]]/Integrated[[#This Row],[Population 65 to 74 years]]</f>
        <v>7.9282231530543475E-4</v>
      </c>
      <c r="AM61" s="67">
        <f>Integrated[[#This Row],[Flu Deaths 75 to 84 years]]/Integrated[[#This Row],[Population 75 to 84 years]]</f>
        <v>1.3744444953497962E-3</v>
      </c>
      <c r="AN61" s="67">
        <f>Integrated[[#This Row],[Flu Deaths 85+ years]]/Integrated[[#This Row],[Population 85+ years]]</f>
        <v>4.562242016076472E-3</v>
      </c>
      <c r="AO61" s="68">
        <f>Integrated[[#This Row],[Total Flu Deaths]]/Integrated[[#This Row],[Total population]]</f>
        <v>8.1183710881236085E-4</v>
      </c>
    </row>
    <row r="62" spans="1:41" x14ac:dyDescent="0.3">
      <c r="A62" s="44" t="s">
        <v>161</v>
      </c>
      <c r="B62" t="s">
        <v>139</v>
      </c>
      <c r="C62" s="45">
        <v>2016</v>
      </c>
      <c r="D62" s="51">
        <v>1327503</v>
      </c>
      <c r="E62" s="2">
        <v>656507</v>
      </c>
      <c r="F62" s="2">
        <v>670996</v>
      </c>
      <c r="G62" s="78">
        <f>Integrated[[#This Row],[Female Total population]]/Integrated[[#This Row],[Total population]]</f>
        <v>0.5054572381380682</v>
      </c>
      <c r="H62" s="2">
        <v>64875</v>
      </c>
      <c r="I62" s="2">
        <v>151540</v>
      </c>
      <c r="J62" s="2">
        <v>178857</v>
      </c>
      <c r="K62" s="2">
        <v>154730</v>
      </c>
      <c r="L62" s="2">
        <v>158895</v>
      </c>
      <c r="M62" s="2">
        <v>209906</v>
      </c>
      <c r="N62" s="2">
        <v>197893</v>
      </c>
      <c r="O62" s="2">
        <v>123499</v>
      </c>
      <c r="P62" s="2">
        <v>59871</v>
      </c>
      <c r="Q62" s="52">
        <v>27168</v>
      </c>
      <c r="R62" s="127">
        <f>Integrated[[#This Row],[Population 85+ years]]/Integrated[[#This Row],[Total population]]</f>
        <v>2.0465490473467858E-2</v>
      </c>
      <c r="S62" s="58">
        <v>120</v>
      </c>
      <c r="T62" s="59">
        <v>60</v>
      </c>
      <c r="U62" s="59">
        <v>60</v>
      </c>
      <c r="V62" s="59">
        <v>60</v>
      </c>
      <c r="W62" s="59">
        <v>60</v>
      </c>
      <c r="X62" s="59">
        <v>60</v>
      </c>
      <c r="Y62" s="59">
        <v>60</v>
      </c>
      <c r="Z62" s="59">
        <v>60</v>
      </c>
      <c r="AA62" s="59">
        <v>60</v>
      </c>
      <c r="AB62" s="59">
        <v>85</v>
      </c>
      <c r="AC62" s="59">
        <f>VLOOKUP($A62,'[1]Flu Deaths Updated'!$A$2:$N$460,14,FALSE)</f>
        <v>60</v>
      </c>
      <c r="AD62" s="60">
        <f t="shared" si="0"/>
        <v>745</v>
      </c>
      <c r="AE62" s="66">
        <f>Integrated[[#This Row],[Flu Deaths &lt;5 years old]]/Integrated[[#This Row],[Population &lt;5 years]]</f>
        <v>1.8497109826589595E-3</v>
      </c>
      <c r="AF62" s="67">
        <f>Integrated[[#This Row],[Flu Deaths 5 to 14 years]]/Integrated[[#This Row],[Population 5 to 14 years]]</f>
        <v>3.9593506664906955E-4</v>
      </c>
      <c r="AG62" s="67">
        <f>Integrated[[#This Row],[Flu Deaths 15 to 24 years]]/Integrated[[#This Row],[Population 15 to 24 years]]</f>
        <v>3.354635267280565E-4</v>
      </c>
      <c r="AH62" s="67">
        <f>Integrated[[#This Row],[Flu Deaths 25 to 34 years]]/Integrated[[#This Row],[Population 25 to 34 years]]</f>
        <v>3.8777224843275385E-4</v>
      </c>
      <c r="AI62" s="67">
        <f>Integrated[[#This Row],[Flu Deaths 35 to 44 years]]/Integrated[[#This Row],[Population 35 to 44 years]]</f>
        <v>3.7760785424336828E-4</v>
      </c>
      <c r="AJ62" s="67">
        <f>Integrated[[#This Row],[Flu Deaths 45 to 54 years]]/Integrated[[#This Row],[Population 45 to 54 years]]</f>
        <v>2.8584223414290208E-4</v>
      </c>
      <c r="AK62" s="67">
        <f>Integrated[[#This Row],[Flu Deaths 55 to 64 years]]/Integrated[[#This Row],[Population 55 to 64 years]]</f>
        <v>3.0319415037419211E-4</v>
      </c>
      <c r="AL62" s="67">
        <f>Integrated[[#This Row],[Flu Deaths 65 to 74 years]]/Integrated[[#This Row],[Population 65 to 74 years]]</f>
        <v>4.8583389339184935E-4</v>
      </c>
      <c r="AM62" s="67">
        <f>Integrated[[#This Row],[Flu Deaths 75 to 84 years]]/Integrated[[#This Row],[Population 75 to 84 years]]</f>
        <v>1.0021546324597886E-3</v>
      </c>
      <c r="AN62" s="67">
        <f>Integrated[[#This Row],[Flu Deaths 85+ years]]/Integrated[[#This Row],[Population 85+ years]]</f>
        <v>3.1286808009422852E-3</v>
      </c>
      <c r="AO62" s="68">
        <f>Integrated[[#This Row],[Total Flu Deaths]]/Integrated[[#This Row],[Total population]]</f>
        <v>5.6120400481204187E-4</v>
      </c>
    </row>
    <row r="63" spans="1:41" x14ac:dyDescent="0.3">
      <c r="A63" s="44" t="s">
        <v>97</v>
      </c>
      <c r="B63" t="s">
        <v>49</v>
      </c>
      <c r="C63" s="45">
        <v>2011</v>
      </c>
      <c r="D63" s="51">
        <v>765593</v>
      </c>
      <c r="E63" s="2">
        <v>383216</v>
      </c>
      <c r="F63" s="2">
        <v>382379</v>
      </c>
      <c r="G63" s="78">
        <f>Integrated[[#This Row],[Female Total population]]/Integrated[[#This Row],[Total population]]</f>
        <v>0.49945467108502822</v>
      </c>
      <c r="H63" s="2">
        <v>55044</v>
      </c>
      <c r="I63" s="2">
        <v>104059</v>
      </c>
      <c r="J63" s="2">
        <v>109986</v>
      </c>
      <c r="K63" s="2">
        <v>97708</v>
      </c>
      <c r="L63" s="2">
        <v>91693</v>
      </c>
      <c r="M63" s="2">
        <v>111270</v>
      </c>
      <c r="N63" s="2">
        <v>89675</v>
      </c>
      <c r="O63" s="2">
        <v>53125</v>
      </c>
      <c r="P63" s="2">
        <v>36628</v>
      </c>
      <c r="Q63" s="52">
        <v>16927</v>
      </c>
      <c r="R63" s="127">
        <f>Integrated[[#This Row],[Population 85+ years]]/Integrated[[#This Row],[Total population]]</f>
        <v>2.2109658787371356E-2</v>
      </c>
      <c r="S63" s="58">
        <v>120</v>
      </c>
      <c r="T63" s="59">
        <v>60</v>
      </c>
      <c r="U63" s="59">
        <v>60</v>
      </c>
      <c r="V63" s="59">
        <v>60</v>
      </c>
      <c r="W63" s="59">
        <v>60</v>
      </c>
      <c r="X63" s="59">
        <v>60</v>
      </c>
      <c r="Y63" s="59">
        <v>60</v>
      </c>
      <c r="Z63" s="59">
        <v>60</v>
      </c>
      <c r="AA63" s="59">
        <v>60</v>
      </c>
      <c r="AB63" s="59">
        <v>85</v>
      </c>
      <c r="AC63" s="59">
        <f>VLOOKUP($A63,'[1]Flu Deaths Updated'!$A$2:$N$460,14,FALSE)</f>
        <v>60</v>
      </c>
      <c r="AD63" s="60">
        <f t="shared" si="0"/>
        <v>745</v>
      </c>
      <c r="AE63" s="66">
        <f>Integrated[[#This Row],[Flu Deaths &lt;5 years old]]/Integrated[[#This Row],[Population &lt;5 years]]</f>
        <v>2.1800741225201656E-3</v>
      </c>
      <c r="AF63" s="67">
        <f>Integrated[[#This Row],[Flu Deaths 5 to 14 years]]/Integrated[[#This Row],[Population 5 to 14 years]]</f>
        <v>5.7659596959417259E-4</v>
      </c>
      <c r="AG63" s="67">
        <f>Integrated[[#This Row],[Flu Deaths 15 to 24 years]]/Integrated[[#This Row],[Population 15 to 24 years]]</f>
        <v>5.455239757787355E-4</v>
      </c>
      <c r="AH63" s="67">
        <f>Integrated[[#This Row],[Flu Deaths 25 to 34 years]]/Integrated[[#This Row],[Population 25 to 34 years]]</f>
        <v>6.1407458959348259E-4</v>
      </c>
      <c r="AI63" s="67">
        <f>Integrated[[#This Row],[Flu Deaths 35 to 44 years]]/Integrated[[#This Row],[Population 35 to 44 years]]</f>
        <v>6.543574754888596E-4</v>
      </c>
      <c r="AJ63" s="67">
        <f>Integrated[[#This Row],[Flu Deaths 45 to 54 years]]/Integrated[[#This Row],[Population 45 to 54 years]]</f>
        <v>5.392289026691831E-4</v>
      </c>
      <c r="AK63" s="67">
        <f>Integrated[[#This Row],[Flu Deaths 55 to 64 years]]/Integrated[[#This Row],[Population 55 to 64 years]]</f>
        <v>6.6908279899637578E-4</v>
      </c>
      <c r="AL63" s="67">
        <f>Integrated[[#This Row],[Flu Deaths 65 to 74 years]]/Integrated[[#This Row],[Population 65 to 74 years]]</f>
        <v>1.1294117647058823E-3</v>
      </c>
      <c r="AM63" s="67">
        <f>Integrated[[#This Row],[Flu Deaths 75 to 84 years]]/Integrated[[#This Row],[Population 75 to 84 years]]</f>
        <v>1.6380910778639292E-3</v>
      </c>
      <c r="AN63" s="67">
        <f>Integrated[[#This Row],[Flu Deaths 85+ years]]/Integrated[[#This Row],[Population 85+ years]]</f>
        <v>5.0215631830802859E-3</v>
      </c>
      <c r="AO63" s="68">
        <f>Integrated[[#This Row],[Total Flu Deaths]]/Integrated[[#This Row],[Total population]]</f>
        <v>9.7310189617721163E-4</v>
      </c>
    </row>
    <row r="64" spans="1:41" x14ac:dyDescent="0.3">
      <c r="A64" s="44" t="s">
        <v>102</v>
      </c>
      <c r="B64" t="s">
        <v>99</v>
      </c>
      <c r="C64" s="45">
        <v>2014</v>
      </c>
      <c r="D64" s="51">
        <v>886659</v>
      </c>
      <c r="E64" s="2">
        <v>443822</v>
      </c>
      <c r="F64" s="2">
        <v>442838</v>
      </c>
      <c r="G64" s="78">
        <f>Integrated[[#This Row],[Female Total population]]/Integrated[[#This Row],[Total population]]</f>
        <v>0.49944567189866679</v>
      </c>
      <c r="H64" s="2">
        <v>54461</v>
      </c>
      <c r="I64" s="2">
        <v>110198</v>
      </c>
      <c r="J64" s="2">
        <v>122152</v>
      </c>
      <c r="K64" s="2">
        <v>113743</v>
      </c>
      <c r="L64" s="2">
        <v>101101</v>
      </c>
      <c r="M64" s="2">
        <v>122039</v>
      </c>
      <c r="N64" s="2">
        <v>126882</v>
      </c>
      <c r="O64" s="2">
        <v>77196</v>
      </c>
      <c r="P64" s="2">
        <v>41552</v>
      </c>
      <c r="Q64" s="52">
        <v>17744</v>
      </c>
      <c r="R64" s="127">
        <f>Integrated[[#This Row],[Population 85+ years]]/Integrated[[#This Row],[Total population]]</f>
        <v>2.0012203113034435E-2</v>
      </c>
      <c r="S64" s="58">
        <v>120</v>
      </c>
      <c r="T64" s="59">
        <v>60</v>
      </c>
      <c r="U64" s="59">
        <v>60</v>
      </c>
      <c r="V64" s="59">
        <v>60</v>
      </c>
      <c r="W64" s="59">
        <v>60</v>
      </c>
      <c r="X64" s="59">
        <v>60</v>
      </c>
      <c r="Y64" s="59">
        <v>60</v>
      </c>
      <c r="Z64" s="59">
        <v>60</v>
      </c>
      <c r="AA64" s="59">
        <v>60</v>
      </c>
      <c r="AB64" s="59">
        <v>86</v>
      </c>
      <c r="AC64" s="59">
        <f>VLOOKUP($A64,'[1]Flu Deaths Updated'!$A$2:$N$460,14,FALSE)</f>
        <v>60</v>
      </c>
      <c r="AD64" s="60">
        <f t="shared" si="0"/>
        <v>746</v>
      </c>
      <c r="AE64" s="66">
        <f>Integrated[[#This Row],[Flu Deaths &lt;5 years old]]/Integrated[[#This Row],[Population &lt;5 years]]</f>
        <v>2.2034116156515672E-3</v>
      </c>
      <c r="AF64" s="67">
        <f>Integrated[[#This Row],[Flu Deaths 5 to 14 years]]/Integrated[[#This Row],[Population 5 to 14 years]]</f>
        <v>5.4447449137007926E-4</v>
      </c>
      <c r="AG64" s="67">
        <f>Integrated[[#This Row],[Flu Deaths 15 to 24 years]]/Integrated[[#This Row],[Population 15 to 24 years]]</f>
        <v>4.9119130263933458E-4</v>
      </c>
      <c r="AH64" s="67">
        <f>Integrated[[#This Row],[Flu Deaths 25 to 34 years]]/Integrated[[#This Row],[Population 25 to 34 years]]</f>
        <v>5.2750498931802392E-4</v>
      </c>
      <c r="AI64" s="67">
        <f>Integrated[[#This Row],[Flu Deaths 35 to 44 years]]/Integrated[[#This Row],[Population 35 to 44 years]]</f>
        <v>5.9346594000059347E-4</v>
      </c>
      <c r="AJ64" s="67">
        <f>Integrated[[#This Row],[Flu Deaths 45 to 54 years]]/Integrated[[#This Row],[Population 45 to 54 years]]</f>
        <v>4.9164611312777059E-4</v>
      </c>
      <c r="AK64" s="67">
        <f>Integrated[[#This Row],[Flu Deaths 55 to 64 years]]/Integrated[[#This Row],[Population 55 to 64 years]]</f>
        <v>4.728803139925285E-4</v>
      </c>
      <c r="AL64" s="67">
        <f>Integrated[[#This Row],[Flu Deaths 65 to 74 years]]/Integrated[[#This Row],[Population 65 to 74 years]]</f>
        <v>7.7724234416291001E-4</v>
      </c>
      <c r="AM64" s="67">
        <f>Integrated[[#This Row],[Flu Deaths 75 to 84 years]]/Integrated[[#This Row],[Population 75 to 84 years]]</f>
        <v>1.4439738159414709E-3</v>
      </c>
      <c r="AN64" s="67">
        <f>Integrated[[#This Row],[Flu Deaths 85+ years]]/Integrated[[#This Row],[Population 85+ years]]</f>
        <v>4.846708746618575E-3</v>
      </c>
      <c r="AO64" s="68">
        <f>Integrated[[#This Row],[Total Flu Deaths]]/Integrated[[#This Row],[Total population]]</f>
        <v>8.4136065838163261E-4</v>
      </c>
    </row>
    <row r="65" spans="1:41" x14ac:dyDescent="0.3">
      <c r="A65" s="44" t="s">
        <v>180</v>
      </c>
      <c r="B65" t="s">
        <v>166</v>
      </c>
      <c r="C65" s="45">
        <v>2016</v>
      </c>
      <c r="D65" s="51">
        <v>1497693</v>
      </c>
      <c r="E65" s="2">
        <v>749600</v>
      </c>
      <c r="F65" s="2">
        <v>748094</v>
      </c>
      <c r="G65" s="78">
        <f>Integrated[[#This Row],[Female Total population]]/Integrated[[#This Row],[Total population]]</f>
        <v>0.49949756058150768</v>
      </c>
      <c r="H65" s="2">
        <v>104108</v>
      </c>
      <c r="I65" s="2">
        <v>224295</v>
      </c>
      <c r="J65" s="2">
        <v>210210</v>
      </c>
      <c r="K65" s="2">
        <v>198338</v>
      </c>
      <c r="L65" s="2">
        <v>184631</v>
      </c>
      <c r="M65" s="2">
        <v>182793</v>
      </c>
      <c r="N65" s="2">
        <v>181144</v>
      </c>
      <c r="O65" s="2">
        <v>125695</v>
      </c>
      <c r="P65" s="2">
        <v>61494</v>
      </c>
      <c r="Q65" s="52">
        <v>24205</v>
      </c>
      <c r="R65" s="127">
        <f>Integrated[[#This Row],[Population 85+ years]]/Integrated[[#This Row],[Total population]]</f>
        <v>1.6161523089177822E-2</v>
      </c>
      <c r="S65" s="58">
        <v>120</v>
      </c>
      <c r="T65" s="59">
        <v>60</v>
      </c>
      <c r="U65" s="59">
        <v>60</v>
      </c>
      <c r="V65" s="59">
        <v>60</v>
      </c>
      <c r="W65" s="59">
        <v>60</v>
      </c>
      <c r="X65" s="59">
        <v>60</v>
      </c>
      <c r="Y65" s="59">
        <v>60</v>
      </c>
      <c r="Z65" s="59">
        <v>60</v>
      </c>
      <c r="AA65" s="59">
        <v>60</v>
      </c>
      <c r="AB65" s="59">
        <v>87</v>
      </c>
      <c r="AC65" s="59">
        <f>VLOOKUP($A65,'[1]Flu Deaths Updated'!$A$2:$N$460,14,FALSE)</f>
        <v>60</v>
      </c>
      <c r="AD65" s="60">
        <f t="shared" si="0"/>
        <v>747</v>
      </c>
      <c r="AE65" s="66">
        <f>Integrated[[#This Row],[Flu Deaths &lt;5 years old]]/Integrated[[#This Row],[Population &lt;5 years]]</f>
        <v>1.1526491720136782E-3</v>
      </c>
      <c r="AF65" s="67">
        <f>Integrated[[#This Row],[Flu Deaths 5 to 14 years]]/Integrated[[#This Row],[Population 5 to 14 years]]</f>
        <v>2.6750484852537952E-4</v>
      </c>
      <c r="AG65" s="67">
        <f>Integrated[[#This Row],[Flu Deaths 15 to 24 years]]/Integrated[[#This Row],[Population 15 to 24 years]]</f>
        <v>2.8542885685742828E-4</v>
      </c>
      <c r="AH65" s="67">
        <f>Integrated[[#This Row],[Flu Deaths 25 to 34 years]]/Integrated[[#This Row],[Population 25 to 34 years]]</f>
        <v>3.025138904294689E-4</v>
      </c>
      <c r="AI65" s="67">
        <f>Integrated[[#This Row],[Flu Deaths 35 to 44 years]]/Integrated[[#This Row],[Population 35 to 44 years]]</f>
        <v>3.249725127416306E-4</v>
      </c>
      <c r="AJ65" s="67">
        <f>Integrated[[#This Row],[Flu Deaths 45 to 54 years]]/Integrated[[#This Row],[Population 45 to 54 years]]</f>
        <v>3.2824014048678013E-4</v>
      </c>
      <c r="AK65" s="67">
        <f>Integrated[[#This Row],[Flu Deaths 55 to 64 years]]/Integrated[[#This Row],[Population 55 to 64 years]]</f>
        <v>3.3122819414388552E-4</v>
      </c>
      <c r="AL65" s="67">
        <f>Integrated[[#This Row],[Flu Deaths 65 to 74 years]]/Integrated[[#This Row],[Population 65 to 74 years]]</f>
        <v>4.7734595648196032E-4</v>
      </c>
      <c r="AM65" s="67">
        <f>Integrated[[#This Row],[Flu Deaths 75 to 84 years]]/Integrated[[#This Row],[Population 75 to 84 years]]</f>
        <v>9.7570494682408038E-4</v>
      </c>
      <c r="AN65" s="67">
        <f>Integrated[[#This Row],[Flu Deaths 85+ years]]/Integrated[[#This Row],[Population 85+ years]]</f>
        <v>3.5942986986159885E-3</v>
      </c>
      <c r="AO65" s="68">
        <f>Integrated[[#This Row],[Total Flu Deaths]]/Integrated[[#This Row],[Total population]]</f>
        <v>4.987671038056531E-4</v>
      </c>
    </row>
    <row r="66" spans="1:41" x14ac:dyDescent="0.3">
      <c r="A66" s="44" t="s">
        <v>85</v>
      </c>
      <c r="B66" t="s">
        <v>49</v>
      </c>
      <c r="C66" s="45">
        <v>2010</v>
      </c>
      <c r="D66" s="51">
        <v>696784</v>
      </c>
      <c r="E66" s="2">
        <v>348700</v>
      </c>
      <c r="F66" s="2">
        <v>348087</v>
      </c>
      <c r="G66" s="78">
        <f>Integrated[[#This Row],[Female Total population]]/Integrated[[#This Row],[Total population]]</f>
        <v>0.49956227467909708</v>
      </c>
      <c r="H66" s="2">
        <v>50102</v>
      </c>
      <c r="I66" s="2">
        <v>95232</v>
      </c>
      <c r="J66" s="2">
        <v>101643</v>
      </c>
      <c r="K66" s="2">
        <v>88424</v>
      </c>
      <c r="L66" s="2">
        <v>85618</v>
      </c>
      <c r="M66" s="2">
        <v>101748</v>
      </c>
      <c r="N66" s="2">
        <v>78007</v>
      </c>
      <c r="O66" s="2">
        <v>46959</v>
      </c>
      <c r="P66" s="2">
        <v>33602</v>
      </c>
      <c r="Q66" s="52">
        <v>15633</v>
      </c>
      <c r="R66" s="127">
        <f>Integrated[[#This Row],[Population 85+ years]]/Integrated[[#This Row],[Total population]]</f>
        <v>2.2435934234999656E-2</v>
      </c>
      <c r="S66" s="58">
        <v>120</v>
      </c>
      <c r="T66" s="59">
        <v>60</v>
      </c>
      <c r="U66" s="59">
        <v>60</v>
      </c>
      <c r="V66" s="59">
        <v>60</v>
      </c>
      <c r="W66" s="59">
        <v>60</v>
      </c>
      <c r="X66" s="59">
        <v>60</v>
      </c>
      <c r="Y66" s="59">
        <v>60</v>
      </c>
      <c r="Z66" s="59">
        <v>60</v>
      </c>
      <c r="AA66" s="59">
        <v>60</v>
      </c>
      <c r="AB66" s="59">
        <v>87</v>
      </c>
      <c r="AC66" s="59">
        <f>VLOOKUP($A66,'[1]Flu Deaths Updated'!$A$2:$N$460,14,FALSE)</f>
        <v>60</v>
      </c>
      <c r="AD66" s="60">
        <f t="shared" ref="AD66:AD129" si="1">SUM(S66:AC66)</f>
        <v>747</v>
      </c>
      <c r="AE66" s="66">
        <f>Integrated[[#This Row],[Flu Deaths &lt;5 years old]]/Integrated[[#This Row],[Population &lt;5 years]]</f>
        <v>2.3951139675062873E-3</v>
      </c>
      <c r="AF66" s="67">
        <f>Integrated[[#This Row],[Flu Deaths 5 to 14 years]]/Integrated[[#This Row],[Population 5 to 14 years]]</f>
        <v>6.3004032258064514E-4</v>
      </c>
      <c r="AG66" s="67">
        <f>Integrated[[#This Row],[Flu Deaths 15 to 24 years]]/Integrated[[#This Row],[Population 15 to 24 years]]</f>
        <v>5.9030134883858204E-4</v>
      </c>
      <c r="AH66" s="67">
        <f>Integrated[[#This Row],[Flu Deaths 25 to 34 years]]/Integrated[[#This Row],[Population 25 to 34 years]]</f>
        <v>6.7854881027775262E-4</v>
      </c>
      <c r="AI66" s="67">
        <f>Integrated[[#This Row],[Flu Deaths 35 to 44 years]]/Integrated[[#This Row],[Population 35 to 44 years]]</f>
        <v>7.0078721764115024E-4</v>
      </c>
      <c r="AJ66" s="67">
        <f>Integrated[[#This Row],[Flu Deaths 45 to 54 years]]/Integrated[[#This Row],[Population 45 to 54 years]]</f>
        <v>5.8969218068168419E-4</v>
      </c>
      <c r="AK66" s="67">
        <f>Integrated[[#This Row],[Flu Deaths 55 to 64 years]]/Integrated[[#This Row],[Population 55 to 64 years]]</f>
        <v>7.691617418949581E-4</v>
      </c>
      <c r="AL66" s="67">
        <f>Integrated[[#This Row],[Flu Deaths 65 to 74 years]]/Integrated[[#This Row],[Population 65 to 74 years]]</f>
        <v>1.2777103430652271E-3</v>
      </c>
      <c r="AM66" s="67">
        <f>Integrated[[#This Row],[Flu Deaths 75 to 84 years]]/Integrated[[#This Row],[Population 75 to 84 years]]</f>
        <v>1.7856079995238379E-3</v>
      </c>
      <c r="AN66" s="67">
        <f>Integrated[[#This Row],[Flu Deaths 85+ years]]/Integrated[[#This Row],[Population 85+ years]]</f>
        <v>5.5651506428708499E-3</v>
      </c>
      <c r="AO66" s="68">
        <f>Integrated[[#This Row],[Total Flu Deaths]]/Integrated[[#This Row],[Total population]]</f>
        <v>1.0720682449654412E-3</v>
      </c>
    </row>
    <row r="67" spans="1:41" x14ac:dyDescent="0.3">
      <c r="A67" s="44" t="s">
        <v>108</v>
      </c>
      <c r="B67" t="s">
        <v>104</v>
      </c>
      <c r="C67" s="45">
        <v>2015</v>
      </c>
      <c r="D67" s="51">
        <v>926454</v>
      </c>
      <c r="E67" s="2">
        <v>448413</v>
      </c>
      <c r="F67" s="2">
        <v>478041</v>
      </c>
      <c r="G67" s="78">
        <f>Integrated[[#This Row],[Female Total population]]/Integrated[[#This Row],[Total population]]</f>
        <v>0.51599000058286759</v>
      </c>
      <c r="H67" s="2">
        <v>55607</v>
      </c>
      <c r="I67" s="2">
        <v>113675</v>
      </c>
      <c r="J67" s="2">
        <v>125762</v>
      </c>
      <c r="K67" s="2">
        <v>120038</v>
      </c>
      <c r="L67" s="2">
        <v>111332</v>
      </c>
      <c r="M67" s="2">
        <v>131084</v>
      </c>
      <c r="N67" s="2">
        <v>121257</v>
      </c>
      <c r="O67" s="2">
        <v>85956</v>
      </c>
      <c r="P67" s="2">
        <v>43810</v>
      </c>
      <c r="Q67" s="52">
        <v>17790</v>
      </c>
      <c r="R67" s="127">
        <f>Integrated[[#This Row],[Population 85+ years]]/Integrated[[#This Row],[Total population]]</f>
        <v>1.9202248573593508E-2</v>
      </c>
      <c r="S67" s="58">
        <v>120</v>
      </c>
      <c r="T67" s="59">
        <v>60</v>
      </c>
      <c r="U67" s="59">
        <v>60</v>
      </c>
      <c r="V67" s="59">
        <v>60</v>
      </c>
      <c r="W67" s="59">
        <v>60</v>
      </c>
      <c r="X67" s="59">
        <v>60</v>
      </c>
      <c r="Y67" s="59">
        <v>60</v>
      </c>
      <c r="Z67" s="59">
        <v>65</v>
      </c>
      <c r="AA67" s="59">
        <v>60</v>
      </c>
      <c r="AB67" s="59">
        <v>87</v>
      </c>
      <c r="AC67" s="59">
        <f>VLOOKUP($A67,'[1]Flu Deaths Updated'!$A$2:$N$460,14,FALSE)</f>
        <v>60</v>
      </c>
      <c r="AD67" s="60">
        <f t="shared" si="1"/>
        <v>752</v>
      </c>
      <c r="AE67" s="66">
        <f>Integrated[[#This Row],[Flu Deaths &lt;5 years old]]/Integrated[[#This Row],[Population &lt;5 years]]</f>
        <v>2.1580016904346575E-3</v>
      </c>
      <c r="AF67" s="67">
        <f>Integrated[[#This Row],[Flu Deaths 5 to 14 years]]/Integrated[[#This Row],[Population 5 to 14 years]]</f>
        <v>5.2782054101605457E-4</v>
      </c>
      <c r="AG67" s="67">
        <f>Integrated[[#This Row],[Flu Deaths 15 to 24 years]]/Integrated[[#This Row],[Population 15 to 24 years]]</f>
        <v>4.7709164930583167E-4</v>
      </c>
      <c r="AH67" s="67">
        <f>Integrated[[#This Row],[Flu Deaths 25 to 34 years]]/Integrated[[#This Row],[Population 25 to 34 years]]</f>
        <v>4.9984171678968327E-4</v>
      </c>
      <c r="AI67" s="67">
        <f>Integrated[[#This Row],[Flu Deaths 35 to 44 years]]/Integrated[[#This Row],[Population 35 to 44 years]]</f>
        <v>5.3892860992347212E-4</v>
      </c>
      <c r="AJ67" s="67">
        <f>Integrated[[#This Row],[Flu Deaths 45 to 54 years]]/Integrated[[#This Row],[Population 45 to 54 years]]</f>
        <v>4.5772176619572185E-4</v>
      </c>
      <c r="AK67" s="67">
        <f>Integrated[[#This Row],[Flu Deaths 55 to 64 years]]/Integrated[[#This Row],[Population 55 to 64 years]]</f>
        <v>4.9481679408199116E-4</v>
      </c>
      <c r="AL67" s="67">
        <f>Integrated[[#This Row],[Flu Deaths 65 to 74 years]]/Integrated[[#This Row],[Population 65 to 74 years]]</f>
        <v>7.5620084694494858E-4</v>
      </c>
      <c r="AM67" s="67">
        <f>Integrated[[#This Row],[Flu Deaths 75 to 84 years]]/Integrated[[#This Row],[Population 75 to 84 years]]</f>
        <v>1.3695503309746632E-3</v>
      </c>
      <c r="AN67" s="67">
        <f>Integrated[[#This Row],[Flu Deaths 85+ years]]/Integrated[[#This Row],[Population 85+ years]]</f>
        <v>4.8903878583473866E-3</v>
      </c>
      <c r="AO67" s="68">
        <f>Integrated[[#This Row],[Total Flu Deaths]]/Integrated[[#This Row],[Total population]]</f>
        <v>8.116970729253692E-4</v>
      </c>
    </row>
    <row r="68" spans="1:41" x14ac:dyDescent="0.3">
      <c r="A68" s="44" t="s">
        <v>114</v>
      </c>
      <c r="B68" t="s">
        <v>99</v>
      </c>
      <c r="C68" s="45">
        <v>2010</v>
      </c>
      <c r="D68" s="51">
        <v>937821</v>
      </c>
      <c r="E68" s="2">
        <v>469741</v>
      </c>
      <c r="F68" s="2">
        <v>468080</v>
      </c>
      <c r="G68" s="78">
        <f>Integrated[[#This Row],[Female Total population]]/Integrated[[#This Row],[Total population]]</f>
        <v>0.4991144365502585</v>
      </c>
      <c r="H68" s="2">
        <v>57645</v>
      </c>
      <c r="I68" s="2">
        <v>117574</v>
      </c>
      <c r="J68" s="2">
        <v>133259</v>
      </c>
      <c r="K68" s="2">
        <v>111970</v>
      </c>
      <c r="L68" s="2">
        <v>113059</v>
      </c>
      <c r="M68" s="2">
        <v>146731</v>
      </c>
      <c r="N68" s="2">
        <v>124105</v>
      </c>
      <c r="O68" s="2">
        <v>71881</v>
      </c>
      <c r="P68" s="2">
        <v>45107</v>
      </c>
      <c r="Q68" s="52">
        <v>17219</v>
      </c>
      <c r="R68" s="127">
        <f>Integrated[[#This Row],[Population 85+ years]]/Integrated[[#This Row],[Total population]]</f>
        <v>1.8360646647921086E-2</v>
      </c>
      <c r="S68" s="58">
        <v>120</v>
      </c>
      <c r="T68" s="59">
        <v>60</v>
      </c>
      <c r="U68" s="59">
        <v>60</v>
      </c>
      <c r="V68" s="59">
        <v>60</v>
      </c>
      <c r="W68" s="59">
        <v>60</v>
      </c>
      <c r="X68" s="59">
        <v>60</v>
      </c>
      <c r="Y68" s="59">
        <v>60</v>
      </c>
      <c r="Z68" s="59">
        <v>60</v>
      </c>
      <c r="AA68" s="59">
        <v>60</v>
      </c>
      <c r="AB68" s="59">
        <v>88</v>
      </c>
      <c r="AC68" s="59">
        <f>VLOOKUP($A68,'[1]Flu Deaths Updated'!$A$2:$N$460,14,FALSE)</f>
        <v>60</v>
      </c>
      <c r="AD68" s="60">
        <f t="shared" si="1"/>
        <v>748</v>
      </c>
      <c r="AE68" s="66">
        <f>Integrated[[#This Row],[Flu Deaths &lt;5 years old]]/Integrated[[#This Row],[Population &lt;5 years]]</f>
        <v>2.0817069997397866E-3</v>
      </c>
      <c r="AF68" s="67">
        <f>Integrated[[#This Row],[Flu Deaths 5 to 14 years]]/Integrated[[#This Row],[Population 5 to 14 years]]</f>
        <v>5.1031690679912225E-4</v>
      </c>
      <c r="AG68" s="67">
        <f>Integrated[[#This Row],[Flu Deaths 15 to 24 years]]/Integrated[[#This Row],[Population 15 to 24 years]]</f>
        <v>4.5025101494082953E-4</v>
      </c>
      <c r="AH68" s="67">
        <f>Integrated[[#This Row],[Flu Deaths 25 to 34 years]]/Integrated[[#This Row],[Population 25 to 34 years]]</f>
        <v>5.3585781905867639E-4</v>
      </c>
      <c r="AI68" s="67">
        <f>Integrated[[#This Row],[Flu Deaths 35 to 44 years]]/Integrated[[#This Row],[Population 35 to 44 years]]</f>
        <v>5.3069636207643794E-4</v>
      </c>
      <c r="AJ68" s="67">
        <f>Integrated[[#This Row],[Flu Deaths 45 to 54 years]]/Integrated[[#This Row],[Population 45 to 54 years]]</f>
        <v>4.0891154561749051E-4</v>
      </c>
      <c r="AK68" s="67">
        <f>Integrated[[#This Row],[Flu Deaths 55 to 64 years]]/Integrated[[#This Row],[Population 55 to 64 years]]</f>
        <v>4.8346158494822931E-4</v>
      </c>
      <c r="AL68" s="67">
        <f>Integrated[[#This Row],[Flu Deaths 65 to 74 years]]/Integrated[[#This Row],[Population 65 to 74 years]]</f>
        <v>8.3471292831207135E-4</v>
      </c>
      <c r="AM68" s="67">
        <f>Integrated[[#This Row],[Flu Deaths 75 to 84 years]]/Integrated[[#This Row],[Population 75 to 84 years]]</f>
        <v>1.3301704835169707E-3</v>
      </c>
      <c r="AN68" s="67">
        <f>Integrated[[#This Row],[Flu Deaths 85+ years]]/Integrated[[#This Row],[Population 85+ years]]</f>
        <v>5.1106336024159356E-3</v>
      </c>
      <c r="AO68" s="68">
        <f>Integrated[[#This Row],[Total Flu Deaths]]/Integrated[[#This Row],[Total population]]</f>
        <v>7.9759357062808361E-4</v>
      </c>
    </row>
    <row r="69" spans="1:41" x14ac:dyDescent="0.3">
      <c r="A69" s="44" t="s">
        <v>74</v>
      </c>
      <c r="B69" t="s">
        <v>55</v>
      </c>
      <c r="C69" s="45">
        <v>2015</v>
      </c>
      <c r="D69" s="51">
        <v>651686</v>
      </c>
      <c r="E69" s="2">
        <v>331737</v>
      </c>
      <c r="F69" s="2">
        <v>319952</v>
      </c>
      <c r="G69" s="78">
        <f>Integrated[[#This Row],[Female Total population]]/Integrated[[#This Row],[Total population]]</f>
        <v>0.49096037048517233</v>
      </c>
      <c r="H69" s="2">
        <v>43356</v>
      </c>
      <c r="I69" s="2">
        <v>79057</v>
      </c>
      <c r="J69" s="2">
        <v>105783</v>
      </c>
      <c r="K69" s="2">
        <v>94140</v>
      </c>
      <c r="L69" s="2">
        <v>73126</v>
      </c>
      <c r="M69" s="2">
        <v>82797</v>
      </c>
      <c r="N69" s="2">
        <v>81909</v>
      </c>
      <c r="O69" s="2">
        <v>47971</v>
      </c>
      <c r="P69" s="2">
        <v>29270</v>
      </c>
      <c r="Q69" s="52">
        <v>14518</v>
      </c>
      <c r="R69" s="127">
        <f>Integrated[[#This Row],[Population 85+ years]]/Integrated[[#This Row],[Total population]]</f>
        <v>2.2277599948441428E-2</v>
      </c>
      <c r="S69" s="58">
        <v>120</v>
      </c>
      <c r="T69" s="59">
        <v>60</v>
      </c>
      <c r="U69" s="59">
        <v>60</v>
      </c>
      <c r="V69" s="59">
        <v>60</v>
      </c>
      <c r="W69" s="59">
        <v>60</v>
      </c>
      <c r="X69" s="59">
        <v>60</v>
      </c>
      <c r="Y69" s="59">
        <v>60</v>
      </c>
      <c r="Z69" s="59">
        <v>60</v>
      </c>
      <c r="AA69" s="59">
        <v>60</v>
      </c>
      <c r="AB69" s="59">
        <v>88</v>
      </c>
      <c r="AC69" s="59">
        <f>VLOOKUP($A69,'[1]Flu Deaths Updated'!$A$2:$N$460,14,FALSE)</f>
        <v>60</v>
      </c>
      <c r="AD69" s="60">
        <f t="shared" si="1"/>
        <v>748</v>
      </c>
      <c r="AE69" s="66">
        <f>Integrated[[#This Row],[Flu Deaths &lt;5 years old]]/Integrated[[#This Row],[Population &lt;5 years]]</f>
        <v>2.7677830058123443E-3</v>
      </c>
      <c r="AF69" s="67">
        <f>Integrated[[#This Row],[Flu Deaths 5 to 14 years]]/Integrated[[#This Row],[Population 5 to 14 years]]</f>
        <v>7.5894607688123763E-4</v>
      </c>
      <c r="AG69" s="67">
        <f>Integrated[[#This Row],[Flu Deaths 15 to 24 years]]/Integrated[[#This Row],[Population 15 to 24 years]]</f>
        <v>5.6719888829017892E-4</v>
      </c>
      <c r="AH69" s="67">
        <f>Integrated[[#This Row],[Flu Deaths 25 to 34 years]]/Integrated[[#This Row],[Population 25 to 34 years]]</f>
        <v>6.3734862970044612E-4</v>
      </c>
      <c r="AI69" s="67">
        <f>Integrated[[#This Row],[Flu Deaths 35 to 44 years]]/Integrated[[#This Row],[Population 35 to 44 years]]</f>
        <v>8.2050159997811999E-4</v>
      </c>
      <c r="AJ69" s="67">
        <f>Integrated[[#This Row],[Flu Deaths 45 to 54 years]]/Integrated[[#This Row],[Population 45 to 54 years]]</f>
        <v>7.2466393709917025E-4</v>
      </c>
      <c r="AK69" s="67">
        <f>Integrated[[#This Row],[Flu Deaths 55 to 64 years]]/Integrated[[#This Row],[Population 55 to 64 years]]</f>
        <v>7.3252023587151596E-4</v>
      </c>
      <c r="AL69" s="67">
        <f>Integrated[[#This Row],[Flu Deaths 65 to 74 years]]/Integrated[[#This Row],[Population 65 to 74 years]]</f>
        <v>1.2507556648808655E-3</v>
      </c>
      <c r="AM69" s="67">
        <f>Integrated[[#This Row],[Flu Deaths 75 to 84 years]]/Integrated[[#This Row],[Population 75 to 84 years]]</f>
        <v>2.0498804236419544E-3</v>
      </c>
      <c r="AN69" s="67">
        <f>Integrated[[#This Row],[Flu Deaths 85+ years]]/Integrated[[#This Row],[Population 85+ years]]</f>
        <v>6.0614409698305548E-3</v>
      </c>
      <c r="AO69" s="68">
        <f>Integrated[[#This Row],[Total Flu Deaths]]/Integrated[[#This Row],[Total population]]</f>
        <v>1.1477920348143124E-3</v>
      </c>
    </row>
    <row r="70" spans="1:41" x14ac:dyDescent="0.3">
      <c r="A70" s="44" t="s">
        <v>159</v>
      </c>
      <c r="B70" t="s">
        <v>139</v>
      </c>
      <c r="C70" s="45">
        <v>2009</v>
      </c>
      <c r="D70" s="51">
        <v>1315419</v>
      </c>
      <c r="E70" s="2">
        <v>648885</v>
      </c>
      <c r="F70" s="2">
        <v>666534</v>
      </c>
      <c r="G70" s="78">
        <f>Integrated[[#This Row],[Female Total population]]/Integrated[[#This Row],[Total population]]</f>
        <v>0.5067085088477512</v>
      </c>
      <c r="H70" s="2">
        <v>75869</v>
      </c>
      <c r="I70" s="2">
        <v>165646</v>
      </c>
      <c r="J70" s="2">
        <v>184762</v>
      </c>
      <c r="K70" s="2">
        <v>148516</v>
      </c>
      <c r="L70" s="2">
        <v>197510</v>
      </c>
      <c r="M70" s="2">
        <v>217270</v>
      </c>
      <c r="N70" s="2">
        <v>157446</v>
      </c>
      <c r="O70" s="2">
        <v>87895</v>
      </c>
      <c r="P70" s="2">
        <v>57534</v>
      </c>
      <c r="Q70" s="52">
        <v>23772</v>
      </c>
      <c r="R70" s="127">
        <f>Integrated[[#This Row],[Population 85+ years]]/Integrated[[#This Row],[Total population]]</f>
        <v>1.8071808298344483E-2</v>
      </c>
      <c r="S70" s="58">
        <v>120</v>
      </c>
      <c r="T70" s="59">
        <v>60</v>
      </c>
      <c r="U70" s="59">
        <v>60</v>
      </c>
      <c r="V70" s="59">
        <v>60</v>
      </c>
      <c r="W70" s="59">
        <v>60</v>
      </c>
      <c r="X70" s="59">
        <v>60</v>
      </c>
      <c r="Y70" s="59">
        <v>60</v>
      </c>
      <c r="Z70" s="59">
        <v>60</v>
      </c>
      <c r="AA70" s="59">
        <v>60</v>
      </c>
      <c r="AB70" s="59">
        <v>89</v>
      </c>
      <c r="AC70" s="59">
        <f>VLOOKUP($A70,'[1]Flu Deaths Updated'!$A$2:$N$460,14,FALSE)</f>
        <v>60</v>
      </c>
      <c r="AD70" s="60">
        <f t="shared" si="1"/>
        <v>749</v>
      </c>
      <c r="AE70" s="66">
        <f>Integrated[[#This Row],[Flu Deaths &lt;5 years old]]/Integrated[[#This Row],[Population &lt;5 years]]</f>
        <v>1.5816736743597517E-3</v>
      </c>
      <c r="AF70" s="67">
        <f>Integrated[[#This Row],[Flu Deaths 5 to 14 years]]/Integrated[[#This Row],[Population 5 to 14 years]]</f>
        <v>3.6221822440626395E-4</v>
      </c>
      <c r="AG70" s="67">
        <f>Integrated[[#This Row],[Flu Deaths 15 to 24 years]]/Integrated[[#This Row],[Population 15 to 24 years]]</f>
        <v>3.2474210064840171E-4</v>
      </c>
      <c r="AH70" s="67">
        <f>Integrated[[#This Row],[Flu Deaths 25 to 34 years]]/Integrated[[#This Row],[Population 25 to 34 years]]</f>
        <v>4.0399687575749414E-4</v>
      </c>
      <c r="AI70" s="67">
        <f>Integrated[[#This Row],[Flu Deaths 35 to 44 years]]/Integrated[[#This Row],[Population 35 to 44 years]]</f>
        <v>3.0378208698293756E-4</v>
      </c>
      <c r="AJ70" s="67">
        <f>Integrated[[#This Row],[Flu Deaths 45 to 54 years]]/Integrated[[#This Row],[Population 45 to 54 years]]</f>
        <v>2.761540939844433E-4</v>
      </c>
      <c r="AK70" s="67">
        <f>Integrated[[#This Row],[Flu Deaths 55 to 64 years]]/Integrated[[#This Row],[Population 55 to 64 years]]</f>
        <v>3.8108303799397889E-4</v>
      </c>
      <c r="AL70" s="67">
        <f>Integrated[[#This Row],[Flu Deaths 65 to 74 years]]/Integrated[[#This Row],[Population 65 to 74 years]]</f>
        <v>6.8263268672848286E-4</v>
      </c>
      <c r="AM70" s="67">
        <f>Integrated[[#This Row],[Flu Deaths 75 to 84 years]]/Integrated[[#This Row],[Population 75 to 84 years]]</f>
        <v>1.0428616122640526E-3</v>
      </c>
      <c r="AN70" s="67">
        <f>Integrated[[#This Row],[Flu Deaths 85+ years]]/Integrated[[#This Row],[Population 85+ years]]</f>
        <v>3.7439003870099277E-3</v>
      </c>
      <c r="AO70" s="68">
        <f>Integrated[[#This Row],[Total Flu Deaths]]/Integrated[[#This Row],[Total population]]</f>
        <v>5.6940032035419897E-4</v>
      </c>
    </row>
    <row r="71" spans="1:41" x14ac:dyDescent="0.3">
      <c r="A71" s="44" t="s">
        <v>185</v>
      </c>
      <c r="B71" t="s">
        <v>166</v>
      </c>
      <c r="C71" s="45">
        <v>2012</v>
      </c>
      <c r="D71" s="51">
        <v>1536462</v>
      </c>
      <c r="E71" s="2">
        <v>769619</v>
      </c>
      <c r="F71" s="2">
        <v>766846</v>
      </c>
      <c r="G71" s="78">
        <f>Integrated[[#This Row],[Female Total population]]/Integrated[[#This Row],[Total population]]</f>
        <v>0.49909857842237554</v>
      </c>
      <c r="H71" s="2">
        <v>118054</v>
      </c>
      <c r="I71" s="2">
        <v>232691</v>
      </c>
      <c r="J71" s="2">
        <v>223152</v>
      </c>
      <c r="K71" s="2">
        <v>205213</v>
      </c>
      <c r="L71" s="2">
        <v>188580</v>
      </c>
      <c r="M71" s="2">
        <v>202430</v>
      </c>
      <c r="N71" s="2">
        <v>176340</v>
      </c>
      <c r="O71" s="2">
        <v>108135</v>
      </c>
      <c r="P71" s="2">
        <v>59440</v>
      </c>
      <c r="Q71" s="52">
        <v>24008</v>
      </c>
      <c r="R71" s="127">
        <f>Integrated[[#This Row],[Population 85+ years]]/Integrated[[#This Row],[Total population]]</f>
        <v>1.5625508473362831E-2</v>
      </c>
      <c r="S71" s="58">
        <v>120</v>
      </c>
      <c r="T71" s="59">
        <v>60</v>
      </c>
      <c r="U71" s="59">
        <v>60</v>
      </c>
      <c r="V71" s="59">
        <v>60</v>
      </c>
      <c r="W71" s="59">
        <v>60</v>
      </c>
      <c r="X71" s="59">
        <v>60</v>
      </c>
      <c r="Y71" s="59">
        <v>60</v>
      </c>
      <c r="Z71" s="59">
        <v>60</v>
      </c>
      <c r="AA71" s="59">
        <v>60</v>
      </c>
      <c r="AB71" s="59">
        <v>91</v>
      </c>
      <c r="AC71" s="59">
        <f>VLOOKUP($A71,'[1]Flu Deaths Updated'!$A$2:$N$460,14,FALSE)</f>
        <v>60</v>
      </c>
      <c r="AD71" s="60">
        <f t="shared" si="1"/>
        <v>751</v>
      </c>
      <c r="AE71" s="66">
        <f>Integrated[[#This Row],[Flu Deaths &lt;5 years old]]/Integrated[[#This Row],[Population &lt;5 years]]</f>
        <v>1.0164839819065852E-3</v>
      </c>
      <c r="AF71" s="67">
        <f>Integrated[[#This Row],[Flu Deaths 5 to 14 years]]/Integrated[[#This Row],[Population 5 to 14 years]]</f>
        <v>2.5785268875891203E-4</v>
      </c>
      <c r="AG71" s="67">
        <f>Integrated[[#This Row],[Flu Deaths 15 to 24 years]]/Integrated[[#This Row],[Population 15 to 24 years]]</f>
        <v>2.6887502688750271E-4</v>
      </c>
      <c r="AH71" s="67">
        <f>Integrated[[#This Row],[Flu Deaths 25 to 34 years]]/Integrated[[#This Row],[Population 25 to 34 years]]</f>
        <v>2.923791377739227E-4</v>
      </c>
      <c r="AI71" s="67">
        <f>Integrated[[#This Row],[Flu Deaths 35 to 44 years]]/Integrated[[#This Row],[Population 35 to 44 years]]</f>
        <v>3.1816735602927139E-4</v>
      </c>
      <c r="AJ71" s="67">
        <f>Integrated[[#This Row],[Flu Deaths 45 to 54 years]]/Integrated[[#This Row],[Population 45 to 54 years]]</f>
        <v>2.9639875512522848E-4</v>
      </c>
      <c r="AK71" s="67">
        <f>Integrated[[#This Row],[Flu Deaths 55 to 64 years]]/Integrated[[#This Row],[Population 55 to 64 years]]</f>
        <v>3.4025178632187818E-4</v>
      </c>
      <c r="AL71" s="67">
        <f>Integrated[[#This Row],[Flu Deaths 65 to 74 years]]/Integrated[[#This Row],[Population 65 to 74 years]]</f>
        <v>5.548619780829519E-4</v>
      </c>
      <c r="AM71" s="67">
        <f>Integrated[[#This Row],[Flu Deaths 75 to 84 years]]/Integrated[[#This Row],[Population 75 to 84 years]]</f>
        <v>1.009421265141319E-3</v>
      </c>
      <c r="AN71" s="67">
        <f>Integrated[[#This Row],[Flu Deaths 85+ years]]/Integrated[[#This Row],[Population 85+ years]]</f>
        <v>3.7904031989336889E-3</v>
      </c>
      <c r="AO71" s="68">
        <f>Integrated[[#This Row],[Total Flu Deaths]]/Integrated[[#This Row],[Total population]]</f>
        <v>4.8878527422090493E-4</v>
      </c>
    </row>
    <row r="72" spans="1:41" x14ac:dyDescent="0.3">
      <c r="A72" s="44" t="s">
        <v>171</v>
      </c>
      <c r="B72" t="s">
        <v>166</v>
      </c>
      <c r="C72" s="45">
        <v>2014</v>
      </c>
      <c r="D72" s="51">
        <v>1446420</v>
      </c>
      <c r="E72" s="2">
        <v>725250</v>
      </c>
      <c r="F72" s="2">
        <v>721177</v>
      </c>
      <c r="G72" s="78">
        <f>Integrated[[#This Row],[Female Total population]]/Integrated[[#This Row],[Total population]]</f>
        <v>0.49859446080668135</v>
      </c>
      <c r="H72" s="2">
        <v>103867</v>
      </c>
      <c r="I72" s="2">
        <v>217288</v>
      </c>
      <c r="J72" s="2">
        <v>200875</v>
      </c>
      <c r="K72" s="2">
        <v>194619</v>
      </c>
      <c r="L72" s="2">
        <v>180104</v>
      </c>
      <c r="M72" s="2">
        <v>185410</v>
      </c>
      <c r="N72" s="2">
        <v>172457</v>
      </c>
      <c r="O72" s="2">
        <v>110807</v>
      </c>
      <c r="P72" s="2">
        <v>57818</v>
      </c>
      <c r="Q72" s="52">
        <v>22954</v>
      </c>
      <c r="R72" s="127">
        <f>Integrated[[#This Row],[Population 85+ years]]/Integrated[[#This Row],[Total population]]</f>
        <v>1.586952614040182E-2</v>
      </c>
      <c r="S72" s="58">
        <v>120</v>
      </c>
      <c r="T72" s="59">
        <v>60</v>
      </c>
      <c r="U72" s="59">
        <v>60</v>
      </c>
      <c r="V72" s="59">
        <v>60</v>
      </c>
      <c r="W72" s="59">
        <v>60</v>
      </c>
      <c r="X72" s="59">
        <v>60</v>
      </c>
      <c r="Y72" s="59">
        <v>60</v>
      </c>
      <c r="Z72" s="59">
        <v>60</v>
      </c>
      <c r="AA72" s="59">
        <v>60</v>
      </c>
      <c r="AB72" s="59">
        <v>91</v>
      </c>
      <c r="AC72" s="59">
        <f>VLOOKUP($A72,'[1]Flu Deaths Updated'!$A$2:$N$460,14,FALSE)</f>
        <v>60</v>
      </c>
      <c r="AD72" s="60">
        <f t="shared" si="1"/>
        <v>751</v>
      </c>
      <c r="AE72" s="66">
        <f>Integrated[[#This Row],[Flu Deaths &lt;5 years old]]/Integrated[[#This Row],[Population &lt;5 years]]</f>
        <v>1.1553236350332636E-3</v>
      </c>
      <c r="AF72" s="67">
        <f>Integrated[[#This Row],[Flu Deaths 5 to 14 years]]/Integrated[[#This Row],[Population 5 to 14 years]]</f>
        <v>2.7613121755458192E-4</v>
      </c>
      <c r="AG72" s="67">
        <f>Integrated[[#This Row],[Flu Deaths 15 to 24 years]]/Integrated[[#This Row],[Population 15 to 24 years]]</f>
        <v>2.9869321717486001E-4</v>
      </c>
      <c r="AH72" s="67">
        <f>Integrated[[#This Row],[Flu Deaths 25 to 34 years]]/Integrated[[#This Row],[Population 25 to 34 years]]</f>
        <v>3.0829466804371618E-4</v>
      </c>
      <c r="AI72" s="67">
        <f>Integrated[[#This Row],[Flu Deaths 35 to 44 years]]/Integrated[[#This Row],[Population 35 to 44 years]]</f>
        <v>3.331408519522054E-4</v>
      </c>
      <c r="AJ72" s="67">
        <f>Integrated[[#This Row],[Flu Deaths 45 to 54 years]]/Integrated[[#This Row],[Population 45 to 54 years]]</f>
        <v>3.2360714093090985E-4</v>
      </c>
      <c r="AK72" s="67">
        <f>Integrated[[#This Row],[Flu Deaths 55 to 64 years]]/Integrated[[#This Row],[Population 55 to 64 years]]</f>
        <v>3.4791281304904993E-4</v>
      </c>
      <c r="AL72" s="67">
        <f>Integrated[[#This Row],[Flu Deaths 65 to 74 years]]/Integrated[[#This Row],[Population 65 to 74 years]]</f>
        <v>5.4148203633344464E-4</v>
      </c>
      <c r="AM72" s="67">
        <f>Integrated[[#This Row],[Flu Deaths 75 to 84 years]]/Integrated[[#This Row],[Population 75 to 84 years]]</f>
        <v>1.0377391123871458E-3</v>
      </c>
      <c r="AN72" s="67">
        <f>Integrated[[#This Row],[Flu Deaths 85+ years]]/Integrated[[#This Row],[Population 85+ years]]</f>
        <v>3.9644506404112574E-3</v>
      </c>
      <c r="AO72" s="68">
        <f>Integrated[[#This Row],[Total Flu Deaths]]/Integrated[[#This Row],[Total population]]</f>
        <v>5.1921295336071125E-4</v>
      </c>
    </row>
    <row r="73" spans="1:41" x14ac:dyDescent="0.3">
      <c r="A73" s="44" t="s">
        <v>66</v>
      </c>
      <c r="B73" t="s">
        <v>55</v>
      </c>
      <c r="C73" s="45">
        <v>2014</v>
      </c>
      <c r="D73" s="51">
        <v>627037</v>
      </c>
      <c r="E73" s="2">
        <v>317632</v>
      </c>
      <c r="F73" s="2">
        <v>309408</v>
      </c>
      <c r="G73" s="78">
        <f>Integrated[[#This Row],[Female Total population]]/Integrated[[#This Row],[Total population]]</f>
        <v>0.49344456547221294</v>
      </c>
      <c r="H73" s="2">
        <v>42129</v>
      </c>
      <c r="I73" s="2">
        <v>77212</v>
      </c>
      <c r="J73" s="2">
        <v>104096</v>
      </c>
      <c r="K73" s="2">
        <v>89559</v>
      </c>
      <c r="L73" s="2">
        <v>70827</v>
      </c>
      <c r="M73" s="2">
        <v>80876</v>
      </c>
      <c r="N73" s="2">
        <v>76077</v>
      </c>
      <c r="O73" s="2">
        <v>44229</v>
      </c>
      <c r="P73" s="2">
        <v>28461</v>
      </c>
      <c r="Q73" s="52">
        <v>13683</v>
      </c>
      <c r="R73" s="127">
        <f>Integrated[[#This Row],[Population 85+ years]]/Integrated[[#This Row],[Total population]]</f>
        <v>2.1821678784505541E-2</v>
      </c>
      <c r="S73" s="58">
        <v>120</v>
      </c>
      <c r="T73" s="59">
        <v>60</v>
      </c>
      <c r="U73" s="59">
        <v>60</v>
      </c>
      <c r="V73" s="59">
        <v>60</v>
      </c>
      <c r="W73" s="59">
        <v>60</v>
      </c>
      <c r="X73" s="59">
        <v>60</v>
      </c>
      <c r="Y73" s="59">
        <v>60</v>
      </c>
      <c r="Z73" s="59">
        <v>60</v>
      </c>
      <c r="AA73" s="59">
        <v>66</v>
      </c>
      <c r="AB73" s="59">
        <v>93</v>
      </c>
      <c r="AC73" s="59">
        <f>VLOOKUP($A73,'[1]Flu Deaths Updated'!$A$2:$N$460,14,FALSE)</f>
        <v>60</v>
      </c>
      <c r="AD73" s="60">
        <f t="shared" si="1"/>
        <v>759</v>
      </c>
      <c r="AE73" s="66">
        <f>Integrated[[#This Row],[Flu Deaths &lt;5 years old]]/Integrated[[#This Row],[Population &lt;5 years]]</f>
        <v>2.8483942177597379E-3</v>
      </c>
      <c r="AF73" s="67">
        <f>Integrated[[#This Row],[Flu Deaths 5 to 14 years]]/Integrated[[#This Row],[Population 5 to 14 years]]</f>
        <v>7.770812827021707E-4</v>
      </c>
      <c r="AG73" s="67">
        <f>Integrated[[#This Row],[Flu Deaths 15 to 24 years]]/Integrated[[#This Row],[Population 15 to 24 years]]</f>
        <v>5.7639102367045805E-4</v>
      </c>
      <c r="AH73" s="67">
        <f>Integrated[[#This Row],[Flu Deaths 25 to 34 years]]/Integrated[[#This Row],[Population 25 to 34 years]]</f>
        <v>6.6994941881887919E-4</v>
      </c>
      <c r="AI73" s="67">
        <f>Integrated[[#This Row],[Flu Deaths 35 to 44 years]]/Integrated[[#This Row],[Population 35 to 44 years]]</f>
        <v>8.4713456732601975E-4</v>
      </c>
      <c r="AJ73" s="67">
        <f>Integrated[[#This Row],[Flu Deaths 45 to 54 years]]/Integrated[[#This Row],[Population 45 to 54 years]]</f>
        <v>7.4187645284138682E-4</v>
      </c>
      <c r="AK73" s="67">
        <f>Integrated[[#This Row],[Flu Deaths 55 to 64 years]]/Integrated[[#This Row],[Population 55 to 64 years]]</f>
        <v>7.8867463228045266E-4</v>
      </c>
      <c r="AL73" s="67">
        <f>Integrated[[#This Row],[Flu Deaths 65 to 74 years]]/Integrated[[#This Row],[Population 65 to 74 years]]</f>
        <v>1.3565760021705215E-3</v>
      </c>
      <c r="AM73" s="67">
        <f>Integrated[[#This Row],[Flu Deaths 75 to 84 years]]/Integrated[[#This Row],[Population 75 to 84 years]]</f>
        <v>2.3189627911879415E-3</v>
      </c>
      <c r="AN73" s="67">
        <f>Integrated[[#This Row],[Flu Deaths 85+ years]]/Integrated[[#This Row],[Population 85+ years]]</f>
        <v>6.7967550975663229E-3</v>
      </c>
      <c r="AO73" s="68">
        <f>Integrated[[#This Row],[Total Flu Deaths]]/Integrated[[#This Row],[Total population]]</f>
        <v>1.2104548854373824E-3</v>
      </c>
    </row>
    <row r="74" spans="1:41" x14ac:dyDescent="0.3">
      <c r="A74" s="44" t="s">
        <v>98</v>
      </c>
      <c r="B74" t="s">
        <v>99</v>
      </c>
      <c r="C74" s="45">
        <v>2017</v>
      </c>
      <c r="D74" s="51">
        <v>805701</v>
      </c>
      <c r="E74" s="2">
        <v>404864</v>
      </c>
      <c r="F74" s="2">
        <v>400839</v>
      </c>
      <c r="G74" s="78">
        <f>Integrated[[#This Row],[Female Total population]]/Integrated[[#This Row],[Total population]]</f>
        <v>0.49750341627973654</v>
      </c>
      <c r="H74" s="2">
        <v>48818</v>
      </c>
      <c r="I74" s="2">
        <v>100208</v>
      </c>
      <c r="J74" s="2">
        <v>112150</v>
      </c>
      <c r="K74" s="2">
        <v>105908</v>
      </c>
      <c r="L74" s="2">
        <v>94163</v>
      </c>
      <c r="M74" s="2">
        <v>99490</v>
      </c>
      <c r="N74" s="2">
        <v>112263</v>
      </c>
      <c r="O74" s="2">
        <v>77754</v>
      </c>
      <c r="P74" s="2">
        <v>38678</v>
      </c>
      <c r="Q74" s="52">
        <v>16312</v>
      </c>
      <c r="R74" s="127">
        <f>Integrated[[#This Row],[Population 85+ years]]/Integrated[[#This Row],[Total population]]</f>
        <v>2.0245723909986458E-2</v>
      </c>
      <c r="S74" s="58">
        <v>120</v>
      </c>
      <c r="T74" s="59">
        <v>60</v>
      </c>
      <c r="U74" s="59">
        <v>60</v>
      </c>
      <c r="V74" s="59">
        <v>60</v>
      </c>
      <c r="W74" s="59">
        <v>60</v>
      </c>
      <c r="X74" s="59">
        <v>60</v>
      </c>
      <c r="Y74" s="59">
        <v>60</v>
      </c>
      <c r="Z74" s="59">
        <v>60</v>
      </c>
      <c r="AA74" s="59">
        <v>60</v>
      </c>
      <c r="AB74" s="59">
        <v>94</v>
      </c>
      <c r="AC74" s="59">
        <f>VLOOKUP($A74,'[1]Flu Deaths Updated'!$A$2:$N$460,14,FALSE)</f>
        <v>60</v>
      </c>
      <c r="AD74" s="60">
        <f t="shared" si="1"/>
        <v>754</v>
      </c>
      <c r="AE74" s="66">
        <f>Integrated[[#This Row],[Flu Deaths &lt;5 years old]]/Integrated[[#This Row],[Population &lt;5 years]]</f>
        <v>2.4581097136302183E-3</v>
      </c>
      <c r="AF74" s="67">
        <f>Integrated[[#This Row],[Flu Deaths 5 to 14 years]]/Integrated[[#This Row],[Population 5 to 14 years]]</f>
        <v>5.987545904518601E-4</v>
      </c>
      <c r="AG74" s="67">
        <f>Integrated[[#This Row],[Flu Deaths 15 to 24 years]]/Integrated[[#This Row],[Population 15 to 24 years]]</f>
        <v>5.3499777084262145E-4</v>
      </c>
      <c r="AH74" s="67">
        <f>Integrated[[#This Row],[Flu Deaths 25 to 34 years]]/Integrated[[#This Row],[Population 25 to 34 years]]</f>
        <v>5.6652944064659893E-4</v>
      </c>
      <c r="AI74" s="67">
        <f>Integrated[[#This Row],[Flu Deaths 35 to 44 years]]/Integrated[[#This Row],[Population 35 to 44 years]]</f>
        <v>6.3719295264594376E-4</v>
      </c>
      <c r="AJ74" s="67">
        <f>Integrated[[#This Row],[Flu Deaths 45 to 54 years]]/Integrated[[#This Row],[Population 45 to 54 years]]</f>
        <v>6.0307568599859279E-4</v>
      </c>
      <c r="AK74" s="67">
        <f>Integrated[[#This Row],[Flu Deaths 55 to 64 years]]/Integrated[[#This Row],[Population 55 to 64 years]]</f>
        <v>5.3445926084284227E-4</v>
      </c>
      <c r="AL74" s="67">
        <f>Integrated[[#This Row],[Flu Deaths 65 to 74 years]]/Integrated[[#This Row],[Population 65 to 74 years]]</f>
        <v>7.7166448028397256E-4</v>
      </c>
      <c r="AM74" s="67">
        <f>Integrated[[#This Row],[Flu Deaths 75 to 84 years]]/Integrated[[#This Row],[Population 75 to 84 years]]</f>
        <v>1.5512694555044212E-3</v>
      </c>
      <c r="AN74" s="67">
        <f>Integrated[[#This Row],[Flu Deaths 85+ years]]/Integrated[[#This Row],[Population 85+ years]]</f>
        <v>5.7626287395782247E-3</v>
      </c>
      <c r="AO74" s="68">
        <f>Integrated[[#This Row],[Total Flu Deaths]]/Integrated[[#This Row],[Total population]]</f>
        <v>9.3583103409329267E-4</v>
      </c>
    </row>
    <row r="75" spans="1:41" x14ac:dyDescent="0.3">
      <c r="A75" s="44" t="s">
        <v>153</v>
      </c>
      <c r="B75" t="s">
        <v>139</v>
      </c>
      <c r="C75" s="45">
        <v>2014</v>
      </c>
      <c r="D75" s="51">
        <v>1277778</v>
      </c>
      <c r="E75" s="2">
        <v>630603</v>
      </c>
      <c r="F75" s="2">
        <v>647175</v>
      </c>
      <c r="G75" s="78">
        <f>Integrated[[#This Row],[Female Total population]]/Integrated[[#This Row],[Total population]]</f>
        <v>0.50648469452440092</v>
      </c>
      <c r="H75" s="2">
        <v>64625</v>
      </c>
      <c r="I75" s="2">
        <v>151344</v>
      </c>
      <c r="J75" s="2">
        <v>174633</v>
      </c>
      <c r="K75" s="2">
        <v>144666</v>
      </c>
      <c r="L75" s="2">
        <v>162298</v>
      </c>
      <c r="M75" s="2">
        <v>211511</v>
      </c>
      <c r="N75" s="2">
        <v>182799</v>
      </c>
      <c r="O75" s="2">
        <v>105537</v>
      </c>
      <c r="P75" s="2">
        <v>56342</v>
      </c>
      <c r="Q75" s="52">
        <v>24373</v>
      </c>
      <c r="R75" s="127">
        <f>Integrated[[#This Row],[Population 85+ years]]/Integrated[[#This Row],[Total population]]</f>
        <v>1.9074518421822884E-2</v>
      </c>
      <c r="S75" s="58">
        <v>120</v>
      </c>
      <c r="T75" s="59">
        <v>60</v>
      </c>
      <c r="U75" s="59">
        <v>60</v>
      </c>
      <c r="V75" s="59">
        <v>60</v>
      </c>
      <c r="W75" s="59">
        <v>60</v>
      </c>
      <c r="X75" s="59">
        <v>60</v>
      </c>
      <c r="Y75" s="59">
        <v>60</v>
      </c>
      <c r="Z75" s="59">
        <v>60</v>
      </c>
      <c r="AA75" s="59">
        <v>60</v>
      </c>
      <c r="AB75" s="59">
        <v>94</v>
      </c>
      <c r="AC75" s="59">
        <f>VLOOKUP($A75,'[1]Flu Deaths Updated'!$A$2:$N$460,14,FALSE)</f>
        <v>60</v>
      </c>
      <c r="AD75" s="60">
        <f t="shared" si="1"/>
        <v>754</v>
      </c>
      <c r="AE75" s="66">
        <f>Integrated[[#This Row],[Flu Deaths &lt;5 years old]]/Integrated[[#This Row],[Population &lt;5 years]]</f>
        <v>1.8568665377176016E-3</v>
      </c>
      <c r="AF75" s="67">
        <f>Integrated[[#This Row],[Flu Deaths 5 to 14 years]]/Integrated[[#This Row],[Population 5 to 14 years]]</f>
        <v>3.964478274659055E-4</v>
      </c>
      <c r="AG75" s="67">
        <f>Integrated[[#This Row],[Flu Deaths 15 to 24 years]]/Integrated[[#This Row],[Population 15 to 24 years]]</f>
        <v>3.4357767432272252E-4</v>
      </c>
      <c r="AH75" s="67">
        <f>Integrated[[#This Row],[Flu Deaths 25 to 34 years]]/Integrated[[#This Row],[Population 25 to 34 years]]</f>
        <v>4.1474845506200489E-4</v>
      </c>
      <c r="AI75" s="67">
        <f>Integrated[[#This Row],[Flu Deaths 35 to 44 years]]/Integrated[[#This Row],[Population 35 to 44 years]]</f>
        <v>3.6969032273965173E-4</v>
      </c>
      <c r="AJ75" s="67">
        <f>Integrated[[#This Row],[Flu Deaths 45 to 54 years]]/Integrated[[#This Row],[Population 45 to 54 years]]</f>
        <v>2.8367318957406469E-4</v>
      </c>
      <c r="AK75" s="67">
        <f>Integrated[[#This Row],[Flu Deaths 55 to 64 years]]/Integrated[[#This Row],[Population 55 to 64 years]]</f>
        <v>3.2822936668143698E-4</v>
      </c>
      <c r="AL75" s="67">
        <f>Integrated[[#This Row],[Flu Deaths 65 to 74 years]]/Integrated[[#This Row],[Population 65 to 74 years]]</f>
        <v>5.6852099263765316E-4</v>
      </c>
      <c r="AM75" s="67">
        <f>Integrated[[#This Row],[Flu Deaths 75 to 84 years]]/Integrated[[#This Row],[Population 75 to 84 years]]</f>
        <v>1.064924922792943E-3</v>
      </c>
      <c r="AN75" s="67">
        <f>Integrated[[#This Row],[Flu Deaths 85+ years]]/Integrated[[#This Row],[Population 85+ years]]</f>
        <v>3.856726705780987E-3</v>
      </c>
      <c r="AO75" s="68">
        <f>Integrated[[#This Row],[Total Flu Deaths]]/Integrated[[#This Row],[Total population]]</f>
        <v>5.9008685389793844E-4</v>
      </c>
    </row>
    <row r="76" spans="1:41" x14ac:dyDescent="0.3">
      <c r="A76" s="44" t="s">
        <v>88</v>
      </c>
      <c r="B76" t="s">
        <v>49</v>
      </c>
      <c r="C76" s="45">
        <v>2016</v>
      </c>
      <c r="D76" s="51">
        <v>716817</v>
      </c>
      <c r="E76" s="2">
        <v>360522</v>
      </c>
      <c r="F76" s="2">
        <v>356299</v>
      </c>
      <c r="G76" s="78">
        <f>Integrated[[#This Row],[Female Total population]]/Integrated[[#This Row],[Total population]]</f>
        <v>0.49705712894643961</v>
      </c>
      <c r="H76" s="2">
        <v>50074</v>
      </c>
      <c r="I76" s="2">
        <v>97200</v>
      </c>
      <c r="J76" s="2">
        <v>98722</v>
      </c>
      <c r="K76" s="2">
        <v>96059</v>
      </c>
      <c r="L76" s="2">
        <v>83485</v>
      </c>
      <c r="M76" s="2">
        <v>91149</v>
      </c>
      <c r="N76" s="2">
        <v>94023</v>
      </c>
      <c r="O76" s="2">
        <v>57686</v>
      </c>
      <c r="P76" s="2">
        <v>32739</v>
      </c>
      <c r="Q76" s="52">
        <v>16114</v>
      </c>
      <c r="R76" s="127">
        <f>Integrated[[#This Row],[Population 85+ years]]/Integrated[[#This Row],[Total population]]</f>
        <v>2.2479935604205817E-2</v>
      </c>
      <c r="S76" s="58">
        <v>120</v>
      </c>
      <c r="T76" s="59">
        <v>60</v>
      </c>
      <c r="U76" s="59">
        <v>60</v>
      </c>
      <c r="V76" s="59">
        <v>60</v>
      </c>
      <c r="W76" s="59">
        <v>60</v>
      </c>
      <c r="X76" s="59">
        <v>60</v>
      </c>
      <c r="Y76" s="59">
        <v>60</v>
      </c>
      <c r="Z76" s="59">
        <v>60</v>
      </c>
      <c r="AA76" s="59">
        <v>66</v>
      </c>
      <c r="AB76" s="59">
        <v>94</v>
      </c>
      <c r="AC76" s="59">
        <f>VLOOKUP($A76,'[1]Flu Deaths Updated'!$A$2:$N$460,14,FALSE)</f>
        <v>60</v>
      </c>
      <c r="AD76" s="60">
        <f t="shared" si="1"/>
        <v>760</v>
      </c>
      <c r="AE76" s="66">
        <f>Integrated[[#This Row],[Flu Deaths &lt;5 years old]]/Integrated[[#This Row],[Population &lt;5 years]]</f>
        <v>2.396453249191197E-3</v>
      </c>
      <c r="AF76" s="67">
        <f>Integrated[[#This Row],[Flu Deaths 5 to 14 years]]/Integrated[[#This Row],[Population 5 to 14 years]]</f>
        <v>6.1728395061728394E-4</v>
      </c>
      <c r="AG76" s="67">
        <f>Integrated[[#This Row],[Flu Deaths 15 to 24 years]]/Integrated[[#This Row],[Population 15 to 24 years]]</f>
        <v>6.0776726565507178E-4</v>
      </c>
      <c r="AH76" s="67">
        <f>Integrated[[#This Row],[Flu Deaths 25 to 34 years]]/Integrated[[#This Row],[Population 25 to 34 years]]</f>
        <v>6.2461612134209179E-4</v>
      </c>
      <c r="AI76" s="67">
        <f>Integrated[[#This Row],[Flu Deaths 35 to 44 years]]/Integrated[[#This Row],[Population 35 to 44 years]]</f>
        <v>7.1869198059531657E-4</v>
      </c>
      <c r="AJ76" s="67">
        <f>Integrated[[#This Row],[Flu Deaths 45 to 54 years]]/Integrated[[#This Row],[Population 45 to 54 years]]</f>
        <v>6.582628443537505E-4</v>
      </c>
      <c r="AK76" s="67">
        <f>Integrated[[#This Row],[Flu Deaths 55 to 64 years]]/Integrated[[#This Row],[Population 55 to 64 years]]</f>
        <v>6.3814173127851696E-4</v>
      </c>
      <c r="AL76" s="67">
        <f>Integrated[[#This Row],[Flu Deaths 65 to 74 years]]/Integrated[[#This Row],[Population 65 to 74 years]]</f>
        <v>1.040113719099955E-3</v>
      </c>
      <c r="AM76" s="67">
        <f>Integrated[[#This Row],[Flu Deaths 75 to 84 years]]/Integrated[[#This Row],[Population 75 to 84 years]]</f>
        <v>2.0159442866306242E-3</v>
      </c>
      <c r="AN76" s="67">
        <f>Integrated[[#This Row],[Flu Deaths 85+ years]]/Integrated[[#This Row],[Population 85+ years]]</f>
        <v>5.8334367630631751E-3</v>
      </c>
      <c r="AO76" s="68">
        <f>Integrated[[#This Row],[Total Flu Deaths]]/Integrated[[#This Row],[Total population]]</f>
        <v>1.0602427118776481E-3</v>
      </c>
    </row>
    <row r="77" spans="1:41" x14ac:dyDescent="0.3">
      <c r="A77" s="44" t="s">
        <v>160</v>
      </c>
      <c r="B77" t="s">
        <v>137</v>
      </c>
      <c r="C77" s="45">
        <v>2014</v>
      </c>
      <c r="D77" s="51">
        <v>1328659</v>
      </c>
      <c r="E77" s="2">
        <v>649540</v>
      </c>
      <c r="F77" s="2">
        <v>679119</v>
      </c>
      <c r="G77" s="78">
        <f>Integrated[[#This Row],[Female Total population]]/Integrated[[#This Row],[Total population]]</f>
        <v>0.51113114802217874</v>
      </c>
      <c r="H77" s="2">
        <v>66076</v>
      </c>
      <c r="I77" s="2">
        <v>149913</v>
      </c>
      <c r="J77" s="2">
        <v>164343</v>
      </c>
      <c r="K77" s="2">
        <v>149150</v>
      </c>
      <c r="L77" s="2">
        <v>162426</v>
      </c>
      <c r="M77" s="2">
        <v>209606</v>
      </c>
      <c r="N77" s="2">
        <v>200800</v>
      </c>
      <c r="O77" s="2">
        <v>125901</v>
      </c>
      <c r="P77" s="2">
        <v>71001</v>
      </c>
      <c r="Q77" s="52">
        <v>29875</v>
      </c>
      <c r="R77" s="127">
        <f>Integrated[[#This Row],[Population 85+ years]]/Integrated[[#This Row],[Total population]]</f>
        <v>2.2485077058899235E-2</v>
      </c>
      <c r="S77" s="58">
        <v>120</v>
      </c>
      <c r="T77" s="59">
        <v>60</v>
      </c>
      <c r="U77" s="59">
        <v>60</v>
      </c>
      <c r="V77" s="59">
        <v>60</v>
      </c>
      <c r="W77" s="59">
        <v>60</v>
      </c>
      <c r="X77" s="59">
        <v>60</v>
      </c>
      <c r="Y77" s="59">
        <v>60</v>
      </c>
      <c r="Z77" s="59">
        <v>60</v>
      </c>
      <c r="AA77" s="59">
        <v>60</v>
      </c>
      <c r="AB77" s="59">
        <v>96</v>
      </c>
      <c r="AC77" s="59">
        <f>VLOOKUP($A77,'[1]Flu Deaths Updated'!$A$2:$N$460,14,FALSE)</f>
        <v>60</v>
      </c>
      <c r="AD77" s="60">
        <f t="shared" si="1"/>
        <v>756</v>
      </c>
      <c r="AE77" s="66">
        <f>Integrated[[#This Row],[Flu Deaths &lt;5 years old]]/Integrated[[#This Row],[Population &lt;5 years]]</f>
        <v>1.8160905623827107E-3</v>
      </c>
      <c r="AF77" s="67">
        <f>Integrated[[#This Row],[Flu Deaths 5 to 14 years]]/Integrated[[#This Row],[Population 5 to 14 years]]</f>
        <v>4.002321346380901E-4</v>
      </c>
      <c r="AG77" s="67">
        <f>Integrated[[#This Row],[Flu Deaths 15 to 24 years]]/Integrated[[#This Row],[Population 15 to 24 years]]</f>
        <v>3.6509008597871524E-4</v>
      </c>
      <c r="AH77" s="67">
        <f>Integrated[[#This Row],[Flu Deaths 25 to 34 years]]/Integrated[[#This Row],[Population 25 to 34 years]]</f>
        <v>4.0227958431109621E-4</v>
      </c>
      <c r="AI77" s="67">
        <f>Integrated[[#This Row],[Flu Deaths 35 to 44 years]]/Integrated[[#This Row],[Population 35 to 44 years]]</f>
        <v>3.693989878467733E-4</v>
      </c>
      <c r="AJ77" s="67">
        <f>Integrated[[#This Row],[Flu Deaths 45 to 54 years]]/Integrated[[#This Row],[Population 45 to 54 years]]</f>
        <v>2.8625134776676239E-4</v>
      </c>
      <c r="AK77" s="67">
        <f>Integrated[[#This Row],[Flu Deaths 55 to 64 years]]/Integrated[[#This Row],[Population 55 to 64 years]]</f>
        <v>2.9880478087649401E-4</v>
      </c>
      <c r="AL77" s="67">
        <f>Integrated[[#This Row],[Flu Deaths 65 to 74 years]]/Integrated[[#This Row],[Population 65 to 74 years]]</f>
        <v>4.7656492005623466E-4</v>
      </c>
      <c r="AM77" s="67">
        <f>Integrated[[#This Row],[Flu Deaths 75 to 84 years]]/Integrated[[#This Row],[Population 75 to 84 years]]</f>
        <v>8.4505852030253097E-4</v>
      </c>
      <c r="AN77" s="67">
        <f>Integrated[[#This Row],[Flu Deaths 85+ years]]/Integrated[[#This Row],[Population 85+ years]]</f>
        <v>3.2133891213389121E-3</v>
      </c>
      <c r="AO77" s="68">
        <f>Integrated[[#This Row],[Total Flu Deaths]]/Integrated[[#This Row],[Total population]]</f>
        <v>5.6899475335657978E-4</v>
      </c>
    </row>
    <row r="78" spans="1:41" x14ac:dyDescent="0.3">
      <c r="A78" s="44" t="s">
        <v>129</v>
      </c>
      <c r="B78" t="s">
        <v>118</v>
      </c>
      <c r="C78" s="45">
        <v>2014</v>
      </c>
      <c r="D78" s="51">
        <v>1053252</v>
      </c>
      <c r="E78" s="2">
        <v>509826</v>
      </c>
      <c r="F78" s="2">
        <v>543426</v>
      </c>
      <c r="G78" s="78">
        <f>Integrated[[#This Row],[Female Total population]]/Integrated[[#This Row],[Total population]]</f>
        <v>0.51595059871711613</v>
      </c>
      <c r="H78" s="2">
        <v>55338</v>
      </c>
      <c r="I78" s="2">
        <v>121852</v>
      </c>
      <c r="J78" s="2">
        <v>159181</v>
      </c>
      <c r="K78" s="2">
        <v>132141</v>
      </c>
      <c r="L78" s="2">
        <v>130334</v>
      </c>
      <c r="M78" s="2">
        <v>156943</v>
      </c>
      <c r="N78" s="2">
        <v>137181</v>
      </c>
      <c r="O78" s="2">
        <v>81738</v>
      </c>
      <c r="P78" s="2">
        <v>49359</v>
      </c>
      <c r="Q78" s="52">
        <v>27808</v>
      </c>
      <c r="R78" s="127">
        <f>Integrated[[#This Row],[Population 85+ years]]/Integrated[[#This Row],[Total population]]</f>
        <v>2.6402038638426512E-2</v>
      </c>
      <c r="S78" s="58">
        <v>120</v>
      </c>
      <c r="T78" s="59">
        <v>60</v>
      </c>
      <c r="U78" s="59">
        <v>60</v>
      </c>
      <c r="V78" s="59">
        <v>60</v>
      </c>
      <c r="W78" s="59">
        <v>60</v>
      </c>
      <c r="X78" s="59">
        <v>60</v>
      </c>
      <c r="Y78" s="59">
        <v>60</v>
      </c>
      <c r="Z78" s="59">
        <v>60</v>
      </c>
      <c r="AA78" s="59">
        <v>60</v>
      </c>
      <c r="AB78" s="59">
        <v>96</v>
      </c>
      <c r="AC78" s="59">
        <f>VLOOKUP($A78,'[1]Flu Deaths Updated'!$A$2:$N$460,14,FALSE)</f>
        <v>60</v>
      </c>
      <c r="AD78" s="60">
        <f t="shared" si="1"/>
        <v>756</v>
      </c>
      <c r="AE78" s="66">
        <f>Integrated[[#This Row],[Flu Deaths &lt;5 years old]]/Integrated[[#This Row],[Population &lt;5 years]]</f>
        <v>2.1684918139434025E-3</v>
      </c>
      <c r="AF78" s="67">
        <f>Integrated[[#This Row],[Flu Deaths 5 to 14 years]]/Integrated[[#This Row],[Population 5 to 14 years]]</f>
        <v>4.9240061714210677E-4</v>
      </c>
      <c r="AG78" s="67">
        <f>Integrated[[#This Row],[Flu Deaths 15 to 24 years]]/Integrated[[#This Row],[Population 15 to 24 years]]</f>
        <v>3.7692940740414999E-4</v>
      </c>
      <c r="AH78" s="67">
        <f>Integrated[[#This Row],[Flu Deaths 25 to 34 years]]/Integrated[[#This Row],[Population 25 to 34 years]]</f>
        <v>4.5406043544395758E-4</v>
      </c>
      <c r="AI78" s="67">
        <f>Integrated[[#This Row],[Flu Deaths 35 to 44 years]]/Integrated[[#This Row],[Population 35 to 44 years]]</f>
        <v>4.6035570150536315E-4</v>
      </c>
      <c r="AJ78" s="67">
        <f>Integrated[[#This Row],[Flu Deaths 45 to 54 years]]/Integrated[[#This Row],[Population 45 to 54 years]]</f>
        <v>3.8230440350955441E-4</v>
      </c>
      <c r="AK78" s="67">
        <f>Integrated[[#This Row],[Flu Deaths 55 to 64 years]]/Integrated[[#This Row],[Population 55 to 64 years]]</f>
        <v>4.3737835414525336E-4</v>
      </c>
      <c r="AL78" s="67">
        <f>Integrated[[#This Row],[Flu Deaths 65 to 74 years]]/Integrated[[#This Row],[Population 65 to 74 years]]</f>
        <v>7.3405270498421782E-4</v>
      </c>
      <c r="AM78" s="67">
        <f>Integrated[[#This Row],[Flu Deaths 75 to 84 years]]/Integrated[[#This Row],[Population 75 to 84 years]]</f>
        <v>1.2155837841123199E-3</v>
      </c>
      <c r="AN78" s="67">
        <f>Integrated[[#This Row],[Flu Deaths 85+ years]]/Integrated[[#This Row],[Population 85+ years]]</f>
        <v>3.4522439585730723E-3</v>
      </c>
      <c r="AO78" s="68">
        <f>Integrated[[#This Row],[Total Flu Deaths]]/Integrated[[#This Row],[Total population]]</f>
        <v>7.1777694227022598E-4</v>
      </c>
    </row>
    <row r="79" spans="1:41" x14ac:dyDescent="0.3">
      <c r="A79" s="44" t="s">
        <v>112</v>
      </c>
      <c r="B79" t="s">
        <v>99</v>
      </c>
      <c r="C79" s="45">
        <v>2015</v>
      </c>
      <c r="D79" s="51">
        <v>949246</v>
      </c>
      <c r="E79" s="2">
        <v>477002</v>
      </c>
      <c r="F79" s="2">
        <v>472247</v>
      </c>
      <c r="G79" s="78">
        <f>Integrated[[#This Row],[Female Total population]]/Integrated[[#This Row],[Total population]]</f>
        <v>0.49749696074568656</v>
      </c>
      <c r="H79" s="2">
        <v>56009</v>
      </c>
      <c r="I79" s="2">
        <v>116526</v>
      </c>
      <c r="J79" s="2">
        <v>129425</v>
      </c>
      <c r="K79" s="2">
        <v>120575</v>
      </c>
      <c r="L79" s="2">
        <v>108071</v>
      </c>
      <c r="M79" s="2">
        <v>126921</v>
      </c>
      <c r="N79" s="2">
        <v>138220</v>
      </c>
      <c r="O79" s="2">
        <v>88551</v>
      </c>
      <c r="P79" s="2">
        <v>45791</v>
      </c>
      <c r="Q79" s="52">
        <v>19836</v>
      </c>
      <c r="R79" s="127">
        <f>Integrated[[#This Row],[Population 85+ years]]/Integrated[[#This Row],[Total population]]</f>
        <v>2.0896585289798431E-2</v>
      </c>
      <c r="S79" s="58">
        <v>120</v>
      </c>
      <c r="T79" s="59">
        <v>60</v>
      </c>
      <c r="U79" s="59">
        <v>60</v>
      </c>
      <c r="V79" s="59">
        <v>60</v>
      </c>
      <c r="W79" s="59">
        <v>60</v>
      </c>
      <c r="X79" s="59">
        <v>60</v>
      </c>
      <c r="Y79" s="59">
        <v>60</v>
      </c>
      <c r="Z79" s="59">
        <v>60</v>
      </c>
      <c r="AA79" s="59">
        <v>60</v>
      </c>
      <c r="AB79" s="59">
        <v>98</v>
      </c>
      <c r="AC79" s="59">
        <f>VLOOKUP($A79,'[1]Flu Deaths Updated'!$A$2:$N$460,14,FALSE)</f>
        <v>60</v>
      </c>
      <c r="AD79" s="60">
        <f t="shared" si="1"/>
        <v>758</v>
      </c>
      <c r="AE79" s="66">
        <f>Integrated[[#This Row],[Flu Deaths &lt;5 years old]]/Integrated[[#This Row],[Population &lt;5 years]]</f>
        <v>2.1425128104411791E-3</v>
      </c>
      <c r="AF79" s="67">
        <f>Integrated[[#This Row],[Flu Deaths 5 to 14 years]]/Integrated[[#This Row],[Population 5 to 14 years]]</f>
        <v>5.1490654446218007E-4</v>
      </c>
      <c r="AG79" s="67">
        <f>Integrated[[#This Row],[Flu Deaths 15 to 24 years]]/Integrated[[#This Row],[Population 15 to 24 years]]</f>
        <v>4.6358895112999808E-4</v>
      </c>
      <c r="AH79" s="67">
        <f>Integrated[[#This Row],[Flu Deaths 25 to 34 years]]/Integrated[[#This Row],[Population 25 to 34 years]]</f>
        <v>4.9761559195521464E-4</v>
      </c>
      <c r="AI79" s="67">
        <f>Integrated[[#This Row],[Flu Deaths 35 to 44 years]]/Integrated[[#This Row],[Population 35 to 44 years]]</f>
        <v>5.5519056916286517E-4</v>
      </c>
      <c r="AJ79" s="67">
        <f>Integrated[[#This Row],[Flu Deaths 45 to 54 years]]/Integrated[[#This Row],[Population 45 to 54 years]]</f>
        <v>4.7273500839104638E-4</v>
      </c>
      <c r="AK79" s="67">
        <f>Integrated[[#This Row],[Flu Deaths 55 to 64 years]]/Integrated[[#This Row],[Population 55 to 64 years]]</f>
        <v>4.340905802344089E-4</v>
      </c>
      <c r="AL79" s="67">
        <f>Integrated[[#This Row],[Flu Deaths 65 to 74 years]]/Integrated[[#This Row],[Population 65 to 74 years]]</f>
        <v>6.7757563438018773E-4</v>
      </c>
      <c r="AM79" s="67">
        <f>Integrated[[#This Row],[Flu Deaths 75 to 84 years]]/Integrated[[#This Row],[Population 75 to 84 years]]</f>
        <v>1.3103011508811776E-3</v>
      </c>
      <c r="AN79" s="67">
        <f>Integrated[[#This Row],[Flu Deaths 85+ years]]/Integrated[[#This Row],[Population 85+ years]]</f>
        <v>4.9405122000403309E-3</v>
      </c>
      <c r="AO79" s="68">
        <f>Integrated[[#This Row],[Total Flu Deaths]]/Integrated[[#This Row],[Total population]]</f>
        <v>7.9852851631716118E-4</v>
      </c>
    </row>
    <row r="80" spans="1:41" x14ac:dyDescent="0.3">
      <c r="A80" s="44" t="s">
        <v>157</v>
      </c>
      <c r="B80" t="s">
        <v>139</v>
      </c>
      <c r="C80" s="45">
        <v>2010</v>
      </c>
      <c r="D80" s="51">
        <v>1313939</v>
      </c>
      <c r="E80" s="2">
        <v>648504</v>
      </c>
      <c r="F80" s="2">
        <v>665435</v>
      </c>
      <c r="G80" s="78">
        <f>Integrated[[#This Row],[Female Total population]]/Integrated[[#This Row],[Total population]]</f>
        <v>0.50644284095380376</v>
      </c>
      <c r="H80" s="2">
        <v>72306</v>
      </c>
      <c r="I80" s="2">
        <v>166239</v>
      </c>
      <c r="J80" s="2">
        <v>179691</v>
      </c>
      <c r="K80" s="2">
        <v>144240</v>
      </c>
      <c r="L80" s="2">
        <v>192156</v>
      </c>
      <c r="M80" s="2">
        <v>221687</v>
      </c>
      <c r="N80" s="2">
        <v>166828</v>
      </c>
      <c r="O80" s="2">
        <v>90493</v>
      </c>
      <c r="P80" s="2">
        <v>56792</v>
      </c>
      <c r="Q80" s="52">
        <v>23057</v>
      </c>
      <c r="R80" s="127">
        <f>Integrated[[#This Row],[Population 85+ years]]/Integrated[[#This Row],[Total population]]</f>
        <v>1.7547998803597427E-2</v>
      </c>
      <c r="S80" s="58">
        <v>120</v>
      </c>
      <c r="T80" s="59">
        <v>60</v>
      </c>
      <c r="U80" s="59">
        <v>60</v>
      </c>
      <c r="V80" s="59">
        <v>60</v>
      </c>
      <c r="W80" s="59">
        <v>60</v>
      </c>
      <c r="X80" s="59">
        <v>60</v>
      </c>
      <c r="Y80" s="59">
        <v>60</v>
      </c>
      <c r="Z80" s="59">
        <v>60</v>
      </c>
      <c r="AA80" s="59">
        <v>60</v>
      </c>
      <c r="AB80" s="59">
        <v>98</v>
      </c>
      <c r="AC80" s="59">
        <f>VLOOKUP($A80,'[1]Flu Deaths Updated'!$A$2:$N$460,14,FALSE)</f>
        <v>60</v>
      </c>
      <c r="AD80" s="60">
        <f t="shared" si="1"/>
        <v>758</v>
      </c>
      <c r="AE80" s="66">
        <f>Integrated[[#This Row],[Flu Deaths &lt;5 years old]]/Integrated[[#This Row],[Population &lt;5 years]]</f>
        <v>1.6596133100987469E-3</v>
      </c>
      <c r="AF80" s="67">
        <f>Integrated[[#This Row],[Flu Deaths 5 to 14 years]]/Integrated[[#This Row],[Population 5 to 14 years]]</f>
        <v>3.609261364661722E-4</v>
      </c>
      <c r="AG80" s="67">
        <f>Integrated[[#This Row],[Flu Deaths 15 to 24 years]]/Integrated[[#This Row],[Population 15 to 24 years]]</f>
        <v>3.3390653955957727E-4</v>
      </c>
      <c r="AH80" s="67">
        <f>Integrated[[#This Row],[Flu Deaths 25 to 34 years]]/Integrated[[#This Row],[Population 25 to 34 years]]</f>
        <v>4.1597337770382697E-4</v>
      </c>
      <c r="AI80" s="67">
        <f>Integrated[[#This Row],[Flu Deaths 35 to 44 years]]/Integrated[[#This Row],[Population 35 to 44 years]]</f>
        <v>3.1224629988134639E-4</v>
      </c>
      <c r="AJ80" s="67">
        <f>Integrated[[#This Row],[Flu Deaths 45 to 54 years]]/Integrated[[#This Row],[Population 45 to 54 years]]</f>
        <v>2.7065186501689319E-4</v>
      </c>
      <c r="AK80" s="67">
        <f>Integrated[[#This Row],[Flu Deaths 55 to 64 years]]/Integrated[[#This Row],[Population 55 to 64 years]]</f>
        <v>3.5965185700242167E-4</v>
      </c>
      <c r="AL80" s="67">
        <f>Integrated[[#This Row],[Flu Deaths 65 to 74 years]]/Integrated[[#This Row],[Population 65 to 74 years]]</f>
        <v>6.6303470986706157E-4</v>
      </c>
      <c r="AM80" s="67">
        <f>Integrated[[#This Row],[Flu Deaths 75 to 84 years]]/Integrated[[#This Row],[Population 75 to 84 years]]</f>
        <v>1.0564868291308635E-3</v>
      </c>
      <c r="AN80" s="67">
        <f>Integrated[[#This Row],[Flu Deaths 85+ years]]/Integrated[[#This Row],[Population 85+ years]]</f>
        <v>4.2503361235199724E-3</v>
      </c>
      <c r="AO80" s="68">
        <f>Integrated[[#This Row],[Total Flu Deaths]]/Integrated[[#This Row],[Total population]]</f>
        <v>5.7689131687239665E-4</v>
      </c>
    </row>
    <row r="81" spans="1:41" x14ac:dyDescent="0.3">
      <c r="A81" s="44" t="s">
        <v>128</v>
      </c>
      <c r="B81" t="s">
        <v>118</v>
      </c>
      <c r="C81" s="45">
        <v>2009</v>
      </c>
      <c r="D81" s="51">
        <v>1057381</v>
      </c>
      <c r="E81" s="2">
        <v>512141</v>
      </c>
      <c r="F81" s="2">
        <v>545240</v>
      </c>
      <c r="G81" s="78">
        <f>Integrated[[#This Row],[Female Total population]]/Integrated[[#This Row],[Total population]]</f>
        <v>0.51565140663582942</v>
      </c>
      <c r="H81" s="2">
        <v>61094</v>
      </c>
      <c r="I81" s="2">
        <v>129222</v>
      </c>
      <c r="J81" s="2">
        <v>152572</v>
      </c>
      <c r="K81" s="2">
        <v>132597</v>
      </c>
      <c r="L81" s="2">
        <v>153618</v>
      </c>
      <c r="M81" s="2">
        <v>160694</v>
      </c>
      <c r="N81" s="2">
        <v>118196</v>
      </c>
      <c r="O81" s="2">
        <v>70288</v>
      </c>
      <c r="P81" s="2">
        <v>55552</v>
      </c>
      <c r="Q81" s="52">
        <v>23556</v>
      </c>
      <c r="R81" s="127">
        <f>Integrated[[#This Row],[Population 85+ years]]/Integrated[[#This Row],[Total population]]</f>
        <v>2.2277684202761352E-2</v>
      </c>
      <c r="S81" s="58">
        <v>120</v>
      </c>
      <c r="T81" s="59">
        <v>60</v>
      </c>
      <c r="U81" s="59">
        <v>60</v>
      </c>
      <c r="V81" s="59">
        <v>60</v>
      </c>
      <c r="W81" s="59">
        <v>60</v>
      </c>
      <c r="X81" s="59">
        <v>60</v>
      </c>
      <c r="Y81" s="59">
        <v>60</v>
      </c>
      <c r="Z81" s="59">
        <v>60</v>
      </c>
      <c r="AA81" s="59">
        <v>67</v>
      </c>
      <c r="AB81" s="59">
        <v>98</v>
      </c>
      <c r="AC81" s="59">
        <f>VLOOKUP($A81,'[1]Flu Deaths Updated'!$A$2:$N$460,14,FALSE)</f>
        <v>60</v>
      </c>
      <c r="AD81" s="60">
        <f t="shared" si="1"/>
        <v>765</v>
      </c>
      <c r="AE81" s="66">
        <f>Integrated[[#This Row],[Flu Deaths &lt;5 years old]]/Integrated[[#This Row],[Population &lt;5 years]]</f>
        <v>1.9641863358103905E-3</v>
      </c>
      <c r="AF81" s="67">
        <f>Integrated[[#This Row],[Flu Deaths 5 to 14 years]]/Integrated[[#This Row],[Population 5 to 14 years]]</f>
        <v>4.6431722152574638E-4</v>
      </c>
      <c r="AG81" s="67">
        <f>Integrated[[#This Row],[Flu Deaths 15 to 24 years]]/Integrated[[#This Row],[Population 15 to 24 years]]</f>
        <v>3.9325695409380491E-4</v>
      </c>
      <c r="AH81" s="67">
        <f>Integrated[[#This Row],[Flu Deaths 25 to 34 years]]/Integrated[[#This Row],[Population 25 to 34 years]]</f>
        <v>4.5249892531505235E-4</v>
      </c>
      <c r="AI81" s="67">
        <f>Integrated[[#This Row],[Flu Deaths 35 to 44 years]]/Integrated[[#This Row],[Population 35 to 44 years]]</f>
        <v>3.9057922899660196E-4</v>
      </c>
      <c r="AJ81" s="67">
        <f>Integrated[[#This Row],[Flu Deaths 45 to 54 years]]/Integrated[[#This Row],[Population 45 to 54 years]]</f>
        <v>3.7338046224501227E-4</v>
      </c>
      <c r="AK81" s="67">
        <f>Integrated[[#This Row],[Flu Deaths 55 to 64 years]]/Integrated[[#This Row],[Population 55 to 64 years]]</f>
        <v>5.0763139192527666E-4</v>
      </c>
      <c r="AL81" s="67">
        <f>Integrated[[#This Row],[Flu Deaths 65 to 74 years]]/Integrated[[#This Row],[Population 65 to 74 years]]</f>
        <v>8.5363077623491919E-4</v>
      </c>
      <c r="AM81" s="67">
        <f>Integrated[[#This Row],[Flu Deaths 75 to 84 years]]/Integrated[[#This Row],[Population 75 to 84 years]]</f>
        <v>1.2060771889400921E-3</v>
      </c>
      <c r="AN81" s="67">
        <f>Integrated[[#This Row],[Flu Deaths 85+ years]]/Integrated[[#This Row],[Population 85+ years]]</f>
        <v>4.1602988622856177E-3</v>
      </c>
      <c r="AO81" s="68">
        <f>Integrated[[#This Row],[Total Flu Deaths]]/Integrated[[#This Row],[Total population]]</f>
        <v>7.2348566883649319E-4</v>
      </c>
    </row>
    <row r="82" spans="1:41" x14ac:dyDescent="0.3">
      <c r="A82" s="44" t="s">
        <v>58</v>
      </c>
      <c r="B82" t="s">
        <v>49</v>
      </c>
      <c r="C82" s="45">
        <v>2014</v>
      </c>
      <c r="D82" s="51">
        <v>597394</v>
      </c>
      <c r="E82" s="2">
        <v>300158</v>
      </c>
      <c r="F82" s="2">
        <v>297245</v>
      </c>
      <c r="G82" s="78">
        <f>Integrated[[#This Row],[Female Total population]]/Integrated[[#This Row],[Total population]]</f>
        <v>0.4975694432819881</v>
      </c>
      <c r="H82" s="2">
        <v>41810</v>
      </c>
      <c r="I82" s="2">
        <v>80289</v>
      </c>
      <c r="J82" s="2">
        <v>83205</v>
      </c>
      <c r="K82" s="2">
        <v>79618</v>
      </c>
      <c r="L82" s="2">
        <v>69422</v>
      </c>
      <c r="M82" s="2">
        <v>81297</v>
      </c>
      <c r="N82" s="2">
        <v>75013</v>
      </c>
      <c r="O82" s="2">
        <v>45038</v>
      </c>
      <c r="P82" s="2">
        <v>28158</v>
      </c>
      <c r="Q82" s="52">
        <v>13957</v>
      </c>
      <c r="R82" s="127">
        <f>Integrated[[#This Row],[Population 85+ years]]/Integrated[[#This Row],[Total population]]</f>
        <v>2.3363140573892608E-2</v>
      </c>
      <c r="S82" s="58">
        <v>120</v>
      </c>
      <c r="T82" s="59">
        <v>60</v>
      </c>
      <c r="U82" s="59">
        <v>60</v>
      </c>
      <c r="V82" s="59">
        <v>60</v>
      </c>
      <c r="W82" s="59">
        <v>60</v>
      </c>
      <c r="X82" s="59">
        <v>60</v>
      </c>
      <c r="Y82" s="59">
        <v>60</v>
      </c>
      <c r="Z82" s="59">
        <v>60</v>
      </c>
      <c r="AA82" s="59">
        <v>60</v>
      </c>
      <c r="AB82" s="59">
        <v>99</v>
      </c>
      <c r="AC82" s="59">
        <f>VLOOKUP($A82,'[1]Flu Deaths Updated'!$A$2:$N$460,14,FALSE)</f>
        <v>60</v>
      </c>
      <c r="AD82" s="60">
        <f t="shared" si="1"/>
        <v>759</v>
      </c>
      <c r="AE82" s="66">
        <f>Integrated[[#This Row],[Flu Deaths &lt;5 years old]]/Integrated[[#This Row],[Population &lt;5 years]]</f>
        <v>2.8701267639320736E-3</v>
      </c>
      <c r="AF82" s="67">
        <f>Integrated[[#This Row],[Flu Deaths 5 to 14 years]]/Integrated[[#This Row],[Population 5 to 14 years]]</f>
        <v>7.4730037738669059E-4</v>
      </c>
      <c r="AG82" s="67">
        <f>Integrated[[#This Row],[Flu Deaths 15 to 24 years]]/Integrated[[#This Row],[Population 15 to 24 years]]</f>
        <v>7.2111051018568597E-4</v>
      </c>
      <c r="AH82" s="67">
        <f>Integrated[[#This Row],[Flu Deaths 25 to 34 years]]/Integrated[[#This Row],[Population 25 to 34 years]]</f>
        <v>7.5359843251526033E-4</v>
      </c>
      <c r="AI82" s="67">
        <f>Integrated[[#This Row],[Flu Deaths 35 to 44 years]]/Integrated[[#This Row],[Population 35 to 44 years]]</f>
        <v>8.642793350810982E-4</v>
      </c>
      <c r="AJ82" s="67">
        <f>Integrated[[#This Row],[Flu Deaths 45 to 54 years]]/Integrated[[#This Row],[Population 45 to 54 years]]</f>
        <v>7.3803461382338832E-4</v>
      </c>
      <c r="AK82" s="67">
        <f>Integrated[[#This Row],[Flu Deaths 55 to 64 years]]/Integrated[[#This Row],[Population 55 to 64 years]]</f>
        <v>7.9986135736472344E-4</v>
      </c>
      <c r="AL82" s="67">
        <f>Integrated[[#This Row],[Flu Deaths 65 to 74 years]]/Integrated[[#This Row],[Population 65 to 74 years]]</f>
        <v>1.3322083573870953E-3</v>
      </c>
      <c r="AM82" s="67">
        <f>Integrated[[#This Row],[Flu Deaths 75 to 84 years]]/Integrated[[#This Row],[Population 75 to 84 years]]</f>
        <v>2.1308331557639039E-3</v>
      </c>
      <c r="AN82" s="67">
        <f>Integrated[[#This Row],[Flu Deaths 85+ years]]/Integrated[[#This Row],[Population 85+ years]]</f>
        <v>7.0932148742566458E-3</v>
      </c>
      <c r="AO82" s="68">
        <f>Integrated[[#This Row],[Total Flu Deaths]]/Integrated[[#This Row],[Total population]]</f>
        <v>1.2705182844153105E-3</v>
      </c>
    </row>
    <row r="83" spans="1:41" x14ac:dyDescent="0.3">
      <c r="A83" s="44" t="s">
        <v>218</v>
      </c>
      <c r="B83" t="s">
        <v>202</v>
      </c>
      <c r="C83" s="45">
        <v>2017</v>
      </c>
      <c r="D83" s="51">
        <v>2022695</v>
      </c>
      <c r="E83" s="2">
        <v>1001174</v>
      </c>
      <c r="F83" s="2">
        <v>1021521</v>
      </c>
      <c r="G83" s="78">
        <f>Integrated[[#This Row],[Female Total population]]/Integrated[[#This Row],[Total population]]</f>
        <v>0.50502967575437718</v>
      </c>
      <c r="H83" s="2">
        <v>129300</v>
      </c>
      <c r="I83" s="2">
        <v>276532</v>
      </c>
      <c r="J83" s="2">
        <v>281052</v>
      </c>
      <c r="K83" s="2">
        <v>273604</v>
      </c>
      <c r="L83" s="2">
        <v>239278</v>
      </c>
      <c r="M83" s="2">
        <v>251312</v>
      </c>
      <c r="N83" s="2">
        <v>261110</v>
      </c>
      <c r="O83" s="2">
        <v>183536</v>
      </c>
      <c r="P83" s="2">
        <v>91893</v>
      </c>
      <c r="Q83" s="52">
        <v>35096</v>
      </c>
      <c r="R83" s="127">
        <f>Integrated[[#This Row],[Population 85+ years]]/Integrated[[#This Row],[Total population]]</f>
        <v>1.7351108298581844E-2</v>
      </c>
      <c r="S83" s="58">
        <v>120</v>
      </c>
      <c r="T83" s="59">
        <v>60</v>
      </c>
      <c r="U83" s="59">
        <v>60</v>
      </c>
      <c r="V83" s="59">
        <v>60</v>
      </c>
      <c r="W83" s="59">
        <v>60</v>
      </c>
      <c r="X83" s="59">
        <v>60</v>
      </c>
      <c r="Y83" s="59">
        <v>60</v>
      </c>
      <c r="Z83" s="59">
        <v>66</v>
      </c>
      <c r="AA83" s="59">
        <v>95</v>
      </c>
      <c r="AB83" s="59">
        <v>99</v>
      </c>
      <c r="AC83" s="59">
        <f>VLOOKUP($A83,'[1]Flu Deaths Updated'!$A$2:$N$460,14,FALSE)</f>
        <v>60</v>
      </c>
      <c r="AD83" s="60">
        <f t="shared" si="1"/>
        <v>800</v>
      </c>
      <c r="AE83" s="66">
        <f>Integrated[[#This Row],[Flu Deaths &lt;5 years old]]/Integrated[[#This Row],[Population &lt;5 years]]</f>
        <v>9.2807424593967518E-4</v>
      </c>
      <c r="AF83" s="67">
        <f>Integrated[[#This Row],[Flu Deaths 5 to 14 years]]/Integrated[[#This Row],[Population 5 to 14 years]]</f>
        <v>2.1697308087309966E-4</v>
      </c>
      <c r="AG83" s="67">
        <f>Integrated[[#This Row],[Flu Deaths 15 to 24 years]]/Integrated[[#This Row],[Population 15 to 24 years]]</f>
        <v>2.1348362580590069E-4</v>
      </c>
      <c r="AH83" s="67">
        <f>Integrated[[#This Row],[Flu Deaths 25 to 34 years]]/Integrated[[#This Row],[Population 25 to 34 years]]</f>
        <v>2.1929503954620547E-4</v>
      </c>
      <c r="AI83" s="67">
        <f>Integrated[[#This Row],[Flu Deaths 35 to 44 years]]/Integrated[[#This Row],[Population 35 to 44 years]]</f>
        <v>2.5075435267763856E-4</v>
      </c>
      <c r="AJ83" s="67">
        <f>Integrated[[#This Row],[Flu Deaths 45 to 54 years]]/Integrated[[#This Row],[Population 45 to 54 years]]</f>
        <v>2.3874705545298274E-4</v>
      </c>
      <c r="AK83" s="67">
        <f>Integrated[[#This Row],[Flu Deaths 55 to 64 years]]/Integrated[[#This Row],[Population 55 to 64 years]]</f>
        <v>2.2978821186473133E-4</v>
      </c>
      <c r="AL83" s="67">
        <f>Integrated[[#This Row],[Flu Deaths 65 to 74 years]]/Integrated[[#This Row],[Population 65 to 74 years]]</f>
        <v>3.5960247580856073E-4</v>
      </c>
      <c r="AM83" s="67">
        <f>Integrated[[#This Row],[Flu Deaths 75 to 84 years]]/Integrated[[#This Row],[Population 75 to 84 years]]</f>
        <v>1.0338110628665949E-3</v>
      </c>
      <c r="AN83" s="67">
        <f>Integrated[[#This Row],[Flu Deaths 85+ years]]/Integrated[[#This Row],[Population 85+ years]]</f>
        <v>2.8208342831091862E-3</v>
      </c>
      <c r="AO83" s="68">
        <f>Integrated[[#This Row],[Total Flu Deaths]]/Integrated[[#This Row],[Total population]]</f>
        <v>3.9551192839256538E-4</v>
      </c>
    </row>
    <row r="84" spans="1:41" x14ac:dyDescent="0.3">
      <c r="A84" s="44" t="s">
        <v>90</v>
      </c>
      <c r="B84" t="s">
        <v>49</v>
      </c>
      <c r="C84" s="45">
        <v>2017</v>
      </c>
      <c r="D84" s="51">
        <v>720961</v>
      </c>
      <c r="E84" s="2">
        <v>364672</v>
      </c>
      <c r="F84" s="2">
        <v>356294</v>
      </c>
      <c r="G84" s="78">
        <f>Integrated[[#This Row],[Female Total population]]/Integrated[[#This Row],[Total population]]</f>
        <v>0.49419316717547829</v>
      </c>
      <c r="H84" s="2">
        <v>48913</v>
      </c>
      <c r="I84" s="2">
        <v>98326</v>
      </c>
      <c r="J84" s="2">
        <v>95072</v>
      </c>
      <c r="K84" s="2">
        <v>97413</v>
      </c>
      <c r="L84" s="2">
        <v>86563</v>
      </c>
      <c r="M84" s="2">
        <v>88796</v>
      </c>
      <c r="N84" s="2">
        <v>94963</v>
      </c>
      <c r="O84" s="2">
        <v>62828</v>
      </c>
      <c r="P84" s="2">
        <v>32972</v>
      </c>
      <c r="Q84" s="52">
        <v>15198</v>
      </c>
      <c r="R84" s="127">
        <f>Integrated[[#This Row],[Population 85+ years]]/Integrated[[#This Row],[Total population]]</f>
        <v>2.1080197125780728E-2</v>
      </c>
      <c r="S84" s="58">
        <v>120</v>
      </c>
      <c r="T84" s="59">
        <v>60</v>
      </c>
      <c r="U84" s="59">
        <v>60</v>
      </c>
      <c r="V84" s="59">
        <v>60</v>
      </c>
      <c r="W84" s="59">
        <v>60</v>
      </c>
      <c r="X84" s="59">
        <v>60</v>
      </c>
      <c r="Y84" s="59">
        <v>60</v>
      </c>
      <c r="Z84" s="59">
        <v>60</v>
      </c>
      <c r="AA84" s="59">
        <v>60</v>
      </c>
      <c r="AB84" s="59">
        <v>100</v>
      </c>
      <c r="AC84" s="59">
        <f>VLOOKUP($A84,'[1]Flu Deaths Updated'!$A$2:$N$460,14,FALSE)</f>
        <v>60</v>
      </c>
      <c r="AD84" s="60">
        <f t="shared" si="1"/>
        <v>760</v>
      </c>
      <c r="AE84" s="66">
        <f>Integrated[[#This Row],[Flu Deaths &lt;5 years old]]/Integrated[[#This Row],[Population &lt;5 years]]</f>
        <v>2.4533355140760127E-3</v>
      </c>
      <c r="AF84" s="67">
        <f>Integrated[[#This Row],[Flu Deaths 5 to 14 years]]/Integrated[[#This Row],[Population 5 to 14 years]]</f>
        <v>6.1021499908467749E-4</v>
      </c>
      <c r="AG84" s="67">
        <f>Integrated[[#This Row],[Flu Deaths 15 to 24 years]]/Integrated[[#This Row],[Population 15 to 24 years]]</f>
        <v>6.3110063951531473E-4</v>
      </c>
      <c r="AH84" s="67">
        <f>Integrated[[#This Row],[Flu Deaths 25 to 34 years]]/Integrated[[#This Row],[Population 25 to 34 years]]</f>
        <v>6.159342182254935E-4</v>
      </c>
      <c r="AI84" s="67">
        <f>Integrated[[#This Row],[Flu Deaths 35 to 44 years]]/Integrated[[#This Row],[Population 35 to 44 years]]</f>
        <v>6.9313679054561423E-4</v>
      </c>
      <c r="AJ84" s="67">
        <f>Integrated[[#This Row],[Flu Deaths 45 to 54 years]]/Integrated[[#This Row],[Population 45 to 54 years]]</f>
        <v>6.7570611288796795E-4</v>
      </c>
      <c r="AK84" s="67">
        <f>Integrated[[#This Row],[Flu Deaths 55 to 64 years]]/Integrated[[#This Row],[Population 55 to 64 years]]</f>
        <v>6.3182502658930316E-4</v>
      </c>
      <c r="AL84" s="67">
        <f>Integrated[[#This Row],[Flu Deaths 65 to 74 years]]/Integrated[[#This Row],[Population 65 to 74 years]]</f>
        <v>9.5498822181193095E-4</v>
      </c>
      <c r="AM84" s="67">
        <f>Integrated[[#This Row],[Flu Deaths 75 to 84 years]]/Integrated[[#This Row],[Population 75 to 84 years]]</f>
        <v>1.8197258279752516E-3</v>
      </c>
      <c r="AN84" s="67">
        <f>Integrated[[#This Row],[Flu Deaths 85+ years]]/Integrated[[#This Row],[Population 85+ years]]</f>
        <v>6.5798131333070142E-3</v>
      </c>
      <c r="AO84" s="68">
        <f>Integrated[[#This Row],[Total Flu Deaths]]/Integrated[[#This Row],[Total population]]</f>
        <v>1.0541485600469374E-3</v>
      </c>
    </row>
    <row r="85" spans="1:41" x14ac:dyDescent="0.3">
      <c r="A85" s="44" t="s">
        <v>181</v>
      </c>
      <c r="B85" t="s">
        <v>166</v>
      </c>
      <c r="C85" s="45">
        <v>2011</v>
      </c>
      <c r="D85" s="51">
        <v>1528820</v>
      </c>
      <c r="E85" s="2">
        <v>765688</v>
      </c>
      <c r="F85" s="2">
        <v>763132</v>
      </c>
      <c r="G85" s="78">
        <f>Integrated[[#This Row],[Female Total population]]/Integrated[[#This Row],[Total population]]</f>
        <v>0.49916406117136092</v>
      </c>
      <c r="H85" s="2">
        <v>117696</v>
      </c>
      <c r="I85" s="2">
        <v>230371</v>
      </c>
      <c r="J85" s="2">
        <v>222204</v>
      </c>
      <c r="K85" s="2">
        <v>203020</v>
      </c>
      <c r="L85" s="2">
        <v>189797</v>
      </c>
      <c r="M85" s="2">
        <v>204992</v>
      </c>
      <c r="N85" s="2">
        <v>173061</v>
      </c>
      <c r="O85" s="2">
        <v>104255</v>
      </c>
      <c r="P85" s="2">
        <v>59576</v>
      </c>
      <c r="Q85" s="52">
        <v>24160</v>
      </c>
      <c r="R85" s="127">
        <f>Integrated[[#This Row],[Population 85+ years]]/Integrated[[#This Row],[Total population]]</f>
        <v>1.5803037636870267E-2</v>
      </c>
      <c r="S85" s="58">
        <v>120</v>
      </c>
      <c r="T85" s="59">
        <v>60</v>
      </c>
      <c r="U85" s="59">
        <v>60</v>
      </c>
      <c r="V85" s="59">
        <v>60</v>
      </c>
      <c r="W85" s="59">
        <v>60</v>
      </c>
      <c r="X85" s="59">
        <v>60</v>
      </c>
      <c r="Y85" s="59">
        <v>60</v>
      </c>
      <c r="Z85" s="59">
        <v>60</v>
      </c>
      <c r="AA85" s="59">
        <v>60</v>
      </c>
      <c r="AB85" s="59">
        <v>101</v>
      </c>
      <c r="AC85" s="59">
        <f>VLOOKUP($A85,'[1]Flu Deaths Updated'!$A$2:$N$460,14,FALSE)</f>
        <v>60</v>
      </c>
      <c r="AD85" s="60">
        <f t="shared" si="1"/>
        <v>761</v>
      </c>
      <c r="AE85" s="66">
        <f>Integrated[[#This Row],[Flu Deaths &lt;5 years old]]/Integrated[[#This Row],[Population &lt;5 years]]</f>
        <v>1.0195758564437193E-3</v>
      </c>
      <c r="AF85" s="67">
        <f>Integrated[[#This Row],[Flu Deaths 5 to 14 years]]/Integrated[[#This Row],[Population 5 to 14 years]]</f>
        <v>2.6044944893237429E-4</v>
      </c>
      <c r="AG85" s="67">
        <f>Integrated[[#This Row],[Flu Deaths 15 to 24 years]]/Integrated[[#This Row],[Population 15 to 24 years]]</f>
        <v>2.7002214181562887E-4</v>
      </c>
      <c r="AH85" s="67">
        <f>Integrated[[#This Row],[Flu Deaths 25 to 34 years]]/Integrated[[#This Row],[Population 25 to 34 years]]</f>
        <v>2.9553738547926311E-4</v>
      </c>
      <c r="AI85" s="67">
        <f>Integrated[[#This Row],[Flu Deaths 35 to 44 years]]/Integrated[[#This Row],[Population 35 to 44 years]]</f>
        <v>3.1612723067277144E-4</v>
      </c>
      <c r="AJ85" s="67">
        <f>Integrated[[#This Row],[Flu Deaths 45 to 54 years]]/Integrated[[#This Row],[Population 45 to 54 years]]</f>
        <v>2.9269434904776771E-4</v>
      </c>
      <c r="AK85" s="67">
        <f>Integrated[[#This Row],[Flu Deaths 55 to 64 years]]/Integrated[[#This Row],[Population 55 to 64 years]]</f>
        <v>3.4669856293445664E-4</v>
      </c>
      <c r="AL85" s="67">
        <f>Integrated[[#This Row],[Flu Deaths 65 to 74 years]]/Integrated[[#This Row],[Population 65 to 74 years]]</f>
        <v>5.7551196585295665E-4</v>
      </c>
      <c r="AM85" s="67">
        <f>Integrated[[#This Row],[Flu Deaths 75 to 84 years]]/Integrated[[#This Row],[Population 75 to 84 years]]</f>
        <v>1.0071169598496038E-3</v>
      </c>
      <c r="AN85" s="67">
        <f>Integrated[[#This Row],[Flu Deaths 85+ years]]/Integrated[[#This Row],[Population 85+ years]]</f>
        <v>4.1804635761589406E-3</v>
      </c>
      <c r="AO85" s="68">
        <f>Integrated[[#This Row],[Total Flu Deaths]]/Integrated[[#This Row],[Total population]]</f>
        <v>4.9776952159181586E-4</v>
      </c>
    </row>
    <row r="86" spans="1:41" x14ac:dyDescent="0.3">
      <c r="A86" s="44" t="s">
        <v>126</v>
      </c>
      <c r="B86" t="s">
        <v>118</v>
      </c>
      <c r="C86" s="45">
        <v>2013</v>
      </c>
      <c r="D86" s="51">
        <v>1051695</v>
      </c>
      <c r="E86" s="2">
        <v>508455</v>
      </c>
      <c r="F86" s="2">
        <v>543240</v>
      </c>
      <c r="G86" s="78">
        <f>Integrated[[#This Row],[Female Total population]]/Integrated[[#This Row],[Total population]]</f>
        <v>0.51653758932009752</v>
      </c>
      <c r="H86" s="2">
        <v>56281</v>
      </c>
      <c r="I86" s="2">
        <v>123218</v>
      </c>
      <c r="J86" s="2">
        <v>160720</v>
      </c>
      <c r="K86" s="2">
        <v>129842</v>
      </c>
      <c r="L86" s="2">
        <v>133711</v>
      </c>
      <c r="M86" s="2">
        <v>159533</v>
      </c>
      <c r="N86" s="2">
        <v>134105</v>
      </c>
      <c r="O86" s="2">
        <v>78668</v>
      </c>
      <c r="P86" s="2">
        <v>50042</v>
      </c>
      <c r="Q86" s="52">
        <v>27204</v>
      </c>
      <c r="R86" s="127">
        <f>Integrated[[#This Row],[Population 85+ years]]/Integrated[[#This Row],[Total population]]</f>
        <v>2.5866814998645044E-2</v>
      </c>
      <c r="S86" s="58">
        <v>120</v>
      </c>
      <c r="T86" s="59">
        <v>60</v>
      </c>
      <c r="U86" s="59">
        <v>60</v>
      </c>
      <c r="V86" s="59">
        <v>60</v>
      </c>
      <c r="W86" s="59">
        <v>60</v>
      </c>
      <c r="X86" s="59">
        <v>60</v>
      </c>
      <c r="Y86" s="59">
        <v>60</v>
      </c>
      <c r="Z86" s="59">
        <v>60</v>
      </c>
      <c r="AA86" s="59">
        <v>65</v>
      </c>
      <c r="AB86" s="59">
        <v>101</v>
      </c>
      <c r="AC86" s="59">
        <f>VLOOKUP($A86,'[1]Flu Deaths Updated'!$A$2:$N$460,14,FALSE)</f>
        <v>60</v>
      </c>
      <c r="AD86" s="60">
        <f t="shared" si="1"/>
        <v>766</v>
      </c>
      <c r="AE86" s="66">
        <f>Integrated[[#This Row],[Flu Deaths &lt;5 years old]]/Integrated[[#This Row],[Population &lt;5 years]]</f>
        <v>2.1321582772161119E-3</v>
      </c>
      <c r="AF86" s="67">
        <f>Integrated[[#This Row],[Flu Deaths 5 to 14 years]]/Integrated[[#This Row],[Population 5 to 14 years]]</f>
        <v>4.8694184291256148E-4</v>
      </c>
      <c r="AG86" s="67">
        <f>Integrated[[#This Row],[Flu Deaths 15 to 24 years]]/Integrated[[#This Row],[Population 15 to 24 years]]</f>
        <v>3.7332005973120957E-4</v>
      </c>
      <c r="AH86" s="67">
        <f>Integrated[[#This Row],[Flu Deaths 25 to 34 years]]/Integrated[[#This Row],[Population 25 to 34 years]]</f>
        <v>4.6210009087968454E-4</v>
      </c>
      <c r="AI86" s="67">
        <f>Integrated[[#This Row],[Flu Deaths 35 to 44 years]]/Integrated[[#This Row],[Population 35 to 44 years]]</f>
        <v>4.4872897517780886E-4</v>
      </c>
      <c r="AJ86" s="67">
        <f>Integrated[[#This Row],[Flu Deaths 45 to 54 years]]/Integrated[[#This Row],[Population 45 to 54 years]]</f>
        <v>3.7609773526480416E-4</v>
      </c>
      <c r="AK86" s="67">
        <f>Integrated[[#This Row],[Flu Deaths 55 to 64 years]]/Integrated[[#This Row],[Population 55 to 64 years]]</f>
        <v>4.4741061108832629E-4</v>
      </c>
      <c r="AL86" s="67">
        <f>Integrated[[#This Row],[Flu Deaths 65 to 74 years]]/Integrated[[#This Row],[Population 65 to 74 years]]</f>
        <v>7.6269893730614732E-4</v>
      </c>
      <c r="AM86" s="67">
        <f>Integrated[[#This Row],[Flu Deaths 75 to 84 years]]/Integrated[[#This Row],[Population 75 to 84 years]]</f>
        <v>1.2989089165101316E-3</v>
      </c>
      <c r="AN86" s="67">
        <f>Integrated[[#This Row],[Flu Deaths 85+ years]]/Integrated[[#This Row],[Population 85+ years]]</f>
        <v>3.7126893103955299E-3</v>
      </c>
      <c r="AO86" s="68">
        <f>Integrated[[#This Row],[Total Flu Deaths]]/Integrated[[#This Row],[Total population]]</f>
        <v>7.2834804767541925E-4</v>
      </c>
    </row>
    <row r="87" spans="1:41" x14ac:dyDescent="0.3">
      <c r="A87" s="44" t="s">
        <v>101</v>
      </c>
      <c r="B87" t="s">
        <v>99</v>
      </c>
      <c r="C87" s="45">
        <v>2013</v>
      </c>
      <c r="D87" s="51">
        <v>892285</v>
      </c>
      <c r="E87" s="2">
        <v>447751</v>
      </c>
      <c r="F87" s="2">
        <v>444536</v>
      </c>
      <c r="G87" s="78">
        <f>Integrated[[#This Row],[Female Total population]]/Integrated[[#This Row],[Total population]]</f>
        <v>0.49819956628207357</v>
      </c>
      <c r="H87" s="2">
        <v>54304</v>
      </c>
      <c r="I87" s="2">
        <v>110604</v>
      </c>
      <c r="J87" s="2">
        <v>122891</v>
      </c>
      <c r="K87" s="2">
        <v>113240</v>
      </c>
      <c r="L87" s="2">
        <v>102274</v>
      </c>
      <c r="M87" s="2">
        <v>128149</v>
      </c>
      <c r="N87" s="2">
        <v>126809</v>
      </c>
      <c r="O87" s="2">
        <v>75021</v>
      </c>
      <c r="P87" s="2">
        <v>41766</v>
      </c>
      <c r="Q87" s="52">
        <v>17962</v>
      </c>
      <c r="R87" s="127">
        <f>Integrated[[#This Row],[Population 85+ years]]/Integrated[[#This Row],[Total population]]</f>
        <v>2.013033952156542E-2</v>
      </c>
      <c r="S87" s="58">
        <v>120</v>
      </c>
      <c r="T87" s="59">
        <v>60</v>
      </c>
      <c r="U87" s="59">
        <v>60</v>
      </c>
      <c r="V87" s="59">
        <v>60</v>
      </c>
      <c r="W87" s="59">
        <v>60</v>
      </c>
      <c r="X87" s="59">
        <v>60</v>
      </c>
      <c r="Y87" s="59">
        <v>60</v>
      </c>
      <c r="Z87" s="59">
        <v>60</v>
      </c>
      <c r="AA87" s="59">
        <v>69</v>
      </c>
      <c r="AB87" s="59">
        <v>102</v>
      </c>
      <c r="AC87" s="59">
        <f>VLOOKUP($A87,'[1]Flu Deaths Updated'!$A$2:$N$460,14,FALSE)</f>
        <v>60</v>
      </c>
      <c r="AD87" s="60">
        <f t="shared" si="1"/>
        <v>771</v>
      </c>
      <c r="AE87" s="66">
        <f>Integrated[[#This Row],[Flu Deaths &lt;5 years old]]/Integrated[[#This Row],[Population &lt;5 years]]</f>
        <v>2.2097819681791398E-3</v>
      </c>
      <c r="AF87" s="67">
        <f>Integrated[[#This Row],[Flu Deaths 5 to 14 years]]/Integrated[[#This Row],[Population 5 to 14 years]]</f>
        <v>5.424758598242378E-4</v>
      </c>
      <c r="AG87" s="67">
        <f>Integrated[[#This Row],[Flu Deaths 15 to 24 years]]/Integrated[[#This Row],[Population 15 to 24 years]]</f>
        <v>4.8823754383966279E-4</v>
      </c>
      <c r="AH87" s="67">
        <f>Integrated[[#This Row],[Flu Deaths 25 to 34 years]]/Integrated[[#This Row],[Population 25 to 34 years]]</f>
        <v>5.2984811020840693E-4</v>
      </c>
      <c r="AI87" s="67">
        <f>Integrated[[#This Row],[Flu Deaths 35 to 44 years]]/Integrated[[#This Row],[Population 35 to 44 years]]</f>
        <v>5.8665936601677842E-4</v>
      </c>
      <c r="AJ87" s="67">
        <f>Integrated[[#This Row],[Flu Deaths 45 to 54 years]]/Integrated[[#This Row],[Population 45 to 54 years]]</f>
        <v>4.682049801403054E-4</v>
      </c>
      <c r="AK87" s="67">
        <f>Integrated[[#This Row],[Flu Deaths 55 to 64 years]]/Integrated[[#This Row],[Population 55 to 64 years]]</f>
        <v>4.7315253649188939E-4</v>
      </c>
      <c r="AL87" s="67">
        <f>Integrated[[#This Row],[Flu Deaths 65 to 74 years]]/Integrated[[#This Row],[Population 65 to 74 years]]</f>
        <v>7.9977606270244326E-4</v>
      </c>
      <c r="AM87" s="67">
        <f>Integrated[[#This Row],[Flu Deaths 75 to 84 years]]/Integrated[[#This Row],[Population 75 to 84 years]]</f>
        <v>1.6520614854187616E-3</v>
      </c>
      <c r="AN87" s="67">
        <f>Integrated[[#This Row],[Flu Deaths 85+ years]]/Integrated[[#This Row],[Population 85+ years]]</f>
        <v>5.678654938202873E-3</v>
      </c>
      <c r="AO87" s="68">
        <f>Integrated[[#This Row],[Total Flu Deaths]]/Integrated[[#This Row],[Total population]]</f>
        <v>8.6407369842595133E-4</v>
      </c>
    </row>
    <row r="88" spans="1:41" x14ac:dyDescent="0.3">
      <c r="A88" s="44" t="s">
        <v>174</v>
      </c>
      <c r="B88" t="s">
        <v>166</v>
      </c>
      <c r="C88" s="45">
        <v>2010</v>
      </c>
      <c r="D88" s="51">
        <v>1500717</v>
      </c>
      <c r="E88" s="2">
        <v>751041</v>
      </c>
      <c r="F88" s="2">
        <v>749677</v>
      </c>
      <c r="G88" s="78">
        <f>Integrated[[#This Row],[Female Total population]]/Integrated[[#This Row],[Total population]]</f>
        <v>0.49954588373424169</v>
      </c>
      <c r="H88" s="2">
        <v>117013</v>
      </c>
      <c r="I88" s="2">
        <v>226402</v>
      </c>
      <c r="J88" s="2">
        <v>220915</v>
      </c>
      <c r="K88" s="2">
        <v>198337</v>
      </c>
      <c r="L88" s="2">
        <v>189827</v>
      </c>
      <c r="M88" s="2">
        <v>203861</v>
      </c>
      <c r="N88" s="2">
        <v>165516</v>
      </c>
      <c r="O88" s="2">
        <v>98193</v>
      </c>
      <c r="P88" s="2">
        <v>57159</v>
      </c>
      <c r="Q88" s="52">
        <v>23351</v>
      </c>
      <c r="R88" s="127">
        <f>Integrated[[#This Row],[Population 85+ years]]/Integrated[[#This Row],[Total population]]</f>
        <v>1.5559895703187211E-2</v>
      </c>
      <c r="S88" s="58">
        <v>120</v>
      </c>
      <c r="T88" s="59">
        <v>60</v>
      </c>
      <c r="U88" s="59">
        <v>60</v>
      </c>
      <c r="V88" s="59">
        <v>60</v>
      </c>
      <c r="W88" s="59">
        <v>60</v>
      </c>
      <c r="X88" s="59">
        <v>60</v>
      </c>
      <c r="Y88" s="59">
        <v>60</v>
      </c>
      <c r="Z88" s="59">
        <v>60</v>
      </c>
      <c r="AA88" s="59">
        <v>65</v>
      </c>
      <c r="AB88" s="59">
        <v>103</v>
      </c>
      <c r="AC88" s="59">
        <f>VLOOKUP($A88,'[1]Flu Deaths Updated'!$A$2:$N$460,14,FALSE)</f>
        <v>60</v>
      </c>
      <c r="AD88" s="60">
        <f t="shared" si="1"/>
        <v>768</v>
      </c>
      <c r="AE88" s="66">
        <f>Integrated[[#This Row],[Flu Deaths &lt;5 years old]]/Integrated[[#This Row],[Population &lt;5 years]]</f>
        <v>1.0255270781878937E-3</v>
      </c>
      <c r="AF88" s="67">
        <f>Integrated[[#This Row],[Flu Deaths 5 to 14 years]]/Integrated[[#This Row],[Population 5 to 14 years]]</f>
        <v>2.6501532671972865E-4</v>
      </c>
      <c r="AG88" s="67">
        <f>Integrated[[#This Row],[Flu Deaths 15 to 24 years]]/Integrated[[#This Row],[Population 15 to 24 years]]</f>
        <v>2.7159767331326527E-4</v>
      </c>
      <c r="AH88" s="67">
        <f>Integrated[[#This Row],[Flu Deaths 25 to 34 years]]/Integrated[[#This Row],[Population 25 to 34 years]]</f>
        <v>3.0251541568139078E-4</v>
      </c>
      <c r="AI88" s="67">
        <f>Integrated[[#This Row],[Flu Deaths 35 to 44 years]]/Integrated[[#This Row],[Population 35 to 44 years]]</f>
        <v>3.160772703566932E-4</v>
      </c>
      <c r="AJ88" s="67">
        <f>Integrated[[#This Row],[Flu Deaths 45 to 54 years]]/Integrated[[#This Row],[Population 45 to 54 years]]</f>
        <v>2.9431818739238992E-4</v>
      </c>
      <c r="AK88" s="67">
        <f>Integrated[[#This Row],[Flu Deaths 55 to 64 years]]/Integrated[[#This Row],[Population 55 to 64 years]]</f>
        <v>3.6250271877039076E-4</v>
      </c>
      <c r="AL88" s="67">
        <f>Integrated[[#This Row],[Flu Deaths 65 to 74 years]]/Integrated[[#This Row],[Population 65 to 74 years]]</f>
        <v>6.1104152027130249E-4</v>
      </c>
      <c r="AM88" s="67">
        <f>Integrated[[#This Row],[Flu Deaths 75 to 84 years]]/Integrated[[#This Row],[Population 75 to 84 years]]</f>
        <v>1.1371787470039715E-3</v>
      </c>
      <c r="AN88" s="67">
        <f>Integrated[[#This Row],[Flu Deaths 85+ years]]/Integrated[[#This Row],[Population 85+ years]]</f>
        <v>4.4109459980300626E-3</v>
      </c>
      <c r="AO88" s="68">
        <f>Integrated[[#This Row],[Total Flu Deaths]]/Integrated[[#This Row],[Total population]]</f>
        <v>5.117553809279164E-4</v>
      </c>
    </row>
    <row r="89" spans="1:41" x14ac:dyDescent="0.3">
      <c r="A89" s="44" t="s">
        <v>170</v>
      </c>
      <c r="B89" t="s">
        <v>166</v>
      </c>
      <c r="C89" s="45">
        <v>2015</v>
      </c>
      <c r="D89" s="51">
        <v>1478648</v>
      </c>
      <c r="E89" s="2">
        <v>740336</v>
      </c>
      <c r="F89" s="2">
        <v>738315</v>
      </c>
      <c r="G89" s="78">
        <f>Integrated[[#This Row],[Female Total population]]/Integrated[[#This Row],[Total population]]</f>
        <v>0.49931761987978207</v>
      </c>
      <c r="H89" s="2">
        <v>105036</v>
      </c>
      <c r="I89" s="2">
        <v>221337</v>
      </c>
      <c r="J89" s="2">
        <v>210339</v>
      </c>
      <c r="K89" s="2">
        <v>199135</v>
      </c>
      <c r="L89" s="2">
        <v>185023</v>
      </c>
      <c r="M89" s="2">
        <v>186517</v>
      </c>
      <c r="N89" s="2">
        <v>175574</v>
      </c>
      <c r="O89" s="2">
        <v>114266</v>
      </c>
      <c r="P89" s="2">
        <v>57993</v>
      </c>
      <c r="Q89" s="52">
        <v>23227</v>
      </c>
      <c r="R89" s="127">
        <f>Integrated[[#This Row],[Population 85+ years]]/Integrated[[#This Row],[Total population]]</f>
        <v>1.5708268634590516E-2</v>
      </c>
      <c r="S89" s="58">
        <v>120</v>
      </c>
      <c r="T89" s="59">
        <v>60</v>
      </c>
      <c r="U89" s="59">
        <v>60</v>
      </c>
      <c r="V89" s="59">
        <v>60</v>
      </c>
      <c r="W89" s="59">
        <v>60</v>
      </c>
      <c r="X89" s="59">
        <v>60</v>
      </c>
      <c r="Y89" s="59">
        <v>60</v>
      </c>
      <c r="Z89" s="59">
        <v>60</v>
      </c>
      <c r="AA89" s="59">
        <v>68</v>
      </c>
      <c r="AB89" s="59">
        <v>104</v>
      </c>
      <c r="AC89" s="59">
        <f>VLOOKUP($A89,'[1]Flu Deaths Updated'!$A$2:$N$460,14,FALSE)</f>
        <v>60</v>
      </c>
      <c r="AD89" s="60">
        <f t="shared" si="1"/>
        <v>772</v>
      </c>
      <c r="AE89" s="66">
        <f>Integrated[[#This Row],[Flu Deaths &lt;5 years old]]/Integrated[[#This Row],[Population &lt;5 years]]</f>
        <v>1.1424654404204272E-3</v>
      </c>
      <c r="AF89" s="67">
        <f>Integrated[[#This Row],[Flu Deaths 5 to 14 years]]/Integrated[[#This Row],[Population 5 to 14 years]]</f>
        <v>2.7107984656880683E-4</v>
      </c>
      <c r="AG89" s="67">
        <f>Integrated[[#This Row],[Flu Deaths 15 to 24 years]]/Integrated[[#This Row],[Population 15 to 24 years]]</f>
        <v>2.852538045726185E-4</v>
      </c>
      <c r="AH89" s="67">
        <f>Integrated[[#This Row],[Flu Deaths 25 to 34 years]]/Integrated[[#This Row],[Population 25 to 34 years]]</f>
        <v>3.013031360634745E-4</v>
      </c>
      <c r="AI89" s="67">
        <f>Integrated[[#This Row],[Flu Deaths 35 to 44 years]]/Integrated[[#This Row],[Population 35 to 44 years]]</f>
        <v>3.2428400793414871E-4</v>
      </c>
      <c r="AJ89" s="67">
        <f>Integrated[[#This Row],[Flu Deaths 45 to 54 years]]/Integrated[[#This Row],[Population 45 to 54 years]]</f>
        <v>3.2168649506479304E-4</v>
      </c>
      <c r="AK89" s="67">
        <f>Integrated[[#This Row],[Flu Deaths 55 to 64 years]]/Integrated[[#This Row],[Population 55 to 64 years]]</f>
        <v>3.417362479638215E-4</v>
      </c>
      <c r="AL89" s="67">
        <f>Integrated[[#This Row],[Flu Deaths 65 to 74 years]]/Integrated[[#This Row],[Population 65 to 74 years]]</f>
        <v>5.2509057812472656E-4</v>
      </c>
      <c r="AM89" s="67">
        <f>Integrated[[#This Row],[Flu Deaths 75 to 84 years]]/Integrated[[#This Row],[Population 75 to 84 years]]</f>
        <v>1.1725553083992897E-3</v>
      </c>
      <c r="AN89" s="67">
        <f>Integrated[[#This Row],[Flu Deaths 85+ years]]/Integrated[[#This Row],[Population 85+ years]]</f>
        <v>4.4775476815774743E-3</v>
      </c>
      <c r="AO89" s="68">
        <f>Integrated[[#This Row],[Total Flu Deaths]]/Integrated[[#This Row],[Total population]]</f>
        <v>5.2209856571678996E-4</v>
      </c>
    </row>
    <row r="90" spans="1:41" x14ac:dyDescent="0.3">
      <c r="A90" s="44" t="s">
        <v>92</v>
      </c>
      <c r="B90" t="s">
        <v>49</v>
      </c>
      <c r="C90" s="45">
        <v>2012</v>
      </c>
      <c r="D90" s="51">
        <v>730007</v>
      </c>
      <c r="E90" s="2">
        <v>366067</v>
      </c>
      <c r="F90" s="2">
        <v>363944</v>
      </c>
      <c r="G90" s="78">
        <f>Integrated[[#This Row],[Female Total population]]/Integrated[[#This Row],[Total population]]</f>
        <v>0.4985486440540981</v>
      </c>
      <c r="H90" s="2">
        <v>51088</v>
      </c>
      <c r="I90" s="2">
        <v>96048</v>
      </c>
      <c r="J90" s="2">
        <v>104589</v>
      </c>
      <c r="K90" s="2">
        <v>94678</v>
      </c>
      <c r="L90" s="2">
        <v>84586</v>
      </c>
      <c r="M90" s="2">
        <v>104561</v>
      </c>
      <c r="N90" s="2">
        <v>89766</v>
      </c>
      <c r="O90" s="2">
        <v>52504</v>
      </c>
      <c r="P90" s="2">
        <v>35868</v>
      </c>
      <c r="Q90" s="52">
        <v>17043</v>
      </c>
      <c r="R90" s="127">
        <f>Integrated[[#This Row],[Population 85+ years]]/Integrated[[#This Row],[Total population]]</f>
        <v>2.3346351473342037E-2</v>
      </c>
      <c r="S90" s="58">
        <v>120</v>
      </c>
      <c r="T90" s="59">
        <v>60</v>
      </c>
      <c r="U90" s="59">
        <v>60</v>
      </c>
      <c r="V90" s="59">
        <v>60</v>
      </c>
      <c r="W90" s="59">
        <v>60</v>
      </c>
      <c r="X90" s="59">
        <v>60</v>
      </c>
      <c r="Y90" s="59">
        <v>60</v>
      </c>
      <c r="Z90" s="59">
        <v>60</v>
      </c>
      <c r="AA90" s="59">
        <v>60</v>
      </c>
      <c r="AB90" s="59">
        <v>105</v>
      </c>
      <c r="AC90" s="59">
        <f>VLOOKUP($A90,'[1]Flu Deaths Updated'!$A$2:$N$460,14,FALSE)</f>
        <v>60</v>
      </c>
      <c r="AD90" s="60">
        <f t="shared" si="1"/>
        <v>765</v>
      </c>
      <c r="AE90" s="66">
        <f>Integrated[[#This Row],[Flu Deaths &lt;5 years old]]/Integrated[[#This Row],[Population &lt;5 years]]</f>
        <v>2.3488881929220168E-3</v>
      </c>
      <c r="AF90" s="67">
        <f>Integrated[[#This Row],[Flu Deaths 5 to 14 years]]/Integrated[[#This Row],[Population 5 to 14 years]]</f>
        <v>6.2468765617191408E-4</v>
      </c>
      <c r="AG90" s="67">
        <f>Integrated[[#This Row],[Flu Deaths 15 to 24 years]]/Integrated[[#This Row],[Population 15 to 24 years]]</f>
        <v>5.7367409574620657E-4</v>
      </c>
      <c r="AH90" s="67">
        <f>Integrated[[#This Row],[Flu Deaths 25 to 34 years]]/Integrated[[#This Row],[Population 25 to 34 years]]</f>
        <v>6.3372694818225985E-4</v>
      </c>
      <c r="AI90" s="67">
        <f>Integrated[[#This Row],[Flu Deaths 35 to 44 years]]/Integrated[[#This Row],[Population 35 to 44 years]]</f>
        <v>7.093372425696924E-4</v>
      </c>
      <c r="AJ90" s="67">
        <f>Integrated[[#This Row],[Flu Deaths 45 to 54 years]]/Integrated[[#This Row],[Population 45 to 54 years]]</f>
        <v>5.7382771779152842E-4</v>
      </c>
      <c r="AK90" s="67">
        <f>Integrated[[#This Row],[Flu Deaths 55 to 64 years]]/Integrated[[#This Row],[Population 55 to 64 years]]</f>
        <v>6.6840451841454452E-4</v>
      </c>
      <c r="AL90" s="67">
        <f>Integrated[[#This Row],[Flu Deaths 65 to 74 years]]/Integrated[[#This Row],[Population 65 to 74 years]]</f>
        <v>1.1427700746609781E-3</v>
      </c>
      <c r="AM90" s="67">
        <f>Integrated[[#This Row],[Flu Deaths 75 to 84 years]]/Integrated[[#This Row],[Population 75 to 84 years]]</f>
        <v>1.6728002676480427E-3</v>
      </c>
      <c r="AN90" s="67">
        <f>Integrated[[#This Row],[Flu Deaths 85+ years]]/Integrated[[#This Row],[Population 85+ years]]</f>
        <v>6.1608871677521562E-3</v>
      </c>
      <c r="AO90" s="68">
        <f>Integrated[[#This Row],[Total Flu Deaths]]/Integrated[[#This Row],[Total population]]</f>
        <v>1.0479351567861679E-3</v>
      </c>
    </row>
    <row r="91" spans="1:41" x14ac:dyDescent="0.3">
      <c r="A91" s="44" t="s">
        <v>147</v>
      </c>
      <c r="B91" t="s">
        <v>137</v>
      </c>
      <c r="C91" s="45">
        <v>2016</v>
      </c>
      <c r="D91" s="51">
        <v>1263167</v>
      </c>
      <c r="E91" s="2">
        <v>618738</v>
      </c>
      <c r="F91" s="2">
        <v>644430</v>
      </c>
      <c r="G91" s="78">
        <f>Integrated[[#This Row],[Female Total population]]/Integrated[[#This Row],[Total population]]</f>
        <v>0.51017007252406055</v>
      </c>
      <c r="H91" s="2">
        <v>62712</v>
      </c>
      <c r="I91" s="2">
        <v>140039</v>
      </c>
      <c r="J91" s="2">
        <v>155449</v>
      </c>
      <c r="K91" s="2">
        <v>146479</v>
      </c>
      <c r="L91" s="2">
        <v>148171</v>
      </c>
      <c r="M91" s="2">
        <v>190142</v>
      </c>
      <c r="N91" s="2">
        <v>193548</v>
      </c>
      <c r="O91" s="2">
        <v>130010</v>
      </c>
      <c r="P91" s="2">
        <v>66870</v>
      </c>
      <c r="Q91" s="52">
        <v>29264</v>
      </c>
      <c r="R91" s="127">
        <f>Integrated[[#This Row],[Population 85+ years]]/Integrated[[#This Row],[Total population]]</f>
        <v>2.3167166336675989E-2</v>
      </c>
      <c r="S91" s="58">
        <v>120</v>
      </c>
      <c r="T91" s="59">
        <v>60</v>
      </c>
      <c r="U91" s="59">
        <v>60</v>
      </c>
      <c r="V91" s="59">
        <v>60</v>
      </c>
      <c r="W91" s="59">
        <v>60</v>
      </c>
      <c r="X91" s="59">
        <v>60</v>
      </c>
      <c r="Y91" s="59">
        <v>60</v>
      </c>
      <c r="Z91" s="59">
        <v>60</v>
      </c>
      <c r="AA91" s="59">
        <v>65</v>
      </c>
      <c r="AB91" s="59">
        <v>105</v>
      </c>
      <c r="AC91" s="59">
        <f>VLOOKUP($A91,'[1]Flu Deaths Updated'!$A$2:$N$460,14,FALSE)</f>
        <v>60</v>
      </c>
      <c r="AD91" s="60">
        <f t="shared" si="1"/>
        <v>770</v>
      </c>
      <c r="AE91" s="66">
        <f>Integrated[[#This Row],[Flu Deaths &lt;5 years old]]/Integrated[[#This Row],[Population &lt;5 years]]</f>
        <v>1.9135093761959434E-3</v>
      </c>
      <c r="AF91" s="67">
        <f>Integrated[[#This Row],[Flu Deaths 5 to 14 years]]/Integrated[[#This Row],[Population 5 to 14 years]]</f>
        <v>4.2845207406508188E-4</v>
      </c>
      <c r="AG91" s="67">
        <f>Integrated[[#This Row],[Flu Deaths 15 to 24 years]]/Integrated[[#This Row],[Population 15 to 24 years]]</f>
        <v>3.8597868111084663E-4</v>
      </c>
      <c r="AH91" s="67">
        <f>Integrated[[#This Row],[Flu Deaths 25 to 34 years]]/Integrated[[#This Row],[Population 25 to 34 years]]</f>
        <v>4.0961503014083932E-4</v>
      </c>
      <c r="AI91" s="67">
        <f>Integrated[[#This Row],[Flu Deaths 35 to 44 years]]/Integrated[[#This Row],[Population 35 to 44 years]]</f>
        <v>4.0493753838470418E-4</v>
      </c>
      <c r="AJ91" s="67">
        <f>Integrated[[#This Row],[Flu Deaths 45 to 54 years]]/Integrated[[#This Row],[Population 45 to 54 years]]</f>
        <v>3.155536388593788E-4</v>
      </c>
      <c r="AK91" s="67">
        <f>Integrated[[#This Row],[Flu Deaths 55 to 64 years]]/Integrated[[#This Row],[Population 55 to 64 years]]</f>
        <v>3.1000062000124002E-4</v>
      </c>
      <c r="AL91" s="67">
        <f>Integrated[[#This Row],[Flu Deaths 65 to 74 years]]/Integrated[[#This Row],[Population 65 to 74 years]]</f>
        <v>4.6150296131066841E-4</v>
      </c>
      <c r="AM91" s="67">
        <f>Integrated[[#This Row],[Flu Deaths 75 to 84 years]]/Integrated[[#This Row],[Population 75 to 84 years]]</f>
        <v>9.7203529235830716E-4</v>
      </c>
      <c r="AN91" s="67">
        <f>Integrated[[#This Row],[Flu Deaths 85+ years]]/Integrated[[#This Row],[Population 85+ years]]</f>
        <v>3.5880262438490978E-3</v>
      </c>
      <c r="AO91" s="68">
        <f>Integrated[[#This Row],[Total Flu Deaths]]/Integrated[[#This Row],[Total population]]</f>
        <v>6.0957893928514602E-4</v>
      </c>
    </row>
    <row r="92" spans="1:41" x14ac:dyDescent="0.3">
      <c r="A92" s="44" t="s">
        <v>156</v>
      </c>
      <c r="B92" t="s">
        <v>137</v>
      </c>
      <c r="C92" s="45">
        <v>2009</v>
      </c>
      <c r="D92" s="51">
        <v>1316380</v>
      </c>
      <c r="E92" s="2">
        <v>642611</v>
      </c>
      <c r="F92" s="2">
        <v>673769</v>
      </c>
      <c r="G92" s="78">
        <f>Integrated[[#This Row],[Female Total population]]/Integrated[[#This Row],[Total population]]</f>
        <v>0.51183472857381607</v>
      </c>
      <c r="H92" s="2">
        <v>70917</v>
      </c>
      <c r="I92" s="2">
        <v>154188</v>
      </c>
      <c r="J92" s="2">
        <v>173496</v>
      </c>
      <c r="K92" s="2">
        <v>147405</v>
      </c>
      <c r="L92" s="2">
        <v>184924</v>
      </c>
      <c r="M92" s="2">
        <v>216668</v>
      </c>
      <c r="N92" s="2">
        <v>171839</v>
      </c>
      <c r="O92" s="2">
        <v>101956</v>
      </c>
      <c r="P92" s="2">
        <v>68925</v>
      </c>
      <c r="Q92" s="52">
        <v>26946</v>
      </c>
      <c r="R92" s="127">
        <f>Integrated[[#This Row],[Population 85+ years]]/Integrated[[#This Row],[Total population]]</f>
        <v>2.0469773165803187E-2</v>
      </c>
      <c r="S92" s="58">
        <v>120</v>
      </c>
      <c r="T92" s="59">
        <v>60</v>
      </c>
      <c r="U92" s="59">
        <v>60</v>
      </c>
      <c r="V92" s="59">
        <v>60</v>
      </c>
      <c r="W92" s="59">
        <v>60</v>
      </c>
      <c r="X92" s="59">
        <v>60</v>
      </c>
      <c r="Y92" s="59">
        <v>60</v>
      </c>
      <c r="Z92" s="59">
        <v>60</v>
      </c>
      <c r="AA92" s="59">
        <v>66</v>
      </c>
      <c r="AB92" s="59">
        <v>105</v>
      </c>
      <c r="AC92" s="59">
        <f>VLOOKUP($A92,'[1]Flu Deaths Updated'!$A$2:$N$460,14,FALSE)</f>
        <v>60</v>
      </c>
      <c r="AD92" s="60">
        <f t="shared" si="1"/>
        <v>771</v>
      </c>
      <c r="AE92" s="66">
        <f>Integrated[[#This Row],[Flu Deaths &lt;5 years old]]/Integrated[[#This Row],[Population &lt;5 years]]</f>
        <v>1.6921189559626043E-3</v>
      </c>
      <c r="AF92" s="67">
        <f>Integrated[[#This Row],[Flu Deaths 5 to 14 years]]/Integrated[[#This Row],[Population 5 to 14 years]]</f>
        <v>3.8913534127169432E-4</v>
      </c>
      <c r="AG92" s="67">
        <f>Integrated[[#This Row],[Flu Deaths 15 to 24 years]]/Integrated[[#This Row],[Population 15 to 24 years]]</f>
        <v>3.458292986581823E-4</v>
      </c>
      <c r="AH92" s="67">
        <f>Integrated[[#This Row],[Flu Deaths 25 to 34 years]]/Integrated[[#This Row],[Population 25 to 34 years]]</f>
        <v>4.0704182354736948E-4</v>
      </c>
      <c r="AI92" s="67">
        <f>Integrated[[#This Row],[Flu Deaths 35 to 44 years]]/Integrated[[#This Row],[Population 35 to 44 years]]</f>
        <v>3.2445761502022453E-4</v>
      </c>
      <c r="AJ92" s="67">
        <f>Integrated[[#This Row],[Flu Deaths 45 to 54 years]]/Integrated[[#This Row],[Population 45 to 54 years]]</f>
        <v>2.7692137279155204E-4</v>
      </c>
      <c r="AK92" s="67">
        <f>Integrated[[#This Row],[Flu Deaths 55 to 64 years]]/Integrated[[#This Row],[Population 55 to 64 years]]</f>
        <v>3.4916404308684291E-4</v>
      </c>
      <c r="AL92" s="67">
        <f>Integrated[[#This Row],[Flu Deaths 65 to 74 years]]/Integrated[[#This Row],[Population 65 to 74 years]]</f>
        <v>5.884891521832947E-4</v>
      </c>
      <c r="AM92" s="67">
        <f>Integrated[[#This Row],[Flu Deaths 75 to 84 years]]/Integrated[[#This Row],[Population 75 to 84 years]]</f>
        <v>9.5756256800870508E-4</v>
      </c>
      <c r="AN92" s="67">
        <f>Integrated[[#This Row],[Flu Deaths 85+ years]]/Integrated[[#This Row],[Population 85+ years]]</f>
        <v>3.8966822533956801E-3</v>
      </c>
      <c r="AO92" s="68">
        <f>Integrated[[#This Row],[Total Flu Deaths]]/Integrated[[#This Row],[Total population]]</f>
        <v>5.856971391239612E-4</v>
      </c>
    </row>
    <row r="93" spans="1:41" x14ac:dyDescent="0.3">
      <c r="A93" s="44" t="s">
        <v>79</v>
      </c>
      <c r="B93" t="s">
        <v>49</v>
      </c>
      <c r="C93" s="45">
        <v>2013</v>
      </c>
      <c r="D93" s="51">
        <v>677855</v>
      </c>
      <c r="E93" s="2">
        <v>339452</v>
      </c>
      <c r="F93" s="2">
        <v>338405</v>
      </c>
      <c r="G93" s="78">
        <f>Integrated[[#This Row],[Female Total population]]/Integrated[[#This Row],[Total population]]</f>
        <v>0.4992291861828857</v>
      </c>
      <c r="H93" s="2">
        <v>47183</v>
      </c>
      <c r="I93" s="2">
        <v>91037</v>
      </c>
      <c r="J93" s="2">
        <v>91380</v>
      </c>
      <c r="K93" s="2">
        <v>88636</v>
      </c>
      <c r="L93" s="2">
        <v>79560</v>
      </c>
      <c r="M93" s="2">
        <v>94336</v>
      </c>
      <c r="N93" s="2">
        <v>86199</v>
      </c>
      <c r="O93" s="2">
        <v>51929</v>
      </c>
      <c r="P93" s="2">
        <v>32919</v>
      </c>
      <c r="Q93" s="52">
        <v>15394</v>
      </c>
      <c r="R93" s="127">
        <f>Integrated[[#This Row],[Population 85+ years]]/Integrated[[#This Row],[Total population]]</f>
        <v>2.2709871580205206E-2</v>
      </c>
      <c r="S93" s="58">
        <v>120</v>
      </c>
      <c r="T93" s="59">
        <v>60</v>
      </c>
      <c r="U93" s="59">
        <v>60</v>
      </c>
      <c r="V93" s="59">
        <v>60</v>
      </c>
      <c r="W93" s="59">
        <v>60</v>
      </c>
      <c r="X93" s="59">
        <v>60</v>
      </c>
      <c r="Y93" s="59">
        <v>60</v>
      </c>
      <c r="Z93" s="59">
        <v>60</v>
      </c>
      <c r="AA93" s="59">
        <v>60</v>
      </c>
      <c r="AB93" s="59">
        <v>107</v>
      </c>
      <c r="AC93" s="59">
        <f>VLOOKUP($A93,'[1]Flu Deaths Updated'!$A$2:$N$460,14,FALSE)</f>
        <v>60</v>
      </c>
      <c r="AD93" s="60">
        <f t="shared" si="1"/>
        <v>767</v>
      </c>
      <c r="AE93" s="66">
        <f>Integrated[[#This Row],[Flu Deaths &lt;5 years old]]/Integrated[[#This Row],[Population &lt;5 years]]</f>
        <v>2.5432888964245599E-3</v>
      </c>
      <c r="AF93" s="67">
        <f>Integrated[[#This Row],[Flu Deaths 5 to 14 years]]/Integrated[[#This Row],[Population 5 to 14 years]]</f>
        <v>6.5907268473258131E-4</v>
      </c>
      <c r="AG93" s="67">
        <f>Integrated[[#This Row],[Flu Deaths 15 to 24 years]]/Integrated[[#This Row],[Population 15 to 24 years]]</f>
        <v>6.5659881812212733E-4</v>
      </c>
      <c r="AH93" s="67">
        <f>Integrated[[#This Row],[Flu Deaths 25 to 34 years]]/Integrated[[#This Row],[Population 25 to 34 years]]</f>
        <v>6.7692585405478586E-4</v>
      </c>
      <c r="AI93" s="67">
        <f>Integrated[[#This Row],[Flu Deaths 35 to 44 years]]/Integrated[[#This Row],[Population 35 to 44 years]]</f>
        <v>7.5414781297134241E-4</v>
      </c>
      <c r="AJ93" s="67">
        <f>Integrated[[#This Row],[Flu Deaths 45 to 54 years]]/Integrated[[#This Row],[Population 45 to 54 years]]</f>
        <v>6.3602442333785621E-4</v>
      </c>
      <c r="AK93" s="67">
        <f>Integrated[[#This Row],[Flu Deaths 55 to 64 years]]/Integrated[[#This Row],[Population 55 to 64 years]]</f>
        <v>6.9606375944036478E-4</v>
      </c>
      <c r="AL93" s="67">
        <f>Integrated[[#This Row],[Flu Deaths 65 to 74 years]]/Integrated[[#This Row],[Population 65 to 74 years]]</f>
        <v>1.1554237516609217E-3</v>
      </c>
      <c r="AM93" s="67">
        <f>Integrated[[#This Row],[Flu Deaths 75 to 84 years]]/Integrated[[#This Row],[Population 75 to 84 years]]</f>
        <v>1.8226556092226375E-3</v>
      </c>
      <c r="AN93" s="67">
        <f>Integrated[[#This Row],[Flu Deaths 85+ years]]/Integrated[[#This Row],[Population 85+ years]]</f>
        <v>6.9507600363778099E-3</v>
      </c>
      <c r="AO93" s="68">
        <f>Integrated[[#This Row],[Total Flu Deaths]]/Integrated[[#This Row],[Total population]]</f>
        <v>1.1315104262711051E-3</v>
      </c>
    </row>
    <row r="94" spans="1:41" x14ac:dyDescent="0.3">
      <c r="A94" s="44" t="s">
        <v>324</v>
      </c>
      <c r="B94" t="s">
        <v>270</v>
      </c>
      <c r="C94" s="45">
        <v>2017</v>
      </c>
      <c r="D94" s="51">
        <v>2887710</v>
      </c>
      <c r="E94" s="2">
        <v>1451756</v>
      </c>
      <c r="F94" s="2">
        <v>1435955</v>
      </c>
      <c r="G94" s="78">
        <f>Integrated[[#This Row],[Female Total population]]/Integrated[[#This Row],[Total population]]</f>
        <v>0.49726426822638009</v>
      </c>
      <c r="H94" s="2">
        <v>243864</v>
      </c>
      <c r="I94" s="2">
        <v>491162</v>
      </c>
      <c r="J94" s="2">
        <v>467204</v>
      </c>
      <c r="K94" s="2">
        <v>430952</v>
      </c>
      <c r="L94" s="2">
        <v>382726</v>
      </c>
      <c r="M94" s="2">
        <v>298544</v>
      </c>
      <c r="N94" s="2">
        <v>273756</v>
      </c>
      <c r="O94" s="2">
        <v>176387</v>
      </c>
      <c r="P94" s="2">
        <v>89202</v>
      </c>
      <c r="Q94" s="52">
        <v>33937</v>
      </c>
      <c r="R94" s="127">
        <f>Integrated[[#This Row],[Population 85+ years]]/Integrated[[#This Row],[Total population]]</f>
        <v>1.1752218886245502E-2</v>
      </c>
      <c r="S94" s="58">
        <v>120</v>
      </c>
      <c r="T94" s="59">
        <v>60</v>
      </c>
      <c r="U94" s="59">
        <v>60</v>
      </c>
      <c r="V94" s="59">
        <v>60</v>
      </c>
      <c r="W94" s="59">
        <v>60</v>
      </c>
      <c r="X94" s="59">
        <v>60</v>
      </c>
      <c r="Y94" s="59">
        <v>60</v>
      </c>
      <c r="Z94" s="59">
        <v>60</v>
      </c>
      <c r="AA94" s="59">
        <v>87</v>
      </c>
      <c r="AB94" s="59">
        <v>107</v>
      </c>
      <c r="AC94" s="59">
        <f>VLOOKUP($A94,'[1]Flu Deaths Updated'!$A$2:$N$460,14,FALSE)</f>
        <v>60</v>
      </c>
      <c r="AD94" s="60">
        <f t="shared" si="1"/>
        <v>794</v>
      </c>
      <c r="AE94" s="66">
        <f>Integrated[[#This Row],[Flu Deaths &lt;5 years old]]/Integrated[[#This Row],[Population &lt;5 years]]</f>
        <v>4.920775514221041E-4</v>
      </c>
      <c r="AF94" s="67">
        <f>Integrated[[#This Row],[Flu Deaths 5 to 14 years]]/Integrated[[#This Row],[Population 5 to 14 years]]</f>
        <v>1.221592875670349E-4</v>
      </c>
      <c r="AG94" s="67">
        <f>Integrated[[#This Row],[Flu Deaths 15 to 24 years]]/Integrated[[#This Row],[Population 15 to 24 years]]</f>
        <v>1.2842355801748274E-4</v>
      </c>
      <c r="AH94" s="67">
        <f>Integrated[[#This Row],[Flu Deaths 25 to 34 years]]/Integrated[[#This Row],[Population 25 to 34 years]]</f>
        <v>1.3922664241029163E-4</v>
      </c>
      <c r="AI94" s="67">
        <f>Integrated[[#This Row],[Flu Deaths 35 to 44 years]]/Integrated[[#This Row],[Population 35 to 44 years]]</f>
        <v>1.5677011752533143E-4</v>
      </c>
      <c r="AJ94" s="67">
        <f>Integrated[[#This Row],[Flu Deaths 45 to 54 years]]/Integrated[[#This Row],[Population 45 to 54 years]]</f>
        <v>2.0097540061096521E-4</v>
      </c>
      <c r="AK94" s="67">
        <f>Integrated[[#This Row],[Flu Deaths 55 to 64 years]]/Integrated[[#This Row],[Population 55 to 64 years]]</f>
        <v>2.1917327839389821E-4</v>
      </c>
      <c r="AL94" s="67">
        <f>Integrated[[#This Row],[Flu Deaths 65 to 74 years]]/Integrated[[#This Row],[Population 65 to 74 years]]</f>
        <v>3.4016112298525399E-4</v>
      </c>
      <c r="AM94" s="67">
        <f>Integrated[[#This Row],[Flu Deaths 75 to 84 years]]/Integrated[[#This Row],[Population 75 to 84 years]]</f>
        <v>9.7531445483285131E-4</v>
      </c>
      <c r="AN94" s="67">
        <f>Integrated[[#This Row],[Flu Deaths 85+ years]]/Integrated[[#This Row],[Population 85+ years]]</f>
        <v>3.1529009635501075E-3</v>
      </c>
      <c r="AO94" s="68">
        <f>Integrated[[#This Row],[Total Flu Deaths]]/Integrated[[#This Row],[Total population]]</f>
        <v>2.7495835800686358E-4</v>
      </c>
    </row>
    <row r="95" spans="1:41" x14ac:dyDescent="0.3">
      <c r="A95" s="44" t="s">
        <v>264</v>
      </c>
      <c r="B95" t="s">
        <v>222</v>
      </c>
      <c r="C95" s="45">
        <v>2011</v>
      </c>
      <c r="D95" s="51">
        <v>2667325</v>
      </c>
      <c r="E95" s="2">
        <v>1347657</v>
      </c>
      <c r="F95" s="2">
        <v>1319668</v>
      </c>
      <c r="G95" s="78">
        <f>Integrated[[#This Row],[Female Total population]]/Integrated[[#This Row],[Total population]]</f>
        <v>0.49475335776480184</v>
      </c>
      <c r="H95" s="2">
        <v>189019</v>
      </c>
      <c r="I95" s="2">
        <v>362158</v>
      </c>
      <c r="J95" s="2">
        <v>357058</v>
      </c>
      <c r="K95" s="2">
        <v>385061</v>
      </c>
      <c r="L95" s="2">
        <v>385510</v>
      </c>
      <c r="M95" s="2">
        <v>368928</v>
      </c>
      <c r="N95" s="2">
        <v>306840</v>
      </c>
      <c r="O95" s="2">
        <v>191023</v>
      </c>
      <c r="P95" s="2">
        <v>93980</v>
      </c>
      <c r="Q95" s="52">
        <v>29633</v>
      </c>
      <c r="R95" s="127">
        <f>Integrated[[#This Row],[Population 85+ years]]/Integrated[[#This Row],[Total population]]</f>
        <v>1.1109632309523587E-2</v>
      </c>
      <c r="S95" s="58">
        <v>120</v>
      </c>
      <c r="T95" s="59">
        <v>60</v>
      </c>
      <c r="U95" s="59">
        <v>60</v>
      </c>
      <c r="V95" s="59">
        <v>60</v>
      </c>
      <c r="W95" s="59">
        <v>60</v>
      </c>
      <c r="X95" s="59">
        <v>60</v>
      </c>
      <c r="Y95" s="59">
        <v>60</v>
      </c>
      <c r="Z95" s="59">
        <v>88</v>
      </c>
      <c r="AA95" s="59">
        <v>135</v>
      </c>
      <c r="AB95" s="59">
        <v>107</v>
      </c>
      <c r="AC95" s="59">
        <f>VLOOKUP($A95,'[1]Flu Deaths Updated'!$A$2:$N$460,14,FALSE)</f>
        <v>60</v>
      </c>
      <c r="AD95" s="60">
        <f t="shared" si="1"/>
        <v>870</v>
      </c>
      <c r="AE95" s="66">
        <f>Integrated[[#This Row],[Flu Deaths &lt;5 years old]]/Integrated[[#This Row],[Population &lt;5 years]]</f>
        <v>6.3485681333622546E-4</v>
      </c>
      <c r="AF95" s="67">
        <f>Integrated[[#This Row],[Flu Deaths 5 to 14 years]]/Integrated[[#This Row],[Population 5 to 14 years]]</f>
        <v>1.6567354580045173E-4</v>
      </c>
      <c r="AG95" s="67">
        <f>Integrated[[#This Row],[Flu Deaths 15 to 24 years]]/Integrated[[#This Row],[Population 15 to 24 years]]</f>
        <v>1.6803992628648567E-4</v>
      </c>
      <c r="AH95" s="67">
        <f>Integrated[[#This Row],[Flu Deaths 25 to 34 years]]/Integrated[[#This Row],[Population 25 to 34 years]]</f>
        <v>1.5581946756487933E-4</v>
      </c>
      <c r="AI95" s="67">
        <f>Integrated[[#This Row],[Flu Deaths 35 to 44 years]]/Integrated[[#This Row],[Population 35 to 44 years]]</f>
        <v>1.5563798604446057E-4</v>
      </c>
      <c r="AJ95" s="67">
        <f>Integrated[[#This Row],[Flu Deaths 45 to 54 years]]/Integrated[[#This Row],[Population 45 to 54 years]]</f>
        <v>1.6263335935467083E-4</v>
      </c>
      <c r="AK95" s="67">
        <f>Integrated[[#This Row],[Flu Deaths 55 to 64 years]]/Integrated[[#This Row],[Population 55 to 64 years]]</f>
        <v>1.9554165037152912E-4</v>
      </c>
      <c r="AL95" s="67">
        <f>Integrated[[#This Row],[Flu Deaths 65 to 74 years]]/Integrated[[#This Row],[Population 65 to 74 years]]</f>
        <v>4.6067751003805822E-4</v>
      </c>
      <c r="AM95" s="67">
        <f>Integrated[[#This Row],[Flu Deaths 75 to 84 years]]/Integrated[[#This Row],[Population 75 to 84 years]]</f>
        <v>1.4364758459246647E-3</v>
      </c>
      <c r="AN95" s="67">
        <f>Integrated[[#This Row],[Flu Deaths 85+ years]]/Integrated[[#This Row],[Population 85+ years]]</f>
        <v>3.6108392670333748E-3</v>
      </c>
      <c r="AO95" s="68">
        <f>Integrated[[#This Row],[Total Flu Deaths]]/Integrated[[#This Row],[Total population]]</f>
        <v>3.2616947691038777E-4</v>
      </c>
    </row>
    <row r="96" spans="1:41" x14ac:dyDescent="0.3">
      <c r="A96" s="44" t="s">
        <v>127</v>
      </c>
      <c r="B96" t="s">
        <v>118</v>
      </c>
      <c r="C96" s="45">
        <v>2017</v>
      </c>
      <c r="D96" s="51">
        <v>1056138</v>
      </c>
      <c r="E96" s="2">
        <v>512581</v>
      </c>
      <c r="F96" s="2">
        <v>543557</v>
      </c>
      <c r="G96" s="78">
        <f>Integrated[[#This Row],[Female Total population]]/Integrated[[#This Row],[Total population]]</f>
        <v>0.51466475025044078</v>
      </c>
      <c r="H96" s="2">
        <v>54571</v>
      </c>
      <c r="I96" s="2">
        <v>117794</v>
      </c>
      <c r="J96" s="2">
        <v>154512</v>
      </c>
      <c r="K96" s="2">
        <v>140547</v>
      </c>
      <c r="L96" s="2">
        <v>124511</v>
      </c>
      <c r="M96" s="2">
        <v>149424</v>
      </c>
      <c r="N96" s="2">
        <v>144635</v>
      </c>
      <c r="O96" s="2">
        <v>93339</v>
      </c>
      <c r="P96" s="2">
        <v>49153</v>
      </c>
      <c r="Q96" s="52">
        <v>27652</v>
      </c>
      <c r="R96" s="127">
        <f>Integrated[[#This Row],[Population 85+ years]]/Integrated[[#This Row],[Total population]]</f>
        <v>2.6182184525128344E-2</v>
      </c>
      <c r="S96" s="58">
        <v>120</v>
      </c>
      <c r="T96" s="59">
        <v>60</v>
      </c>
      <c r="U96" s="59">
        <v>60</v>
      </c>
      <c r="V96" s="59">
        <v>60</v>
      </c>
      <c r="W96" s="59">
        <v>60</v>
      </c>
      <c r="X96" s="59">
        <v>60</v>
      </c>
      <c r="Y96" s="59">
        <v>60</v>
      </c>
      <c r="Z96" s="59">
        <v>60</v>
      </c>
      <c r="AA96" s="59">
        <v>60</v>
      </c>
      <c r="AB96" s="59">
        <v>109</v>
      </c>
      <c r="AC96" s="59">
        <f>VLOOKUP($A96,'[1]Flu Deaths Updated'!$A$2:$N$460,14,FALSE)</f>
        <v>60</v>
      </c>
      <c r="AD96" s="60">
        <f t="shared" si="1"/>
        <v>769</v>
      </c>
      <c r="AE96" s="66">
        <f>Integrated[[#This Row],[Flu Deaths &lt;5 years old]]/Integrated[[#This Row],[Population &lt;5 years]]</f>
        <v>2.1989701489802276E-3</v>
      </c>
      <c r="AF96" s="67">
        <f>Integrated[[#This Row],[Flu Deaths 5 to 14 years]]/Integrated[[#This Row],[Population 5 to 14 years]]</f>
        <v>5.0936380460804456E-4</v>
      </c>
      <c r="AG96" s="67">
        <f>Integrated[[#This Row],[Flu Deaths 15 to 24 years]]/Integrated[[#This Row],[Population 15 to 24 years]]</f>
        <v>3.883193538365952E-4</v>
      </c>
      <c r="AH96" s="67">
        <f>Integrated[[#This Row],[Flu Deaths 25 to 34 years]]/Integrated[[#This Row],[Population 25 to 34 years]]</f>
        <v>4.2690345578347456E-4</v>
      </c>
      <c r="AI96" s="67">
        <f>Integrated[[#This Row],[Flu Deaths 35 to 44 years]]/Integrated[[#This Row],[Population 35 to 44 years]]</f>
        <v>4.8188513464673803E-4</v>
      </c>
      <c r="AJ96" s="67">
        <f>Integrated[[#This Row],[Flu Deaths 45 to 54 years]]/Integrated[[#This Row],[Population 45 to 54 years]]</f>
        <v>4.0154192097654996E-4</v>
      </c>
      <c r="AK96" s="67">
        <f>Integrated[[#This Row],[Flu Deaths 55 to 64 years]]/Integrated[[#This Row],[Population 55 to 64 years]]</f>
        <v>4.1483734918933867E-4</v>
      </c>
      <c r="AL96" s="67">
        <f>Integrated[[#This Row],[Flu Deaths 65 to 74 years]]/Integrated[[#This Row],[Population 65 to 74 years]]</f>
        <v>6.4281811461446979E-4</v>
      </c>
      <c r="AM96" s="67">
        <f>Integrated[[#This Row],[Flu Deaths 75 to 84 years]]/Integrated[[#This Row],[Population 75 to 84 years]]</f>
        <v>1.2206782902366082E-3</v>
      </c>
      <c r="AN96" s="67">
        <f>Integrated[[#This Row],[Flu Deaths 85+ years]]/Integrated[[#This Row],[Population 85+ years]]</f>
        <v>3.9418486908722695E-3</v>
      </c>
      <c r="AO96" s="68">
        <f>Integrated[[#This Row],[Total Flu Deaths]]/Integrated[[#This Row],[Total population]]</f>
        <v>7.2812454433038103E-4</v>
      </c>
    </row>
    <row r="97" spans="1:41" x14ac:dyDescent="0.3">
      <c r="A97" s="44" t="s">
        <v>205</v>
      </c>
      <c r="B97" t="s">
        <v>202</v>
      </c>
      <c r="C97" s="45">
        <v>2015</v>
      </c>
      <c r="D97" s="51">
        <v>1938776</v>
      </c>
      <c r="E97" s="2">
        <v>960332</v>
      </c>
      <c r="F97" s="2">
        <v>978444</v>
      </c>
      <c r="G97" s="78">
        <f>Integrated[[#This Row],[Female Total population]]/Integrated[[#This Row],[Total population]]</f>
        <v>0.5046709882936451</v>
      </c>
      <c r="H97" s="2">
        <v>128798</v>
      </c>
      <c r="I97" s="2">
        <v>266342</v>
      </c>
      <c r="J97" s="2">
        <v>272592</v>
      </c>
      <c r="K97" s="2">
        <v>260735</v>
      </c>
      <c r="L97" s="2">
        <v>229204</v>
      </c>
      <c r="M97" s="2">
        <v>252484</v>
      </c>
      <c r="N97" s="2">
        <v>248106</v>
      </c>
      <c r="O97" s="2">
        <v>163631</v>
      </c>
      <c r="P97" s="2">
        <v>85517</v>
      </c>
      <c r="Q97" s="52">
        <v>31944</v>
      </c>
      <c r="R97" s="127">
        <f>Integrated[[#This Row],[Population 85+ years]]/Integrated[[#This Row],[Total population]]</f>
        <v>1.6476374784915843E-2</v>
      </c>
      <c r="S97" s="58">
        <v>120</v>
      </c>
      <c r="T97" s="59">
        <v>60</v>
      </c>
      <c r="U97" s="59">
        <v>60</v>
      </c>
      <c r="V97" s="59">
        <v>60</v>
      </c>
      <c r="W97" s="59">
        <v>60</v>
      </c>
      <c r="X97" s="59">
        <v>60</v>
      </c>
      <c r="Y97" s="59">
        <v>60</v>
      </c>
      <c r="Z97" s="59">
        <v>66</v>
      </c>
      <c r="AA97" s="59">
        <v>80</v>
      </c>
      <c r="AB97" s="59">
        <v>109</v>
      </c>
      <c r="AC97" s="59">
        <f>VLOOKUP($A97,'[1]Flu Deaths Updated'!$A$2:$N$460,14,FALSE)</f>
        <v>60</v>
      </c>
      <c r="AD97" s="60">
        <f t="shared" si="1"/>
        <v>795</v>
      </c>
      <c r="AE97" s="66">
        <f>Integrated[[#This Row],[Flu Deaths &lt;5 years old]]/Integrated[[#This Row],[Population &lt;5 years]]</f>
        <v>9.3169148589263809E-4</v>
      </c>
      <c r="AF97" s="67">
        <f>Integrated[[#This Row],[Flu Deaths 5 to 14 years]]/Integrated[[#This Row],[Population 5 to 14 years]]</f>
        <v>2.252742714254605E-4</v>
      </c>
      <c r="AG97" s="67">
        <f>Integrated[[#This Row],[Flu Deaths 15 to 24 years]]/Integrated[[#This Row],[Population 15 to 24 years]]</f>
        <v>2.201091741503786E-4</v>
      </c>
      <c r="AH97" s="67">
        <f>Integrated[[#This Row],[Flu Deaths 25 to 34 years]]/Integrated[[#This Row],[Population 25 to 34 years]]</f>
        <v>2.30118702897578E-4</v>
      </c>
      <c r="AI97" s="67">
        <f>Integrated[[#This Row],[Flu Deaths 35 to 44 years]]/Integrated[[#This Row],[Population 35 to 44 years]]</f>
        <v>2.6177553620355666E-4</v>
      </c>
      <c r="AJ97" s="67">
        <f>Integrated[[#This Row],[Flu Deaths 45 to 54 years]]/Integrated[[#This Row],[Population 45 to 54 years]]</f>
        <v>2.3763882067774593E-4</v>
      </c>
      <c r="AK97" s="67">
        <f>Integrated[[#This Row],[Flu Deaths 55 to 64 years]]/Integrated[[#This Row],[Population 55 to 64 years]]</f>
        <v>2.4183212014219728E-4</v>
      </c>
      <c r="AL97" s="67">
        <f>Integrated[[#This Row],[Flu Deaths 65 to 74 years]]/Integrated[[#This Row],[Population 65 to 74 years]]</f>
        <v>4.0334655413705228E-4</v>
      </c>
      <c r="AM97" s="67">
        <f>Integrated[[#This Row],[Flu Deaths 75 to 84 years]]/Integrated[[#This Row],[Population 75 to 84 years]]</f>
        <v>9.3548651145386301E-4</v>
      </c>
      <c r="AN97" s="67">
        <f>Integrated[[#This Row],[Flu Deaths 85+ years]]/Integrated[[#This Row],[Population 85+ years]]</f>
        <v>3.412221387427999E-3</v>
      </c>
      <c r="AO97" s="68">
        <f>Integrated[[#This Row],[Total Flu Deaths]]/Integrated[[#This Row],[Total population]]</f>
        <v>4.1005252798672975E-4</v>
      </c>
    </row>
    <row r="98" spans="1:41" x14ac:dyDescent="0.3">
      <c r="A98" s="44" t="s">
        <v>124</v>
      </c>
      <c r="B98" t="s">
        <v>118</v>
      </c>
      <c r="C98" s="45">
        <v>2010</v>
      </c>
      <c r="D98" s="51">
        <v>1056389</v>
      </c>
      <c r="E98" s="2">
        <v>509859</v>
      </c>
      <c r="F98" s="2">
        <v>546530</v>
      </c>
      <c r="G98" s="78">
        <f>Integrated[[#This Row],[Female Total population]]/Integrated[[#This Row],[Total population]]</f>
        <v>0.51735676914469952</v>
      </c>
      <c r="H98" s="2">
        <v>59286</v>
      </c>
      <c r="I98" s="2">
        <v>127539</v>
      </c>
      <c r="J98" s="2">
        <v>160702</v>
      </c>
      <c r="K98" s="2">
        <v>127794</v>
      </c>
      <c r="L98" s="2">
        <v>146921</v>
      </c>
      <c r="M98" s="2">
        <v>160831</v>
      </c>
      <c r="N98" s="2">
        <v>122767</v>
      </c>
      <c r="O98" s="2">
        <v>70642</v>
      </c>
      <c r="P98" s="2">
        <v>54673</v>
      </c>
      <c r="Q98" s="52">
        <v>24563</v>
      </c>
      <c r="R98" s="127">
        <f>Integrated[[#This Row],[Population 85+ years]]/Integrated[[#This Row],[Total population]]</f>
        <v>2.325185135399933E-2</v>
      </c>
      <c r="S98" s="58">
        <v>120</v>
      </c>
      <c r="T98" s="59">
        <v>60</v>
      </c>
      <c r="U98" s="59">
        <v>60</v>
      </c>
      <c r="V98" s="59">
        <v>60</v>
      </c>
      <c r="W98" s="59">
        <v>60</v>
      </c>
      <c r="X98" s="59">
        <v>60</v>
      </c>
      <c r="Y98" s="59">
        <v>60</v>
      </c>
      <c r="Z98" s="59">
        <v>60</v>
      </c>
      <c r="AA98" s="59">
        <v>65</v>
      </c>
      <c r="AB98" s="59">
        <v>110</v>
      </c>
      <c r="AC98" s="59">
        <f>VLOOKUP($A98,'[1]Flu Deaths Updated'!$A$2:$N$460,14,FALSE)</f>
        <v>60</v>
      </c>
      <c r="AD98" s="60">
        <f t="shared" si="1"/>
        <v>775</v>
      </c>
      <c r="AE98" s="66">
        <f>Integrated[[#This Row],[Flu Deaths &lt;5 years old]]/Integrated[[#This Row],[Population &lt;5 years]]</f>
        <v>2.024086630907803E-3</v>
      </c>
      <c r="AF98" s="67">
        <f>Integrated[[#This Row],[Flu Deaths 5 to 14 years]]/Integrated[[#This Row],[Population 5 to 14 years]]</f>
        <v>4.7044433467409967E-4</v>
      </c>
      <c r="AG98" s="67">
        <f>Integrated[[#This Row],[Flu Deaths 15 to 24 years]]/Integrated[[#This Row],[Population 15 to 24 years]]</f>
        <v>3.7336187477442722E-4</v>
      </c>
      <c r="AH98" s="67">
        <f>Integrated[[#This Row],[Flu Deaths 25 to 34 years]]/Integrated[[#This Row],[Population 25 to 34 years]]</f>
        <v>4.6950561059204659E-4</v>
      </c>
      <c r="AI98" s="67">
        <f>Integrated[[#This Row],[Flu Deaths 35 to 44 years]]/Integrated[[#This Row],[Population 35 to 44 years]]</f>
        <v>4.0838273630046081E-4</v>
      </c>
      <c r="AJ98" s="67">
        <f>Integrated[[#This Row],[Flu Deaths 45 to 54 years]]/Integrated[[#This Row],[Population 45 to 54 years]]</f>
        <v>3.7306240712300492E-4</v>
      </c>
      <c r="AK98" s="67">
        <f>Integrated[[#This Row],[Flu Deaths 55 to 64 years]]/Integrated[[#This Row],[Population 55 to 64 years]]</f>
        <v>4.8873068495605492E-4</v>
      </c>
      <c r="AL98" s="67">
        <f>Integrated[[#This Row],[Flu Deaths 65 to 74 years]]/Integrated[[#This Row],[Population 65 to 74 years]]</f>
        <v>8.4935307607372388E-4</v>
      </c>
      <c r="AM98" s="67">
        <f>Integrated[[#This Row],[Flu Deaths 75 to 84 years]]/Integrated[[#This Row],[Population 75 to 84 years]]</f>
        <v>1.1888866533755235E-3</v>
      </c>
      <c r="AN98" s="67">
        <f>Integrated[[#This Row],[Flu Deaths 85+ years]]/Integrated[[#This Row],[Population 85+ years]]</f>
        <v>4.4782803403493054E-3</v>
      </c>
      <c r="AO98" s="68">
        <f>Integrated[[#This Row],[Total Flu Deaths]]/Integrated[[#This Row],[Total population]]</f>
        <v>7.3363126651261991E-4</v>
      </c>
    </row>
    <row r="99" spans="1:41" x14ac:dyDescent="0.3">
      <c r="A99" s="44" t="s">
        <v>216</v>
      </c>
      <c r="B99" t="s">
        <v>202</v>
      </c>
      <c r="C99" s="45">
        <v>2016</v>
      </c>
      <c r="D99" s="51">
        <v>1986823</v>
      </c>
      <c r="E99" s="2">
        <v>983056</v>
      </c>
      <c r="F99" s="2">
        <v>1003768</v>
      </c>
      <c r="G99" s="78">
        <f>Integrated[[#This Row],[Female Total population]]/Integrated[[#This Row],[Total population]]</f>
        <v>0.50521259317010125</v>
      </c>
      <c r="H99" s="2">
        <v>126475</v>
      </c>
      <c r="I99" s="2">
        <v>269957</v>
      </c>
      <c r="J99" s="2">
        <v>276997</v>
      </c>
      <c r="K99" s="2">
        <v>265272</v>
      </c>
      <c r="L99" s="2">
        <v>235850</v>
      </c>
      <c r="M99" s="2">
        <v>253958</v>
      </c>
      <c r="N99" s="2">
        <v>258272</v>
      </c>
      <c r="O99" s="2">
        <v>177554</v>
      </c>
      <c r="P99" s="2">
        <v>89197</v>
      </c>
      <c r="Q99" s="52">
        <v>33634</v>
      </c>
      <c r="R99" s="127">
        <f>Integrated[[#This Row],[Population 85+ years]]/Integrated[[#This Row],[Total population]]</f>
        <v>1.6928533643912919E-2</v>
      </c>
      <c r="S99" s="58">
        <v>120</v>
      </c>
      <c r="T99" s="59">
        <v>60</v>
      </c>
      <c r="U99" s="59">
        <v>60</v>
      </c>
      <c r="V99" s="59">
        <v>60</v>
      </c>
      <c r="W99" s="59">
        <v>60</v>
      </c>
      <c r="X99" s="59">
        <v>60</v>
      </c>
      <c r="Y99" s="59">
        <v>60</v>
      </c>
      <c r="Z99" s="59">
        <v>60</v>
      </c>
      <c r="AA99" s="59">
        <v>83</v>
      </c>
      <c r="AB99" s="59">
        <v>111</v>
      </c>
      <c r="AC99" s="59">
        <f>VLOOKUP($A99,'[1]Flu Deaths Updated'!$A$2:$N$460,14,FALSE)</f>
        <v>60</v>
      </c>
      <c r="AD99" s="60">
        <f t="shared" si="1"/>
        <v>794</v>
      </c>
      <c r="AE99" s="66">
        <f>Integrated[[#This Row],[Flu Deaths &lt;5 years old]]/Integrated[[#This Row],[Population &lt;5 years]]</f>
        <v>9.4880411148448314E-4</v>
      </c>
      <c r="AF99" s="67">
        <f>Integrated[[#This Row],[Flu Deaths 5 to 14 years]]/Integrated[[#This Row],[Population 5 to 14 years]]</f>
        <v>2.2225761880595798E-4</v>
      </c>
      <c r="AG99" s="67">
        <f>Integrated[[#This Row],[Flu Deaths 15 to 24 years]]/Integrated[[#This Row],[Population 15 to 24 years]]</f>
        <v>2.1660884413910619E-4</v>
      </c>
      <c r="AH99" s="67">
        <f>Integrated[[#This Row],[Flu Deaths 25 to 34 years]]/Integrated[[#This Row],[Population 25 to 34 years]]</f>
        <v>2.2618293675925088E-4</v>
      </c>
      <c r="AI99" s="67">
        <f>Integrated[[#This Row],[Flu Deaths 35 to 44 years]]/Integrated[[#This Row],[Population 35 to 44 years]]</f>
        <v>2.5439898240407039E-4</v>
      </c>
      <c r="AJ99" s="67">
        <f>Integrated[[#This Row],[Flu Deaths 45 to 54 years]]/Integrated[[#This Row],[Population 45 to 54 years]]</f>
        <v>2.3625953897888626E-4</v>
      </c>
      <c r="AK99" s="67">
        <f>Integrated[[#This Row],[Flu Deaths 55 to 64 years]]/Integrated[[#This Row],[Population 55 to 64 years]]</f>
        <v>2.3231322017098254E-4</v>
      </c>
      <c r="AL99" s="67">
        <f>Integrated[[#This Row],[Flu Deaths 65 to 74 years]]/Integrated[[#This Row],[Population 65 to 74 years]]</f>
        <v>3.3792536355137031E-4</v>
      </c>
      <c r="AM99" s="67">
        <f>Integrated[[#This Row],[Flu Deaths 75 to 84 years]]/Integrated[[#This Row],[Population 75 to 84 years]]</f>
        <v>9.3052456921196897E-4</v>
      </c>
      <c r="AN99" s="67">
        <f>Integrated[[#This Row],[Flu Deaths 85+ years]]/Integrated[[#This Row],[Population 85+ years]]</f>
        <v>3.300231908188143E-3</v>
      </c>
      <c r="AO99" s="68">
        <f>Integrated[[#This Row],[Total Flu Deaths]]/Integrated[[#This Row],[Total population]]</f>
        <v>3.9963298190125645E-4</v>
      </c>
    </row>
    <row r="100" spans="1:41" x14ac:dyDescent="0.3">
      <c r="A100" s="44" t="s">
        <v>151</v>
      </c>
      <c r="B100" t="s">
        <v>139</v>
      </c>
      <c r="C100" s="45">
        <v>2013</v>
      </c>
      <c r="D100" s="51">
        <v>1319171</v>
      </c>
      <c r="E100" s="2">
        <v>651106</v>
      </c>
      <c r="F100" s="2">
        <v>668065</v>
      </c>
      <c r="G100" s="78">
        <f>Integrated[[#This Row],[Female Total population]]/Integrated[[#This Row],[Total population]]</f>
        <v>0.5064279005526956</v>
      </c>
      <c r="H100" s="2">
        <v>68053</v>
      </c>
      <c r="I100" s="2">
        <v>159098</v>
      </c>
      <c r="J100" s="2">
        <v>178931</v>
      </c>
      <c r="K100" s="2">
        <v>147089</v>
      </c>
      <c r="L100" s="2">
        <v>172317</v>
      </c>
      <c r="M100" s="2">
        <v>221975</v>
      </c>
      <c r="N100" s="2">
        <v>184660</v>
      </c>
      <c r="O100" s="2">
        <v>104018</v>
      </c>
      <c r="P100" s="2">
        <v>57921</v>
      </c>
      <c r="Q100" s="52">
        <v>24949</v>
      </c>
      <c r="R100" s="127">
        <f>Integrated[[#This Row],[Population 85+ years]]/Integrated[[#This Row],[Total population]]</f>
        <v>1.8912635283825977E-2</v>
      </c>
      <c r="S100" s="58">
        <v>120</v>
      </c>
      <c r="T100" s="59">
        <v>60</v>
      </c>
      <c r="U100" s="59">
        <v>60</v>
      </c>
      <c r="V100" s="59">
        <v>60</v>
      </c>
      <c r="W100" s="59">
        <v>60</v>
      </c>
      <c r="X100" s="59">
        <v>60</v>
      </c>
      <c r="Y100" s="59">
        <v>60</v>
      </c>
      <c r="Z100" s="59">
        <v>60</v>
      </c>
      <c r="AA100" s="59">
        <v>66</v>
      </c>
      <c r="AB100" s="59">
        <v>114</v>
      </c>
      <c r="AC100" s="59">
        <f>VLOOKUP($A100,'[1]Flu Deaths Updated'!$A$2:$N$460,14,FALSE)</f>
        <v>60</v>
      </c>
      <c r="AD100" s="60">
        <f t="shared" si="1"/>
        <v>780</v>
      </c>
      <c r="AE100" s="66">
        <f>Integrated[[#This Row],[Flu Deaths &lt;5 years old]]/Integrated[[#This Row],[Population &lt;5 years]]</f>
        <v>1.7633315210203813E-3</v>
      </c>
      <c r="AF100" s="67">
        <f>Integrated[[#This Row],[Flu Deaths 5 to 14 years]]/Integrated[[#This Row],[Population 5 to 14 years]]</f>
        <v>3.7712604809614201E-4</v>
      </c>
      <c r="AG100" s="67">
        <f>Integrated[[#This Row],[Flu Deaths 15 to 24 years]]/Integrated[[#This Row],[Population 15 to 24 years]]</f>
        <v>3.3532479000285026E-4</v>
      </c>
      <c r="AH100" s="67">
        <f>Integrated[[#This Row],[Flu Deaths 25 to 34 years]]/Integrated[[#This Row],[Population 25 to 34 years]]</f>
        <v>4.0791629557614779E-4</v>
      </c>
      <c r="AI100" s="67">
        <f>Integrated[[#This Row],[Flu Deaths 35 to 44 years]]/Integrated[[#This Row],[Population 35 to 44 years]]</f>
        <v>3.4819547694075456E-4</v>
      </c>
      <c r="AJ100" s="67">
        <f>Integrated[[#This Row],[Flu Deaths 45 to 54 years]]/Integrated[[#This Row],[Population 45 to 54 years]]</f>
        <v>2.7030070953936255E-4</v>
      </c>
      <c r="AK100" s="67">
        <f>Integrated[[#This Row],[Flu Deaths 55 to 64 years]]/Integrated[[#This Row],[Population 55 to 64 years]]</f>
        <v>3.2492147730965018E-4</v>
      </c>
      <c r="AL100" s="67">
        <f>Integrated[[#This Row],[Flu Deaths 65 to 74 years]]/Integrated[[#This Row],[Population 65 to 74 years]]</f>
        <v>5.7682324213116957E-4</v>
      </c>
      <c r="AM100" s="67">
        <f>Integrated[[#This Row],[Flu Deaths 75 to 84 years]]/Integrated[[#This Row],[Population 75 to 84 years]]</f>
        <v>1.1394830890350651E-3</v>
      </c>
      <c r="AN100" s="67">
        <f>Integrated[[#This Row],[Flu Deaths 85+ years]]/Integrated[[#This Row],[Population 85+ years]]</f>
        <v>4.5693214156880034E-3</v>
      </c>
      <c r="AO100" s="68">
        <f>Integrated[[#This Row],[Total Flu Deaths]]/Integrated[[#This Row],[Total population]]</f>
        <v>5.9128043293856522E-4</v>
      </c>
    </row>
    <row r="101" spans="1:41" x14ac:dyDescent="0.3">
      <c r="A101" s="44" t="s">
        <v>154</v>
      </c>
      <c r="B101" t="s">
        <v>139</v>
      </c>
      <c r="C101" s="45">
        <v>2017</v>
      </c>
      <c r="D101" s="51">
        <v>1332079</v>
      </c>
      <c r="E101" s="2">
        <v>659015</v>
      </c>
      <c r="F101" s="2">
        <v>673064</v>
      </c>
      <c r="G101" s="78">
        <f>Integrated[[#This Row],[Female Total population]]/Integrated[[#This Row],[Total population]]</f>
        <v>0.50527333589073919</v>
      </c>
      <c r="H101" s="2">
        <v>64767</v>
      </c>
      <c r="I101" s="2">
        <v>150380</v>
      </c>
      <c r="J101" s="2">
        <v>179281</v>
      </c>
      <c r="K101" s="2">
        <v>156939</v>
      </c>
      <c r="L101" s="2">
        <v>156640</v>
      </c>
      <c r="M101" s="2">
        <v>204910</v>
      </c>
      <c r="N101" s="2">
        <v>201073</v>
      </c>
      <c r="O101" s="2">
        <v>128968</v>
      </c>
      <c r="P101" s="2">
        <v>60841</v>
      </c>
      <c r="Q101" s="52">
        <v>28283</v>
      </c>
      <c r="R101" s="127">
        <f>Integrated[[#This Row],[Population 85+ years]]/Integrated[[#This Row],[Total population]]</f>
        <v>2.1232224214930196E-2</v>
      </c>
      <c r="S101" s="58">
        <v>120</v>
      </c>
      <c r="T101" s="59">
        <v>60</v>
      </c>
      <c r="U101" s="59">
        <v>60</v>
      </c>
      <c r="V101" s="59">
        <v>60</v>
      </c>
      <c r="W101" s="59">
        <v>60</v>
      </c>
      <c r="X101" s="59">
        <v>60</v>
      </c>
      <c r="Y101" s="59">
        <v>60</v>
      </c>
      <c r="Z101" s="59">
        <v>60</v>
      </c>
      <c r="AA101" s="59">
        <v>69</v>
      </c>
      <c r="AB101" s="59">
        <v>114</v>
      </c>
      <c r="AC101" s="59">
        <f>VLOOKUP($A101,'[1]Flu Deaths Updated'!$A$2:$N$460,14,FALSE)</f>
        <v>60</v>
      </c>
      <c r="AD101" s="60">
        <f t="shared" si="1"/>
        <v>783</v>
      </c>
      <c r="AE101" s="66">
        <f>Integrated[[#This Row],[Flu Deaths &lt;5 years old]]/Integrated[[#This Row],[Population &lt;5 years]]</f>
        <v>1.8527954050673954E-3</v>
      </c>
      <c r="AF101" s="67">
        <f>Integrated[[#This Row],[Flu Deaths 5 to 14 years]]/Integrated[[#This Row],[Population 5 to 14 years]]</f>
        <v>3.9898922729086314E-4</v>
      </c>
      <c r="AG101" s="67">
        <f>Integrated[[#This Row],[Flu Deaths 15 to 24 years]]/Integrated[[#This Row],[Population 15 to 24 years]]</f>
        <v>3.3467015467338984E-4</v>
      </c>
      <c r="AH101" s="67">
        <f>Integrated[[#This Row],[Flu Deaths 25 to 34 years]]/Integrated[[#This Row],[Population 25 to 34 years]]</f>
        <v>3.8231414753502952E-4</v>
      </c>
      <c r="AI101" s="67">
        <f>Integrated[[#This Row],[Flu Deaths 35 to 44 years]]/Integrated[[#This Row],[Population 35 to 44 years]]</f>
        <v>3.8304392236976505E-4</v>
      </c>
      <c r="AJ101" s="67">
        <f>Integrated[[#This Row],[Flu Deaths 45 to 54 years]]/Integrated[[#This Row],[Population 45 to 54 years]]</f>
        <v>2.9281147820994584E-4</v>
      </c>
      <c r="AK101" s="67">
        <f>Integrated[[#This Row],[Flu Deaths 55 to 64 years]]/Integrated[[#This Row],[Population 55 to 64 years]]</f>
        <v>2.9839908888811527E-4</v>
      </c>
      <c r="AL101" s="67">
        <f>Integrated[[#This Row],[Flu Deaths 65 to 74 years]]/Integrated[[#This Row],[Population 65 to 74 years]]</f>
        <v>4.6523168537931892E-4</v>
      </c>
      <c r="AM101" s="67">
        <f>Integrated[[#This Row],[Flu Deaths 75 to 84 years]]/Integrated[[#This Row],[Population 75 to 84 years]]</f>
        <v>1.1341036472115843E-3</v>
      </c>
      <c r="AN101" s="67">
        <f>Integrated[[#This Row],[Flu Deaths 85+ years]]/Integrated[[#This Row],[Population 85+ years]]</f>
        <v>4.0306898136689886E-3</v>
      </c>
      <c r="AO101" s="68">
        <f>Integrated[[#This Row],[Total Flu Deaths]]/Integrated[[#This Row],[Total population]]</f>
        <v>5.8780297564934214E-4</v>
      </c>
    </row>
    <row r="102" spans="1:41" x14ac:dyDescent="0.3">
      <c r="A102" s="44" t="s">
        <v>165</v>
      </c>
      <c r="B102" t="s">
        <v>166</v>
      </c>
      <c r="C102" s="45">
        <v>2017</v>
      </c>
      <c r="D102" s="51">
        <v>1478073</v>
      </c>
      <c r="E102" s="2">
        <v>740504</v>
      </c>
      <c r="F102" s="2">
        <v>737572</v>
      </c>
      <c r="G102" s="78">
        <f>Integrated[[#This Row],[Female Total population]]/Integrated[[#This Row],[Total population]]</f>
        <v>0.49900918290233298</v>
      </c>
      <c r="H102" s="2">
        <v>100116</v>
      </c>
      <c r="I102" s="2">
        <v>219652</v>
      </c>
      <c r="J102" s="2">
        <v>201294</v>
      </c>
      <c r="K102" s="2">
        <v>196432</v>
      </c>
      <c r="L102" s="2">
        <v>185232</v>
      </c>
      <c r="M102" s="2">
        <v>180365</v>
      </c>
      <c r="N102" s="2">
        <v>179901</v>
      </c>
      <c r="O102" s="2">
        <v>128889</v>
      </c>
      <c r="P102" s="2">
        <v>61868</v>
      </c>
      <c r="Q102" s="52">
        <v>24355</v>
      </c>
      <c r="R102" s="127">
        <f>Integrated[[#This Row],[Population 85+ years]]/Integrated[[#This Row],[Total population]]</f>
        <v>1.6477535277350984E-2</v>
      </c>
      <c r="S102" s="58">
        <v>120</v>
      </c>
      <c r="T102" s="59">
        <v>60</v>
      </c>
      <c r="U102" s="59">
        <v>60</v>
      </c>
      <c r="V102" s="59">
        <v>60</v>
      </c>
      <c r="W102" s="59">
        <v>60</v>
      </c>
      <c r="X102" s="59">
        <v>60</v>
      </c>
      <c r="Y102" s="59">
        <v>60</v>
      </c>
      <c r="Z102" s="59">
        <v>60</v>
      </c>
      <c r="AA102" s="59">
        <v>76</v>
      </c>
      <c r="AB102" s="59">
        <v>114</v>
      </c>
      <c r="AC102" s="59">
        <f>VLOOKUP($A102,'[1]Flu Deaths Updated'!$A$2:$N$460,14,FALSE)</f>
        <v>60</v>
      </c>
      <c r="AD102" s="60">
        <f t="shared" si="1"/>
        <v>790</v>
      </c>
      <c r="AE102" s="66">
        <f>Integrated[[#This Row],[Flu Deaths &lt;5 years old]]/Integrated[[#This Row],[Population &lt;5 years]]</f>
        <v>1.198609612849095E-3</v>
      </c>
      <c r="AF102" s="67">
        <f>Integrated[[#This Row],[Flu Deaths 5 to 14 years]]/Integrated[[#This Row],[Population 5 to 14 years]]</f>
        <v>2.7315936117130736E-4</v>
      </c>
      <c r="AG102" s="67">
        <f>Integrated[[#This Row],[Flu Deaths 15 to 24 years]]/Integrated[[#This Row],[Population 15 to 24 years]]</f>
        <v>2.9807147754031416E-4</v>
      </c>
      <c r="AH102" s="67">
        <f>Integrated[[#This Row],[Flu Deaths 25 to 34 years]]/Integrated[[#This Row],[Population 25 to 34 years]]</f>
        <v>3.0544921397735603E-4</v>
      </c>
      <c r="AI102" s="67">
        <f>Integrated[[#This Row],[Flu Deaths 35 to 44 years]]/Integrated[[#This Row],[Population 35 to 44 years]]</f>
        <v>3.2391811350090699E-4</v>
      </c>
      <c r="AJ102" s="67">
        <f>Integrated[[#This Row],[Flu Deaths 45 to 54 years]]/Integrated[[#This Row],[Population 45 to 54 years]]</f>
        <v>3.3265877526127575E-4</v>
      </c>
      <c r="AK102" s="67">
        <f>Integrated[[#This Row],[Flu Deaths 55 to 64 years]]/Integrated[[#This Row],[Population 55 to 64 years]]</f>
        <v>3.3351676755548885E-4</v>
      </c>
      <c r="AL102" s="67">
        <f>Integrated[[#This Row],[Flu Deaths 65 to 74 years]]/Integrated[[#This Row],[Population 65 to 74 years]]</f>
        <v>4.6551684007168959E-4</v>
      </c>
      <c r="AM102" s="67">
        <f>Integrated[[#This Row],[Flu Deaths 75 to 84 years]]/Integrated[[#This Row],[Population 75 to 84 years]]</f>
        <v>1.2284218012542833E-3</v>
      </c>
      <c r="AN102" s="67">
        <f>Integrated[[#This Row],[Flu Deaths 85+ years]]/Integrated[[#This Row],[Population 85+ years]]</f>
        <v>4.680763703551632E-3</v>
      </c>
      <c r="AO102" s="68">
        <f>Integrated[[#This Row],[Total Flu Deaths]]/Integrated[[#This Row],[Total population]]</f>
        <v>5.3447969078658497E-4</v>
      </c>
    </row>
    <row r="103" spans="1:41" x14ac:dyDescent="0.3">
      <c r="A103" s="44" t="s">
        <v>258</v>
      </c>
      <c r="B103" t="s">
        <v>222</v>
      </c>
      <c r="C103" s="45">
        <v>2010</v>
      </c>
      <c r="D103" s="51">
        <v>2633331</v>
      </c>
      <c r="E103" s="2">
        <v>1331625</v>
      </c>
      <c r="F103" s="2">
        <v>1301706</v>
      </c>
      <c r="G103" s="78">
        <f>Integrated[[#This Row],[Female Total population]]/Integrated[[#This Row],[Total population]]</f>
        <v>0.49431917218154497</v>
      </c>
      <c r="H103" s="2">
        <v>188945</v>
      </c>
      <c r="I103" s="2">
        <v>358364</v>
      </c>
      <c r="J103" s="2">
        <v>352849</v>
      </c>
      <c r="K103" s="2">
        <v>380848</v>
      </c>
      <c r="L103" s="2">
        <v>385313</v>
      </c>
      <c r="M103" s="2">
        <v>365195</v>
      </c>
      <c r="N103" s="2">
        <v>299874</v>
      </c>
      <c r="O103" s="2">
        <v>181092</v>
      </c>
      <c r="P103" s="2">
        <v>92036</v>
      </c>
      <c r="Q103" s="52">
        <v>28675</v>
      </c>
      <c r="R103" s="127">
        <f>Integrated[[#This Row],[Population 85+ years]]/Integrated[[#This Row],[Total population]]</f>
        <v>1.0889250155031782E-2</v>
      </c>
      <c r="S103" s="58">
        <v>120</v>
      </c>
      <c r="T103" s="59">
        <v>60</v>
      </c>
      <c r="U103" s="59">
        <v>60</v>
      </c>
      <c r="V103" s="59">
        <v>60</v>
      </c>
      <c r="W103" s="59">
        <v>60</v>
      </c>
      <c r="X103" s="59">
        <v>60</v>
      </c>
      <c r="Y103" s="59">
        <v>60</v>
      </c>
      <c r="Z103" s="59">
        <v>71</v>
      </c>
      <c r="AA103" s="59">
        <v>141</v>
      </c>
      <c r="AB103" s="59">
        <v>116</v>
      </c>
      <c r="AC103" s="59">
        <f>VLOOKUP($A103,'[1]Flu Deaths Updated'!$A$2:$N$460,14,FALSE)</f>
        <v>60</v>
      </c>
      <c r="AD103" s="60">
        <f t="shared" si="1"/>
        <v>868</v>
      </c>
      <c r="AE103" s="66">
        <f>Integrated[[#This Row],[Flu Deaths &lt;5 years old]]/Integrated[[#This Row],[Population &lt;5 years]]</f>
        <v>6.3510545396808595E-4</v>
      </c>
      <c r="AF103" s="67">
        <f>Integrated[[#This Row],[Flu Deaths 5 to 14 years]]/Integrated[[#This Row],[Population 5 to 14 years]]</f>
        <v>1.6742753178332646E-4</v>
      </c>
      <c r="AG103" s="67">
        <f>Integrated[[#This Row],[Flu Deaths 15 to 24 years]]/Integrated[[#This Row],[Population 15 to 24 years]]</f>
        <v>1.7004440993172718E-4</v>
      </c>
      <c r="AH103" s="67">
        <f>Integrated[[#This Row],[Flu Deaths 25 to 34 years]]/Integrated[[#This Row],[Population 25 to 34 years]]</f>
        <v>1.575431668277108E-4</v>
      </c>
      <c r="AI103" s="67">
        <f>Integrated[[#This Row],[Flu Deaths 35 to 44 years]]/Integrated[[#This Row],[Population 35 to 44 years]]</f>
        <v>1.5571755949059596E-4</v>
      </c>
      <c r="AJ103" s="67">
        <f>Integrated[[#This Row],[Flu Deaths 45 to 54 years]]/Integrated[[#This Row],[Population 45 to 54 years]]</f>
        <v>1.6429578718219035E-4</v>
      </c>
      <c r="AK103" s="67">
        <f>Integrated[[#This Row],[Flu Deaths 55 to 64 years]]/Integrated[[#This Row],[Population 55 to 64 years]]</f>
        <v>2.0008403529482382E-4</v>
      </c>
      <c r="AL103" s="67">
        <f>Integrated[[#This Row],[Flu Deaths 65 to 74 years]]/Integrated[[#This Row],[Population 65 to 74 years]]</f>
        <v>3.9206591124953062E-4</v>
      </c>
      <c r="AM103" s="67">
        <f>Integrated[[#This Row],[Flu Deaths 75 to 84 years]]/Integrated[[#This Row],[Population 75 to 84 years]]</f>
        <v>1.53200921378591E-3</v>
      </c>
      <c r="AN103" s="67">
        <f>Integrated[[#This Row],[Flu Deaths 85+ years]]/Integrated[[#This Row],[Population 85+ years]]</f>
        <v>4.0453356582388841E-3</v>
      </c>
      <c r="AO103" s="68">
        <f>Integrated[[#This Row],[Total Flu Deaths]]/Integrated[[#This Row],[Total population]]</f>
        <v>3.2962054523339449E-4</v>
      </c>
    </row>
    <row r="104" spans="1:41" x14ac:dyDescent="0.3">
      <c r="A104" s="44" t="s">
        <v>48</v>
      </c>
      <c r="B104" t="s">
        <v>49</v>
      </c>
      <c r="C104" s="45">
        <v>2015</v>
      </c>
      <c r="D104" s="51">
        <v>566849</v>
      </c>
      <c r="E104" s="2">
        <v>286547</v>
      </c>
      <c r="F104" s="2">
        <v>280306</v>
      </c>
      <c r="G104" s="78">
        <f>Integrated[[#This Row],[Female Total population]]/Integrated[[#This Row],[Total population]]</f>
        <v>0.49449853488318757</v>
      </c>
      <c r="H104" s="2">
        <v>39657</v>
      </c>
      <c r="I104" s="2">
        <v>77454</v>
      </c>
      <c r="J104" s="2">
        <v>83019</v>
      </c>
      <c r="K104" s="2">
        <v>72860</v>
      </c>
      <c r="L104" s="2">
        <v>64398</v>
      </c>
      <c r="M104" s="2">
        <v>72064</v>
      </c>
      <c r="N104" s="2">
        <v>72338</v>
      </c>
      <c r="O104" s="2">
        <v>44736</v>
      </c>
      <c r="P104" s="2">
        <v>27706</v>
      </c>
      <c r="Q104" s="52">
        <v>13115</v>
      </c>
      <c r="R104" s="127">
        <f>Integrated[[#This Row],[Population 85+ years]]/Integrated[[#This Row],[Total population]]</f>
        <v>2.3136673082249419E-2</v>
      </c>
      <c r="S104" s="58">
        <v>120</v>
      </c>
      <c r="T104" s="59">
        <v>60</v>
      </c>
      <c r="U104" s="59">
        <v>60</v>
      </c>
      <c r="V104" s="59">
        <v>60</v>
      </c>
      <c r="W104" s="59">
        <v>60</v>
      </c>
      <c r="X104" s="59">
        <v>60</v>
      </c>
      <c r="Y104" s="59">
        <v>60</v>
      </c>
      <c r="Z104" s="59">
        <v>60</v>
      </c>
      <c r="AA104" s="59">
        <v>60</v>
      </c>
      <c r="AB104" s="59">
        <v>117</v>
      </c>
      <c r="AC104" s="59">
        <f>VLOOKUP($A104,'[1]Flu Deaths Updated'!$A$2:$N$460,14,FALSE)</f>
        <v>60</v>
      </c>
      <c r="AD104" s="60">
        <f t="shared" si="1"/>
        <v>777</v>
      </c>
      <c r="AE104" s="66">
        <f>Integrated[[#This Row],[Flu Deaths &lt;5 years old]]/Integrated[[#This Row],[Population &lt;5 years]]</f>
        <v>3.0259474998108782E-3</v>
      </c>
      <c r="AF104" s="67">
        <f>Integrated[[#This Row],[Flu Deaths 5 to 14 years]]/Integrated[[#This Row],[Population 5 to 14 years]]</f>
        <v>7.7465334262917344E-4</v>
      </c>
      <c r="AG104" s="67">
        <f>Integrated[[#This Row],[Flu Deaths 15 to 24 years]]/Integrated[[#This Row],[Population 15 to 24 years]]</f>
        <v>7.2272612293571351E-4</v>
      </c>
      <c r="AH104" s="67">
        <f>Integrated[[#This Row],[Flu Deaths 25 to 34 years]]/Integrated[[#This Row],[Population 25 to 34 years]]</f>
        <v>8.2349711776008789E-4</v>
      </c>
      <c r="AI104" s="67">
        <f>Integrated[[#This Row],[Flu Deaths 35 to 44 years]]/Integrated[[#This Row],[Population 35 to 44 years]]</f>
        <v>9.3170595360104352E-4</v>
      </c>
      <c r="AJ104" s="67">
        <f>Integrated[[#This Row],[Flu Deaths 45 to 54 years]]/Integrated[[#This Row],[Population 45 to 54 years]]</f>
        <v>8.3259325044404968E-4</v>
      </c>
      <c r="AK104" s="67">
        <f>Integrated[[#This Row],[Flu Deaths 55 to 64 years]]/Integrated[[#This Row],[Population 55 to 64 years]]</f>
        <v>8.2943957532693742E-4</v>
      </c>
      <c r="AL104" s="67">
        <f>Integrated[[#This Row],[Flu Deaths 65 to 74 years]]/Integrated[[#This Row],[Population 65 to 74 years]]</f>
        <v>1.3412017167381974E-3</v>
      </c>
      <c r="AM104" s="67">
        <f>Integrated[[#This Row],[Flu Deaths 75 to 84 years]]/Integrated[[#This Row],[Population 75 to 84 years]]</f>
        <v>2.1655958998050965E-3</v>
      </c>
      <c r="AN104" s="67">
        <f>Integrated[[#This Row],[Flu Deaths 85+ years]]/Integrated[[#This Row],[Population 85+ years]]</f>
        <v>8.9210827296988173E-3</v>
      </c>
      <c r="AO104" s="68">
        <f>Integrated[[#This Row],[Total Flu Deaths]]/Integrated[[#This Row],[Total population]]</f>
        <v>1.3707354163101637E-3</v>
      </c>
    </row>
    <row r="105" spans="1:41" x14ac:dyDescent="0.3">
      <c r="A105" s="44" t="s">
        <v>220</v>
      </c>
      <c r="B105" t="s">
        <v>202</v>
      </c>
      <c r="C105" s="45">
        <v>2012</v>
      </c>
      <c r="D105" s="51">
        <v>2000639</v>
      </c>
      <c r="E105" s="2">
        <v>989025</v>
      </c>
      <c r="F105" s="2">
        <v>1011615</v>
      </c>
      <c r="G105" s="78">
        <f>Integrated[[#This Row],[Female Total population]]/Integrated[[#This Row],[Total population]]</f>
        <v>0.50564594612021463</v>
      </c>
      <c r="H105" s="2">
        <v>140645</v>
      </c>
      <c r="I105" s="2">
        <v>277380</v>
      </c>
      <c r="J105" s="2">
        <v>286684</v>
      </c>
      <c r="K105" s="2">
        <v>262789</v>
      </c>
      <c r="L105" s="2">
        <v>244567</v>
      </c>
      <c r="M105" s="2">
        <v>279375</v>
      </c>
      <c r="N105" s="2">
        <v>247741</v>
      </c>
      <c r="O105" s="2">
        <v>148572</v>
      </c>
      <c r="P105" s="2">
        <v>82684</v>
      </c>
      <c r="Q105" s="52">
        <v>31606</v>
      </c>
      <c r="R105" s="127">
        <f>Integrated[[#This Row],[Population 85+ years]]/Integrated[[#This Row],[Total population]]</f>
        <v>1.5797952554158945E-2</v>
      </c>
      <c r="S105" s="58">
        <v>120</v>
      </c>
      <c r="T105" s="59">
        <v>60</v>
      </c>
      <c r="U105" s="59">
        <v>60</v>
      </c>
      <c r="V105" s="59">
        <v>60</v>
      </c>
      <c r="W105" s="59">
        <v>60</v>
      </c>
      <c r="X105" s="59">
        <v>60</v>
      </c>
      <c r="Y105" s="59">
        <v>60</v>
      </c>
      <c r="Z105" s="59">
        <v>60</v>
      </c>
      <c r="AA105" s="59">
        <v>65</v>
      </c>
      <c r="AB105" s="59">
        <v>118</v>
      </c>
      <c r="AC105" s="59">
        <f>VLOOKUP($A105,'[1]Flu Deaths Updated'!$A$2:$N$460,14,FALSE)</f>
        <v>60</v>
      </c>
      <c r="AD105" s="60">
        <f t="shared" si="1"/>
        <v>783</v>
      </c>
      <c r="AE105" s="66">
        <f>Integrated[[#This Row],[Flu Deaths &lt;5 years old]]/Integrated[[#This Row],[Population &lt;5 years]]</f>
        <v>8.5321198762842619E-4</v>
      </c>
      <c r="AF105" s="67">
        <f>Integrated[[#This Row],[Flu Deaths 5 to 14 years]]/Integrated[[#This Row],[Population 5 to 14 years]]</f>
        <v>2.1630975556997619E-4</v>
      </c>
      <c r="AG105" s="67">
        <f>Integrated[[#This Row],[Flu Deaths 15 to 24 years]]/Integrated[[#This Row],[Population 15 to 24 years]]</f>
        <v>2.0928967085711097E-4</v>
      </c>
      <c r="AH105" s="67">
        <f>Integrated[[#This Row],[Flu Deaths 25 to 34 years]]/Integrated[[#This Row],[Population 25 to 34 years]]</f>
        <v>2.283200590587886E-4</v>
      </c>
      <c r="AI105" s="67">
        <f>Integrated[[#This Row],[Flu Deaths 35 to 44 years]]/Integrated[[#This Row],[Population 35 to 44 years]]</f>
        <v>2.4533154513895985E-4</v>
      </c>
      <c r="AJ105" s="67">
        <f>Integrated[[#This Row],[Flu Deaths 45 to 54 years]]/Integrated[[#This Row],[Population 45 to 54 years]]</f>
        <v>2.1476510067114095E-4</v>
      </c>
      <c r="AK105" s="67">
        <f>Integrated[[#This Row],[Flu Deaths 55 to 64 years]]/Integrated[[#This Row],[Population 55 to 64 years]]</f>
        <v>2.421884145135444E-4</v>
      </c>
      <c r="AL105" s="67">
        <f>Integrated[[#This Row],[Flu Deaths 65 to 74 years]]/Integrated[[#This Row],[Population 65 to 74 years]]</f>
        <v>4.0384460059769001E-4</v>
      </c>
      <c r="AM105" s="67">
        <f>Integrated[[#This Row],[Flu Deaths 75 to 84 years]]/Integrated[[#This Row],[Population 75 to 84 years]]</f>
        <v>7.8612548981665136E-4</v>
      </c>
      <c r="AN105" s="67">
        <f>Integrated[[#This Row],[Flu Deaths 85+ years]]/Integrated[[#This Row],[Population 85+ years]]</f>
        <v>3.7334683287983295E-3</v>
      </c>
      <c r="AO105" s="68">
        <f>Integrated[[#This Row],[Total Flu Deaths]]/Integrated[[#This Row],[Total population]]</f>
        <v>3.9137495570165334E-4</v>
      </c>
    </row>
    <row r="106" spans="1:41" x14ac:dyDescent="0.3">
      <c r="A106" s="44" t="s">
        <v>294</v>
      </c>
      <c r="B106" t="s">
        <v>270</v>
      </c>
      <c r="C106" s="45">
        <v>2009</v>
      </c>
      <c r="D106" s="51">
        <v>2632280</v>
      </c>
      <c r="E106" s="2">
        <v>1324265</v>
      </c>
      <c r="F106" s="2">
        <v>1308015</v>
      </c>
      <c r="G106" s="78">
        <f>Integrated[[#This Row],[Female Total population]]/Integrated[[#This Row],[Total population]]</f>
        <v>0.49691332229094171</v>
      </c>
      <c r="H106" s="2">
        <v>258175</v>
      </c>
      <c r="I106" s="2">
        <v>438647</v>
      </c>
      <c r="J106" s="2">
        <v>463209</v>
      </c>
      <c r="K106" s="2">
        <v>413155</v>
      </c>
      <c r="L106" s="2">
        <v>318072</v>
      </c>
      <c r="M106" s="2">
        <v>300015</v>
      </c>
      <c r="N106" s="2">
        <v>211246</v>
      </c>
      <c r="O106" s="2">
        <v>123406</v>
      </c>
      <c r="P106" s="2">
        <v>79266</v>
      </c>
      <c r="Q106" s="52">
        <v>29284</v>
      </c>
      <c r="R106" s="127">
        <f>Integrated[[#This Row],[Population 85+ years]]/Integrated[[#This Row],[Total population]]</f>
        <v>1.112495631163858E-2</v>
      </c>
      <c r="S106" s="58">
        <v>120</v>
      </c>
      <c r="T106" s="59">
        <v>60</v>
      </c>
      <c r="U106" s="59">
        <v>60</v>
      </c>
      <c r="V106" s="59">
        <v>60</v>
      </c>
      <c r="W106" s="59">
        <v>60</v>
      </c>
      <c r="X106" s="59">
        <v>60</v>
      </c>
      <c r="Y106" s="59">
        <v>60</v>
      </c>
      <c r="Z106" s="59">
        <v>60</v>
      </c>
      <c r="AA106" s="59">
        <v>72</v>
      </c>
      <c r="AB106" s="59">
        <v>118</v>
      </c>
      <c r="AC106" s="59">
        <f>VLOOKUP($A106,'[1]Flu Deaths Updated'!$A$2:$N$460,14,FALSE)</f>
        <v>60</v>
      </c>
      <c r="AD106" s="60">
        <f t="shared" si="1"/>
        <v>790</v>
      </c>
      <c r="AE106" s="66">
        <f>Integrated[[#This Row],[Flu Deaths &lt;5 years old]]/Integrated[[#This Row],[Population &lt;5 years]]</f>
        <v>4.6480100706884864E-4</v>
      </c>
      <c r="AF106" s="67">
        <f>Integrated[[#This Row],[Flu Deaths 5 to 14 years]]/Integrated[[#This Row],[Population 5 to 14 years]]</f>
        <v>1.3678424792600883E-4</v>
      </c>
      <c r="AG106" s="67">
        <f>Integrated[[#This Row],[Flu Deaths 15 to 24 years]]/Integrated[[#This Row],[Population 15 to 24 years]]</f>
        <v>1.2953116195928835E-4</v>
      </c>
      <c r="AH106" s="67">
        <f>Integrated[[#This Row],[Flu Deaths 25 to 34 years]]/Integrated[[#This Row],[Population 25 to 34 years]]</f>
        <v>1.4522394742893103E-4</v>
      </c>
      <c r="AI106" s="67">
        <f>Integrated[[#This Row],[Flu Deaths 35 to 44 years]]/Integrated[[#This Row],[Population 35 to 44 years]]</f>
        <v>1.8863653512412283E-4</v>
      </c>
      <c r="AJ106" s="67">
        <f>Integrated[[#This Row],[Flu Deaths 45 to 54 years]]/Integrated[[#This Row],[Population 45 to 54 years]]</f>
        <v>1.9999000049997499E-4</v>
      </c>
      <c r="AK106" s="67">
        <f>Integrated[[#This Row],[Flu Deaths 55 to 64 years]]/Integrated[[#This Row],[Population 55 to 64 years]]</f>
        <v>2.8402904670384293E-4</v>
      </c>
      <c r="AL106" s="67">
        <f>Integrated[[#This Row],[Flu Deaths 65 to 74 years]]/Integrated[[#This Row],[Population 65 to 74 years]]</f>
        <v>4.8620002268933441E-4</v>
      </c>
      <c r="AM106" s="67">
        <f>Integrated[[#This Row],[Flu Deaths 75 to 84 years]]/Integrated[[#This Row],[Population 75 to 84 years]]</f>
        <v>9.0833396412080846E-4</v>
      </c>
      <c r="AN106" s="67">
        <f>Integrated[[#This Row],[Flu Deaths 85+ years]]/Integrated[[#This Row],[Population 85+ years]]</f>
        <v>4.0295041660975278E-3</v>
      </c>
      <c r="AO106" s="68">
        <f>Integrated[[#This Row],[Total Flu Deaths]]/Integrated[[#This Row],[Total population]]</f>
        <v>3.0012004801920766E-4</v>
      </c>
    </row>
    <row r="107" spans="1:41" x14ac:dyDescent="0.3">
      <c r="A107" s="44" t="s">
        <v>178</v>
      </c>
      <c r="B107" t="s">
        <v>166</v>
      </c>
      <c r="C107" s="45">
        <v>2013</v>
      </c>
      <c r="D107" s="51">
        <v>1551162</v>
      </c>
      <c r="E107" s="2">
        <v>775924</v>
      </c>
      <c r="F107" s="2">
        <v>775241</v>
      </c>
      <c r="G107" s="78">
        <f>Integrated[[#This Row],[Female Total population]]/Integrated[[#This Row],[Total population]]</f>
        <v>0.49978080948347109</v>
      </c>
      <c r="H107" s="2">
        <v>115366</v>
      </c>
      <c r="I107" s="2">
        <v>234768</v>
      </c>
      <c r="J107" s="2">
        <v>220780</v>
      </c>
      <c r="K107" s="2">
        <v>206304</v>
      </c>
      <c r="L107" s="2">
        <v>190412</v>
      </c>
      <c r="M107" s="2">
        <v>201520</v>
      </c>
      <c r="N107" s="2">
        <v>183149</v>
      </c>
      <c r="O107" s="2">
        <v>114258</v>
      </c>
      <c r="P107" s="2">
        <v>60807</v>
      </c>
      <c r="Q107" s="52">
        <v>24574</v>
      </c>
      <c r="R107" s="127">
        <f>Integrated[[#This Row],[Population 85+ years]]/Integrated[[#This Row],[Total population]]</f>
        <v>1.584231692112107E-2</v>
      </c>
      <c r="S107" s="58">
        <v>120</v>
      </c>
      <c r="T107" s="59">
        <v>60</v>
      </c>
      <c r="U107" s="59">
        <v>60</v>
      </c>
      <c r="V107" s="59">
        <v>60</v>
      </c>
      <c r="W107" s="59">
        <v>60</v>
      </c>
      <c r="X107" s="59">
        <v>60</v>
      </c>
      <c r="Y107" s="59">
        <v>60</v>
      </c>
      <c r="Z107" s="59">
        <v>60</v>
      </c>
      <c r="AA107" s="59">
        <v>67</v>
      </c>
      <c r="AB107" s="59">
        <v>119</v>
      </c>
      <c r="AC107" s="59">
        <f>VLOOKUP($A107,'[1]Flu Deaths Updated'!$A$2:$N$460,14,FALSE)</f>
        <v>60</v>
      </c>
      <c r="AD107" s="60">
        <f t="shared" si="1"/>
        <v>786</v>
      </c>
      <c r="AE107" s="66">
        <f>Integrated[[#This Row],[Flu Deaths &lt;5 years old]]/Integrated[[#This Row],[Population &lt;5 years]]</f>
        <v>1.0401678137406168E-3</v>
      </c>
      <c r="AF107" s="67">
        <f>Integrated[[#This Row],[Flu Deaths 5 to 14 years]]/Integrated[[#This Row],[Population 5 to 14 years]]</f>
        <v>2.5557145777959517E-4</v>
      </c>
      <c r="AG107" s="67">
        <f>Integrated[[#This Row],[Flu Deaths 15 to 24 years]]/Integrated[[#This Row],[Population 15 to 24 years]]</f>
        <v>2.7176374671618808E-4</v>
      </c>
      <c r="AH107" s="67">
        <f>Integrated[[#This Row],[Flu Deaths 25 to 34 years]]/Integrated[[#This Row],[Population 25 to 34 years]]</f>
        <v>2.908329455560726E-4</v>
      </c>
      <c r="AI107" s="67">
        <f>Integrated[[#This Row],[Flu Deaths 35 to 44 years]]/Integrated[[#This Row],[Population 35 to 44 years]]</f>
        <v>3.1510619078629497E-4</v>
      </c>
      <c r="AJ107" s="67">
        <f>Integrated[[#This Row],[Flu Deaths 45 to 54 years]]/Integrated[[#This Row],[Population 45 to 54 years]]</f>
        <v>2.9773719730051605E-4</v>
      </c>
      <c r="AK107" s="67">
        <f>Integrated[[#This Row],[Flu Deaths 55 to 64 years]]/Integrated[[#This Row],[Population 55 to 64 years]]</f>
        <v>3.2760211630967134E-4</v>
      </c>
      <c r="AL107" s="67">
        <f>Integrated[[#This Row],[Flu Deaths 65 to 74 years]]/Integrated[[#This Row],[Population 65 to 74 years]]</f>
        <v>5.251273433807698E-4</v>
      </c>
      <c r="AM107" s="67">
        <f>Integrated[[#This Row],[Flu Deaths 75 to 84 years]]/Integrated[[#This Row],[Population 75 to 84 years]]</f>
        <v>1.1018468268455934E-3</v>
      </c>
      <c r="AN107" s="67">
        <f>Integrated[[#This Row],[Flu Deaths 85+ years]]/Integrated[[#This Row],[Population 85+ years]]</f>
        <v>4.8425164808334016E-3</v>
      </c>
      <c r="AO107" s="68">
        <f>Integrated[[#This Row],[Total Flu Deaths]]/Integrated[[#This Row],[Total population]]</f>
        <v>5.0671689997563117E-4</v>
      </c>
    </row>
    <row r="108" spans="1:41" x14ac:dyDescent="0.3">
      <c r="A108" s="44" t="s">
        <v>252</v>
      </c>
      <c r="B108" t="s">
        <v>222</v>
      </c>
      <c r="C108" s="45">
        <v>2016</v>
      </c>
      <c r="D108" s="51">
        <v>2821915</v>
      </c>
      <c r="E108" s="2">
        <v>1415326</v>
      </c>
      <c r="F108" s="2">
        <v>1406590</v>
      </c>
      <c r="G108" s="78">
        <f>Integrated[[#This Row],[Female Total population]]/Integrated[[#This Row],[Total population]]</f>
        <v>0.49845229214912568</v>
      </c>
      <c r="H108" s="2">
        <v>178324</v>
      </c>
      <c r="I108" s="2">
        <v>370782</v>
      </c>
      <c r="J108" s="2">
        <v>360646</v>
      </c>
      <c r="K108" s="2">
        <v>404885</v>
      </c>
      <c r="L108" s="2">
        <v>381408</v>
      </c>
      <c r="M108" s="2">
        <v>381839</v>
      </c>
      <c r="N108" s="2">
        <v>341964</v>
      </c>
      <c r="O108" s="2">
        <v>249058</v>
      </c>
      <c r="P108" s="2">
        <v>113764</v>
      </c>
      <c r="Q108" s="52">
        <v>37282</v>
      </c>
      <c r="R108" s="127">
        <f>Integrated[[#This Row],[Population 85+ years]]/Integrated[[#This Row],[Total population]]</f>
        <v>1.3211595671733557E-2</v>
      </c>
      <c r="S108" s="58">
        <v>120</v>
      </c>
      <c r="T108" s="59">
        <v>60</v>
      </c>
      <c r="U108" s="59">
        <v>60</v>
      </c>
      <c r="V108" s="59">
        <v>60</v>
      </c>
      <c r="W108" s="59">
        <v>67</v>
      </c>
      <c r="X108" s="59">
        <v>60</v>
      </c>
      <c r="Y108" s="59">
        <v>80</v>
      </c>
      <c r="Z108" s="59">
        <v>112</v>
      </c>
      <c r="AA108" s="59">
        <v>154</v>
      </c>
      <c r="AB108" s="59">
        <v>121</v>
      </c>
      <c r="AC108" s="59">
        <f>VLOOKUP($A108,'[1]Flu Deaths Updated'!$A$2:$N$460,14,FALSE)</f>
        <v>60</v>
      </c>
      <c r="AD108" s="60">
        <f t="shared" si="1"/>
        <v>954</v>
      </c>
      <c r="AE108" s="66">
        <f>Integrated[[#This Row],[Flu Deaths &lt;5 years old]]/Integrated[[#This Row],[Population &lt;5 years]]</f>
        <v>6.7293241515443795E-4</v>
      </c>
      <c r="AF108" s="67">
        <f>Integrated[[#This Row],[Flu Deaths 5 to 14 years]]/Integrated[[#This Row],[Population 5 to 14 years]]</f>
        <v>1.618201530818648E-4</v>
      </c>
      <c r="AG108" s="67">
        <f>Integrated[[#This Row],[Flu Deaths 15 to 24 years]]/Integrated[[#This Row],[Population 15 to 24 years]]</f>
        <v>1.6636812830310056E-4</v>
      </c>
      <c r="AH108" s="67">
        <f>Integrated[[#This Row],[Flu Deaths 25 to 34 years]]/Integrated[[#This Row],[Population 25 to 34 years]]</f>
        <v>1.4819022685453895E-4</v>
      </c>
      <c r="AI108" s="67">
        <f>Integrated[[#This Row],[Flu Deaths 35 to 44 years]]/Integrated[[#This Row],[Population 35 to 44 years]]</f>
        <v>1.5731185502139441E-4</v>
      </c>
      <c r="AJ108" s="67">
        <f>Integrated[[#This Row],[Flu Deaths 45 to 54 years]]/Integrated[[#This Row],[Population 45 to 54 years]]</f>
        <v>1.754666233674402E-4</v>
      </c>
      <c r="AK108" s="67">
        <f>Integrated[[#This Row],[Flu Deaths 55 to 64 years]]/Integrated[[#This Row],[Population 55 to 64 years]]</f>
        <v>2.3394275420804528E-4</v>
      </c>
      <c r="AL108" s="67">
        <f>Integrated[[#This Row],[Flu Deaths 65 to 74 years]]/Integrated[[#This Row],[Population 65 to 74 years]]</f>
        <v>4.4969444868263618E-4</v>
      </c>
      <c r="AM108" s="67">
        <f>Integrated[[#This Row],[Flu Deaths 75 to 84 years]]/Integrated[[#This Row],[Population 75 to 84 years]]</f>
        <v>1.3536795471326606E-3</v>
      </c>
      <c r="AN108" s="67">
        <f>Integrated[[#This Row],[Flu Deaths 85+ years]]/Integrated[[#This Row],[Population 85+ years]]</f>
        <v>3.2455340378735047E-3</v>
      </c>
      <c r="AO108" s="68">
        <f>Integrated[[#This Row],[Total Flu Deaths]]/Integrated[[#This Row],[Total population]]</f>
        <v>3.3806829759223787E-4</v>
      </c>
    </row>
    <row r="109" spans="1:41" x14ac:dyDescent="0.3">
      <c r="A109" s="44" t="s">
        <v>212</v>
      </c>
      <c r="B109" t="s">
        <v>202</v>
      </c>
      <c r="C109" s="45">
        <v>2014</v>
      </c>
      <c r="D109" s="51">
        <v>1983544</v>
      </c>
      <c r="E109" s="2">
        <v>981070</v>
      </c>
      <c r="F109" s="2">
        <v>1002475</v>
      </c>
      <c r="G109" s="78">
        <f>Integrated[[#This Row],[Female Total population]]/Integrated[[#This Row],[Total population]]</f>
        <v>0.50539589744417068</v>
      </c>
      <c r="H109" s="2">
        <v>133699</v>
      </c>
      <c r="I109" s="2">
        <v>274114</v>
      </c>
      <c r="J109" s="2">
        <v>281790</v>
      </c>
      <c r="K109" s="2">
        <v>262290</v>
      </c>
      <c r="L109" s="2">
        <v>236334</v>
      </c>
      <c r="M109" s="2">
        <v>264780</v>
      </c>
      <c r="N109" s="2">
        <v>253064</v>
      </c>
      <c r="O109" s="2">
        <v>160996</v>
      </c>
      <c r="P109" s="2">
        <v>86647</v>
      </c>
      <c r="Q109" s="52">
        <v>31808</v>
      </c>
      <c r="R109" s="127">
        <f>Integrated[[#This Row],[Population 85+ years]]/Integrated[[#This Row],[Total population]]</f>
        <v>1.6035943745134972E-2</v>
      </c>
      <c r="S109" s="58">
        <v>120</v>
      </c>
      <c r="T109" s="59">
        <v>60</v>
      </c>
      <c r="U109" s="59">
        <v>60</v>
      </c>
      <c r="V109" s="59">
        <v>60</v>
      </c>
      <c r="W109" s="59">
        <v>60</v>
      </c>
      <c r="X109" s="59">
        <v>60</v>
      </c>
      <c r="Y109" s="59">
        <v>60</v>
      </c>
      <c r="Z109" s="59">
        <v>65</v>
      </c>
      <c r="AA109" s="59">
        <v>72</v>
      </c>
      <c r="AB109" s="59">
        <v>122</v>
      </c>
      <c r="AC109" s="59">
        <f>VLOOKUP($A109,'[1]Flu Deaths Updated'!$A$2:$N$460,14,FALSE)</f>
        <v>60</v>
      </c>
      <c r="AD109" s="60">
        <f t="shared" si="1"/>
        <v>799</v>
      </c>
      <c r="AE109" s="66">
        <f>Integrated[[#This Row],[Flu Deaths &lt;5 years old]]/Integrated[[#This Row],[Population &lt;5 years]]</f>
        <v>8.9753850066193468E-4</v>
      </c>
      <c r="AF109" s="67">
        <f>Integrated[[#This Row],[Flu Deaths 5 to 14 years]]/Integrated[[#This Row],[Population 5 to 14 years]]</f>
        <v>2.1888703240257703E-4</v>
      </c>
      <c r="AG109" s="67">
        <f>Integrated[[#This Row],[Flu Deaths 15 to 24 years]]/Integrated[[#This Row],[Population 15 to 24 years]]</f>
        <v>2.1292451825827744E-4</v>
      </c>
      <c r="AH109" s="67">
        <f>Integrated[[#This Row],[Flu Deaths 25 to 34 years]]/Integrated[[#This Row],[Population 25 to 34 years]]</f>
        <v>2.2875443211712226E-4</v>
      </c>
      <c r="AI109" s="67">
        <f>Integrated[[#This Row],[Flu Deaths 35 to 44 years]]/Integrated[[#This Row],[Population 35 to 44 years]]</f>
        <v>2.5387798623981313E-4</v>
      </c>
      <c r="AJ109" s="67">
        <f>Integrated[[#This Row],[Flu Deaths 45 to 54 years]]/Integrated[[#This Row],[Population 45 to 54 years]]</f>
        <v>2.2660321776569228E-4</v>
      </c>
      <c r="AK109" s="67">
        <f>Integrated[[#This Row],[Flu Deaths 55 to 64 years]]/Integrated[[#This Row],[Population 55 to 64 years]]</f>
        <v>2.3709417380583567E-4</v>
      </c>
      <c r="AL109" s="67">
        <f>Integrated[[#This Row],[Flu Deaths 65 to 74 years]]/Integrated[[#This Row],[Population 65 to 74 years]]</f>
        <v>4.0373673880096401E-4</v>
      </c>
      <c r="AM109" s="67">
        <f>Integrated[[#This Row],[Flu Deaths 75 to 84 years]]/Integrated[[#This Row],[Population 75 to 84 years]]</f>
        <v>8.3095779426869943E-4</v>
      </c>
      <c r="AN109" s="67">
        <f>Integrated[[#This Row],[Flu Deaths 85+ years]]/Integrated[[#This Row],[Population 85+ years]]</f>
        <v>3.8355130784708249E-3</v>
      </c>
      <c r="AO109" s="68">
        <f>Integrated[[#This Row],[Total Flu Deaths]]/Integrated[[#This Row],[Total population]]</f>
        <v>4.0281435652549173E-4</v>
      </c>
    </row>
    <row r="110" spans="1:41" x14ac:dyDescent="0.3">
      <c r="A110" s="44" t="s">
        <v>149</v>
      </c>
      <c r="B110" t="s">
        <v>137</v>
      </c>
      <c r="C110" s="45">
        <v>2013</v>
      </c>
      <c r="D110" s="51">
        <v>1328320</v>
      </c>
      <c r="E110" s="2">
        <v>649600</v>
      </c>
      <c r="F110" s="2">
        <v>678720</v>
      </c>
      <c r="G110" s="78">
        <f>Integrated[[#This Row],[Female Total population]]/Integrated[[#This Row],[Total population]]</f>
        <v>0.51096121416526141</v>
      </c>
      <c r="H110" s="2">
        <v>67216</v>
      </c>
      <c r="I110" s="2">
        <v>151404</v>
      </c>
      <c r="J110" s="2">
        <v>166299</v>
      </c>
      <c r="K110" s="2">
        <v>146582</v>
      </c>
      <c r="L110" s="2">
        <v>166533</v>
      </c>
      <c r="M110" s="2">
        <v>214127</v>
      </c>
      <c r="N110" s="2">
        <v>197109</v>
      </c>
      <c r="O110" s="2">
        <v>120101</v>
      </c>
      <c r="P110" s="2">
        <v>70674</v>
      </c>
      <c r="Q110" s="52">
        <v>29664</v>
      </c>
      <c r="R110" s="127">
        <f>Integrated[[#This Row],[Population 85+ years]]/Integrated[[#This Row],[Total population]]</f>
        <v>2.2331968200433632E-2</v>
      </c>
      <c r="S110" s="58">
        <v>120</v>
      </c>
      <c r="T110" s="59">
        <v>60</v>
      </c>
      <c r="U110" s="59">
        <v>60</v>
      </c>
      <c r="V110" s="59">
        <v>60</v>
      </c>
      <c r="W110" s="59">
        <v>60</v>
      </c>
      <c r="X110" s="59">
        <v>60</v>
      </c>
      <c r="Y110" s="59">
        <v>60</v>
      </c>
      <c r="Z110" s="59">
        <v>60</v>
      </c>
      <c r="AA110" s="59">
        <v>78</v>
      </c>
      <c r="AB110" s="59">
        <v>122</v>
      </c>
      <c r="AC110" s="59">
        <f>VLOOKUP($A110,'[1]Flu Deaths Updated'!$A$2:$N$460,14,FALSE)</f>
        <v>60</v>
      </c>
      <c r="AD110" s="60">
        <f t="shared" si="1"/>
        <v>800</v>
      </c>
      <c r="AE110" s="66">
        <f>Integrated[[#This Row],[Flu Deaths &lt;5 years old]]/Integrated[[#This Row],[Population &lt;5 years]]</f>
        <v>1.7852892168531303E-3</v>
      </c>
      <c r="AF110" s="67">
        <f>Integrated[[#This Row],[Flu Deaths 5 to 14 years]]/Integrated[[#This Row],[Population 5 to 14 years]]</f>
        <v>3.9629071887136401E-4</v>
      </c>
      <c r="AG110" s="67">
        <f>Integrated[[#This Row],[Flu Deaths 15 to 24 years]]/Integrated[[#This Row],[Population 15 to 24 years]]</f>
        <v>3.6079591579023327E-4</v>
      </c>
      <c r="AH110" s="67">
        <f>Integrated[[#This Row],[Flu Deaths 25 to 34 years]]/Integrated[[#This Row],[Population 25 to 34 years]]</f>
        <v>4.0932720252145557E-4</v>
      </c>
      <c r="AI110" s="67">
        <f>Integrated[[#This Row],[Flu Deaths 35 to 44 years]]/Integrated[[#This Row],[Population 35 to 44 years]]</f>
        <v>3.6028895173929491E-4</v>
      </c>
      <c r="AJ110" s="67">
        <f>Integrated[[#This Row],[Flu Deaths 45 to 54 years]]/Integrated[[#This Row],[Population 45 to 54 years]]</f>
        <v>2.8020754038491177E-4</v>
      </c>
      <c r="AK110" s="67">
        <f>Integrated[[#This Row],[Flu Deaths 55 to 64 years]]/Integrated[[#This Row],[Population 55 to 64 years]]</f>
        <v>3.0440010349603517E-4</v>
      </c>
      <c r="AL110" s="67">
        <f>Integrated[[#This Row],[Flu Deaths 65 to 74 years]]/Integrated[[#This Row],[Population 65 to 74 years]]</f>
        <v>4.9957952057018678E-4</v>
      </c>
      <c r="AM110" s="67">
        <f>Integrated[[#This Row],[Flu Deaths 75 to 84 years]]/Integrated[[#This Row],[Population 75 to 84 years]]</f>
        <v>1.1036590542490873E-3</v>
      </c>
      <c r="AN110" s="67">
        <f>Integrated[[#This Row],[Flu Deaths 85+ years]]/Integrated[[#This Row],[Population 85+ years]]</f>
        <v>4.1127292340884577E-3</v>
      </c>
      <c r="AO110" s="68">
        <f>Integrated[[#This Row],[Total Flu Deaths]]/Integrated[[#This Row],[Total population]]</f>
        <v>6.022645145748012E-4</v>
      </c>
    </row>
    <row r="111" spans="1:41" x14ac:dyDescent="0.3">
      <c r="A111" s="44" t="s">
        <v>263</v>
      </c>
      <c r="B111" t="s">
        <v>222</v>
      </c>
      <c r="C111" s="45">
        <v>2013</v>
      </c>
      <c r="D111" s="51">
        <v>2724670</v>
      </c>
      <c r="E111" s="2">
        <v>1374060</v>
      </c>
      <c r="F111" s="2">
        <v>1350610</v>
      </c>
      <c r="G111" s="78">
        <f>Integrated[[#This Row],[Female Total population]]/Integrated[[#This Row],[Total population]]</f>
        <v>0.4956967265760624</v>
      </c>
      <c r="H111" s="2">
        <v>182420</v>
      </c>
      <c r="I111" s="2">
        <v>366575</v>
      </c>
      <c r="J111" s="2">
        <v>360466</v>
      </c>
      <c r="K111" s="2">
        <v>390227</v>
      </c>
      <c r="L111" s="2">
        <v>381420</v>
      </c>
      <c r="M111" s="2">
        <v>375247</v>
      </c>
      <c r="N111" s="2">
        <v>322111</v>
      </c>
      <c r="O111" s="2">
        <v>211311</v>
      </c>
      <c r="P111" s="2">
        <v>99091</v>
      </c>
      <c r="Q111" s="52">
        <v>33444</v>
      </c>
      <c r="R111" s="127">
        <f>Integrated[[#This Row],[Population 85+ years]]/Integrated[[#This Row],[Total population]]</f>
        <v>1.2274513977839518E-2</v>
      </c>
      <c r="S111" s="58">
        <v>120</v>
      </c>
      <c r="T111" s="59">
        <v>60</v>
      </c>
      <c r="U111" s="59">
        <v>60</v>
      </c>
      <c r="V111" s="59">
        <v>60</v>
      </c>
      <c r="W111" s="59">
        <v>60</v>
      </c>
      <c r="X111" s="59">
        <v>60</v>
      </c>
      <c r="Y111" s="59">
        <v>73</v>
      </c>
      <c r="Z111" s="59">
        <v>99</v>
      </c>
      <c r="AA111" s="59">
        <v>117</v>
      </c>
      <c r="AB111" s="59">
        <v>122</v>
      </c>
      <c r="AC111" s="59">
        <f>VLOOKUP($A111,'[1]Flu Deaths Updated'!$A$2:$N$460,14,FALSE)</f>
        <v>60</v>
      </c>
      <c r="AD111" s="60">
        <f t="shared" si="1"/>
        <v>891</v>
      </c>
      <c r="AE111" s="66">
        <f>Integrated[[#This Row],[Flu Deaths &lt;5 years old]]/Integrated[[#This Row],[Population &lt;5 years]]</f>
        <v>6.5782260717026639E-4</v>
      </c>
      <c r="AF111" s="67">
        <f>Integrated[[#This Row],[Flu Deaths 5 to 14 years]]/Integrated[[#This Row],[Population 5 to 14 years]]</f>
        <v>1.6367728295710291E-4</v>
      </c>
      <c r="AG111" s="67">
        <f>Integrated[[#This Row],[Flu Deaths 15 to 24 years]]/Integrated[[#This Row],[Population 15 to 24 years]]</f>
        <v>1.6645120482930428E-4</v>
      </c>
      <c r="AH111" s="67">
        <f>Integrated[[#This Row],[Flu Deaths 25 to 34 years]]/Integrated[[#This Row],[Population 25 to 34 years]]</f>
        <v>1.5375665958531829E-4</v>
      </c>
      <c r="AI111" s="67">
        <f>Integrated[[#This Row],[Flu Deaths 35 to 44 years]]/Integrated[[#This Row],[Population 35 to 44 years]]</f>
        <v>1.5730690577316344E-4</v>
      </c>
      <c r="AJ111" s="67">
        <f>Integrated[[#This Row],[Flu Deaths 45 to 54 years]]/Integrated[[#This Row],[Population 45 to 54 years]]</f>
        <v>1.5989468270232674E-4</v>
      </c>
      <c r="AK111" s="67">
        <f>Integrated[[#This Row],[Flu Deaths 55 to 64 years]]/Integrated[[#This Row],[Population 55 to 64 years]]</f>
        <v>2.2662995054499845E-4</v>
      </c>
      <c r="AL111" s="67">
        <f>Integrated[[#This Row],[Flu Deaths 65 to 74 years]]/Integrated[[#This Row],[Population 65 to 74 years]]</f>
        <v>4.6850376932578049E-4</v>
      </c>
      <c r="AM111" s="67">
        <f>Integrated[[#This Row],[Flu Deaths 75 to 84 years]]/Integrated[[#This Row],[Population 75 to 84 years]]</f>
        <v>1.1807328617129708E-3</v>
      </c>
      <c r="AN111" s="67">
        <f>Integrated[[#This Row],[Flu Deaths 85+ years]]/Integrated[[#This Row],[Population 85+ years]]</f>
        <v>3.6478890084918072E-3</v>
      </c>
      <c r="AO111" s="68">
        <f>Integrated[[#This Row],[Total Flu Deaths]]/Integrated[[#This Row],[Total population]]</f>
        <v>3.2701207852694087E-4</v>
      </c>
    </row>
    <row r="112" spans="1:41" x14ac:dyDescent="0.3">
      <c r="A112" s="44" t="s">
        <v>150</v>
      </c>
      <c r="B112" t="s">
        <v>139</v>
      </c>
      <c r="C112" s="45">
        <v>2012</v>
      </c>
      <c r="D112" s="51">
        <v>1317474</v>
      </c>
      <c r="E112" s="2">
        <v>650048</v>
      </c>
      <c r="F112" s="2">
        <v>667426</v>
      </c>
      <c r="G112" s="78">
        <f>Integrated[[#This Row],[Female Total population]]/Integrated[[#This Row],[Total population]]</f>
        <v>0.50659519656554897</v>
      </c>
      <c r="H112" s="2">
        <v>69389</v>
      </c>
      <c r="I112" s="2">
        <v>161683</v>
      </c>
      <c r="J112" s="2">
        <v>178796</v>
      </c>
      <c r="K112" s="2">
        <v>145694</v>
      </c>
      <c r="L112" s="2">
        <v>179334</v>
      </c>
      <c r="M112" s="2">
        <v>223233</v>
      </c>
      <c r="N112" s="2">
        <v>179239</v>
      </c>
      <c r="O112" s="2">
        <v>99054</v>
      </c>
      <c r="P112" s="2">
        <v>57777</v>
      </c>
      <c r="Q112" s="52">
        <v>24351</v>
      </c>
      <c r="R112" s="127">
        <f>Integrated[[#This Row],[Population 85+ years]]/Integrated[[#This Row],[Total population]]</f>
        <v>1.848309719964113E-2</v>
      </c>
      <c r="S112" s="58">
        <v>120</v>
      </c>
      <c r="T112" s="59">
        <v>60</v>
      </c>
      <c r="U112" s="59">
        <v>60</v>
      </c>
      <c r="V112" s="59">
        <v>60</v>
      </c>
      <c r="W112" s="59">
        <v>60</v>
      </c>
      <c r="X112" s="59">
        <v>60</v>
      </c>
      <c r="Y112" s="59">
        <v>60</v>
      </c>
      <c r="Z112" s="59">
        <v>60</v>
      </c>
      <c r="AA112" s="59">
        <v>60</v>
      </c>
      <c r="AB112" s="59">
        <v>123</v>
      </c>
      <c r="AC112" s="59">
        <f>VLOOKUP($A112,'[1]Flu Deaths Updated'!$A$2:$N$460,14,FALSE)</f>
        <v>60</v>
      </c>
      <c r="AD112" s="60">
        <f t="shared" si="1"/>
        <v>783</v>
      </c>
      <c r="AE112" s="66">
        <f>Integrated[[#This Row],[Flu Deaths &lt;5 years old]]/Integrated[[#This Row],[Population &lt;5 years]]</f>
        <v>1.7293807375808846E-3</v>
      </c>
      <c r="AF112" s="67">
        <f>Integrated[[#This Row],[Flu Deaths 5 to 14 years]]/Integrated[[#This Row],[Population 5 to 14 years]]</f>
        <v>3.7109652839197689E-4</v>
      </c>
      <c r="AG112" s="67">
        <f>Integrated[[#This Row],[Flu Deaths 15 to 24 years]]/Integrated[[#This Row],[Population 15 to 24 years]]</f>
        <v>3.3557797713595384E-4</v>
      </c>
      <c r="AH112" s="67">
        <f>Integrated[[#This Row],[Flu Deaths 25 to 34 years]]/Integrated[[#This Row],[Population 25 to 34 years]]</f>
        <v>4.118220379699919E-4</v>
      </c>
      <c r="AI112" s="67">
        <f>Integrated[[#This Row],[Flu Deaths 35 to 44 years]]/Integrated[[#This Row],[Population 35 to 44 years]]</f>
        <v>3.345712469470374E-4</v>
      </c>
      <c r="AJ112" s="67">
        <f>Integrated[[#This Row],[Flu Deaths 45 to 54 years]]/Integrated[[#This Row],[Population 45 to 54 years]]</f>
        <v>2.6877746569727593E-4</v>
      </c>
      <c r="AK112" s="67">
        <f>Integrated[[#This Row],[Flu Deaths 55 to 64 years]]/Integrated[[#This Row],[Population 55 to 64 years]]</f>
        <v>3.3474857592376658E-4</v>
      </c>
      <c r="AL112" s="67">
        <f>Integrated[[#This Row],[Flu Deaths 65 to 74 years]]/Integrated[[#This Row],[Population 65 to 74 years]]</f>
        <v>6.0573020776546126E-4</v>
      </c>
      <c r="AM112" s="67">
        <f>Integrated[[#This Row],[Flu Deaths 75 to 84 years]]/Integrated[[#This Row],[Population 75 to 84 years]]</f>
        <v>1.0384755179396645E-3</v>
      </c>
      <c r="AN112" s="67">
        <f>Integrated[[#This Row],[Flu Deaths 85+ years]]/Integrated[[#This Row],[Population 85+ years]]</f>
        <v>5.0511272637674019E-3</v>
      </c>
      <c r="AO112" s="68">
        <f>Integrated[[#This Row],[Total Flu Deaths]]/Integrated[[#This Row],[Total population]]</f>
        <v>5.9431912887844465E-4</v>
      </c>
    </row>
    <row r="113" spans="1:41" x14ac:dyDescent="0.3">
      <c r="A113" s="44" t="s">
        <v>142</v>
      </c>
      <c r="B113" t="s">
        <v>139</v>
      </c>
      <c r="C113" s="45">
        <v>2011</v>
      </c>
      <c r="D113" s="51">
        <v>1255682</v>
      </c>
      <c r="E113" s="2">
        <v>620407</v>
      </c>
      <c r="F113" s="2">
        <v>635275</v>
      </c>
      <c r="G113" s="78">
        <f>Integrated[[#This Row],[Female Total population]]/Integrated[[#This Row],[Total population]]</f>
        <v>0.50592028873552375</v>
      </c>
      <c r="H113" s="2">
        <v>68587</v>
      </c>
      <c r="I113" s="2">
        <v>157879</v>
      </c>
      <c r="J113" s="2">
        <v>171163</v>
      </c>
      <c r="K113" s="2">
        <v>138454</v>
      </c>
      <c r="L113" s="2">
        <v>178343</v>
      </c>
      <c r="M113" s="2">
        <v>213055</v>
      </c>
      <c r="N113" s="2">
        <v>163420</v>
      </c>
      <c r="O113" s="2">
        <v>89077</v>
      </c>
      <c r="P113" s="2">
        <v>54242</v>
      </c>
      <c r="Q113" s="52">
        <v>21962</v>
      </c>
      <c r="R113" s="127">
        <f>Integrated[[#This Row],[Population 85+ years]]/Integrated[[#This Row],[Total population]]</f>
        <v>1.7490097015008577E-2</v>
      </c>
      <c r="S113" s="58">
        <v>120</v>
      </c>
      <c r="T113" s="59">
        <v>60</v>
      </c>
      <c r="U113" s="59">
        <v>60</v>
      </c>
      <c r="V113" s="59">
        <v>60</v>
      </c>
      <c r="W113" s="59">
        <v>60</v>
      </c>
      <c r="X113" s="59">
        <v>60</v>
      </c>
      <c r="Y113" s="59">
        <v>60</v>
      </c>
      <c r="Z113" s="59">
        <v>60</v>
      </c>
      <c r="AA113" s="59">
        <v>65</v>
      </c>
      <c r="AB113" s="59">
        <v>123</v>
      </c>
      <c r="AC113" s="59">
        <f>VLOOKUP($A113,'[1]Flu Deaths Updated'!$A$2:$N$460,14,FALSE)</f>
        <v>60</v>
      </c>
      <c r="AD113" s="60">
        <f t="shared" si="1"/>
        <v>788</v>
      </c>
      <c r="AE113" s="66">
        <f>Integrated[[#This Row],[Flu Deaths &lt;5 years old]]/Integrated[[#This Row],[Population &lt;5 years]]</f>
        <v>1.7496026943881493E-3</v>
      </c>
      <c r="AF113" s="67">
        <f>Integrated[[#This Row],[Flu Deaths 5 to 14 years]]/Integrated[[#This Row],[Population 5 to 14 years]]</f>
        <v>3.8003787710841845E-4</v>
      </c>
      <c r="AG113" s="67">
        <f>Integrated[[#This Row],[Flu Deaths 15 to 24 years]]/Integrated[[#This Row],[Population 15 to 24 years]]</f>
        <v>3.5054304960768388E-4</v>
      </c>
      <c r="AH113" s="67">
        <f>Integrated[[#This Row],[Flu Deaths 25 to 34 years]]/Integrated[[#This Row],[Population 25 to 34 years]]</f>
        <v>4.3335692721048144E-4</v>
      </c>
      <c r="AI113" s="67">
        <f>Integrated[[#This Row],[Flu Deaths 35 to 44 years]]/Integrated[[#This Row],[Population 35 to 44 years]]</f>
        <v>3.3643036171871057E-4</v>
      </c>
      <c r="AJ113" s="67">
        <f>Integrated[[#This Row],[Flu Deaths 45 to 54 years]]/Integrated[[#This Row],[Population 45 to 54 years]]</f>
        <v>2.8161742273121961E-4</v>
      </c>
      <c r="AK113" s="67">
        <f>Integrated[[#This Row],[Flu Deaths 55 to 64 years]]/Integrated[[#This Row],[Population 55 to 64 years]]</f>
        <v>3.6715212336311344E-4</v>
      </c>
      <c r="AL113" s="67">
        <f>Integrated[[#This Row],[Flu Deaths 65 to 74 years]]/Integrated[[#This Row],[Population 65 to 74 years]]</f>
        <v>6.7357454786308479E-4</v>
      </c>
      <c r="AM113" s="67">
        <f>Integrated[[#This Row],[Flu Deaths 75 to 84 years]]/Integrated[[#This Row],[Population 75 to 84 years]]</f>
        <v>1.198333394786328E-3</v>
      </c>
      <c r="AN113" s="67">
        <f>Integrated[[#This Row],[Flu Deaths 85+ years]]/Integrated[[#This Row],[Population 85+ years]]</f>
        <v>5.6005828248793374E-3</v>
      </c>
      <c r="AO113" s="68">
        <f>Integrated[[#This Row],[Total Flu Deaths]]/Integrated[[#This Row],[Total population]]</f>
        <v>6.2754742044562233E-4</v>
      </c>
    </row>
    <row r="114" spans="1:41" x14ac:dyDescent="0.3">
      <c r="A114" s="44" t="s">
        <v>146</v>
      </c>
      <c r="B114" t="s">
        <v>122</v>
      </c>
      <c r="C114" s="45">
        <v>2009</v>
      </c>
      <c r="D114" s="51">
        <v>1280241</v>
      </c>
      <c r="E114" s="2">
        <v>647624</v>
      </c>
      <c r="F114" s="2">
        <v>632617</v>
      </c>
      <c r="G114" s="78">
        <f>Integrated[[#This Row],[Female Total population]]/Integrated[[#This Row],[Total population]]</f>
        <v>0.49413899414250911</v>
      </c>
      <c r="H114" s="2">
        <v>86683</v>
      </c>
      <c r="I114" s="2">
        <v>154051</v>
      </c>
      <c r="J114" s="2">
        <v>174737</v>
      </c>
      <c r="K114" s="2">
        <v>183515</v>
      </c>
      <c r="L114" s="2">
        <v>175705</v>
      </c>
      <c r="M114" s="2">
        <v>180061</v>
      </c>
      <c r="N114" s="2">
        <v>147020</v>
      </c>
      <c r="O114" s="2">
        <v>86910</v>
      </c>
      <c r="P114" s="2">
        <v>67851</v>
      </c>
      <c r="Q114" s="52">
        <v>25895</v>
      </c>
      <c r="R114" s="127">
        <f>Integrated[[#This Row],[Population 85+ years]]/Integrated[[#This Row],[Total population]]</f>
        <v>2.022666044908732E-2</v>
      </c>
      <c r="S114" s="58">
        <v>120</v>
      </c>
      <c r="T114" s="59">
        <v>60</v>
      </c>
      <c r="U114" s="59">
        <v>60</v>
      </c>
      <c r="V114" s="59">
        <v>60</v>
      </c>
      <c r="W114" s="59">
        <v>60</v>
      </c>
      <c r="X114" s="59">
        <v>60</v>
      </c>
      <c r="Y114" s="59">
        <v>60</v>
      </c>
      <c r="Z114" s="59">
        <v>60</v>
      </c>
      <c r="AA114" s="59">
        <v>60</v>
      </c>
      <c r="AB114" s="59">
        <v>125</v>
      </c>
      <c r="AC114" s="59">
        <f>VLOOKUP($A114,'[1]Flu Deaths Updated'!$A$2:$N$460,14,FALSE)</f>
        <v>60</v>
      </c>
      <c r="AD114" s="60">
        <f t="shared" si="1"/>
        <v>785</v>
      </c>
      <c r="AE114" s="66">
        <f>Integrated[[#This Row],[Flu Deaths &lt;5 years old]]/Integrated[[#This Row],[Population &lt;5 years]]</f>
        <v>1.3843544870389812E-3</v>
      </c>
      <c r="AF114" s="67">
        <f>Integrated[[#This Row],[Flu Deaths 5 to 14 years]]/Integrated[[#This Row],[Population 5 to 14 years]]</f>
        <v>3.8948140550856532E-4</v>
      </c>
      <c r="AG114" s="67">
        <f>Integrated[[#This Row],[Flu Deaths 15 to 24 years]]/Integrated[[#This Row],[Population 15 to 24 years]]</f>
        <v>3.4337318369893037E-4</v>
      </c>
      <c r="AH114" s="67">
        <f>Integrated[[#This Row],[Flu Deaths 25 to 34 years]]/Integrated[[#This Row],[Population 25 to 34 years]]</f>
        <v>3.2694875078331472E-4</v>
      </c>
      <c r="AI114" s="67">
        <f>Integrated[[#This Row],[Flu Deaths 35 to 44 years]]/Integrated[[#This Row],[Population 35 to 44 years]]</f>
        <v>3.4148146040237901E-4</v>
      </c>
      <c r="AJ114" s="67">
        <f>Integrated[[#This Row],[Flu Deaths 45 to 54 years]]/Integrated[[#This Row],[Population 45 to 54 years]]</f>
        <v>3.3322040863929445E-4</v>
      </c>
      <c r="AK114" s="67">
        <f>Integrated[[#This Row],[Flu Deaths 55 to 64 years]]/Integrated[[#This Row],[Population 55 to 64 years]]</f>
        <v>4.0810774044347709E-4</v>
      </c>
      <c r="AL114" s="67">
        <f>Integrated[[#This Row],[Flu Deaths 65 to 74 years]]/Integrated[[#This Row],[Population 65 to 74 years]]</f>
        <v>6.9036934760096649E-4</v>
      </c>
      <c r="AM114" s="67">
        <f>Integrated[[#This Row],[Flu Deaths 75 to 84 years]]/Integrated[[#This Row],[Population 75 to 84 years]]</f>
        <v>8.8429057788389268E-4</v>
      </c>
      <c r="AN114" s="67">
        <f>Integrated[[#This Row],[Flu Deaths 85+ years]]/Integrated[[#This Row],[Population 85+ years]]</f>
        <v>4.8271867155821584E-3</v>
      </c>
      <c r="AO114" s="68">
        <f>Integrated[[#This Row],[Total Flu Deaths]]/Integrated[[#This Row],[Total population]]</f>
        <v>6.1316580237627137E-4</v>
      </c>
    </row>
    <row r="115" spans="1:41" x14ac:dyDescent="0.3">
      <c r="A115" s="44" t="s">
        <v>152</v>
      </c>
      <c r="B115" t="s">
        <v>137</v>
      </c>
      <c r="C115" s="45">
        <v>2010</v>
      </c>
      <c r="D115" s="51">
        <v>1327665</v>
      </c>
      <c r="E115" s="2">
        <v>649666</v>
      </c>
      <c r="F115" s="2">
        <v>677999</v>
      </c>
      <c r="G115" s="78">
        <f>Integrated[[#This Row],[Female Total population]]/Integrated[[#This Row],[Total population]]</f>
        <v>0.51067023684438473</v>
      </c>
      <c r="H115" s="2">
        <v>69863</v>
      </c>
      <c r="I115" s="2">
        <v>156407</v>
      </c>
      <c r="J115" s="2">
        <v>171752</v>
      </c>
      <c r="K115" s="2">
        <v>144249</v>
      </c>
      <c r="L115" s="2">
        <v>182641</v>
      </c>
      <c r="M115" s="2">
        <v>219002</v>
      </c>
      <c r="N115" s="2">
        <v>180807</v>
      </c>
      <c r="O115" s="2">
        <v>106298</v>
      </c>
      <c r="P115" s="2">
        <v>69826</v>
      </c>
      <c r="Q115" s="52">
        <v>27330</v>
      </c>
      <c r="R115" s="127">
        <f>Integrated[[#This Row],[Population 85+ years]]/Integrated[[#This Row],[Total population]]</f>
        <v>2.0585012032402754E-2</v>
      </c>
      <c r="S115" s="58">
        <v>120</v>
      </c>
      <c r="T115" s="59">
        <v>60</v>
      </c>
      <c r="U115" s="59">
        <v>60</v>
      </c>
      <c r="V115" s="59">
        <v>60</v>
      </c>
      <c r="W115" s="59">
        <v>60</v>
      </c>
      <c r="X115" s="59">
        <v>60</v>
      </c>
      <c r="Y115" s="59">
        <v>60</v>
      </c>
      <c r="Z115" s="59">
        <v>60</v>
      </c>
      <c r="AA115" s="59">
        <v>60</v>
      </c>
      <c r="AB115" s="59">
        <v>125</v>
      </c>
      <c r="AC115" s="59">
        <f>VLOOKUP($A115,'[1]Flu Deaths Updated'!$A$2:$N$460,14,FALSE)</f>
        <v>60</v>
      </c>
      <c r="AD115" s="60">
        <f t="shared" si="1"/>
        <v>785</v>
      </c>
      <c r="AE115" s="66">
        <f>Integrated[[#This Row],[Flu Deaths &lt;5 years old]]/Integrated[[#This Row],[Population &lt;5 years]]</f>
        <v>1.7176473956171364E-3</v>
      </c>
      <c r="AF115" s="67">
        <f>Integrated[[#This Row],[Flu Deaths 5 to 14 years]]/Integrated[[#This Row],[Population 5 to 14 years]]</f>
        <v>3.8361454410608219E-4</v>
      </c>
      <c r="AG115" s="67">
        <f>Integrated[[#This Row],[Flu Deaths 15 to 24 years]]/Integrated[[#This Row],[Population 15 to 24 years]]</f>
        <v>3.4934091014951789E-4</v>
      </c>
      <c r="AH115" s="67">
        <f>Integrated[[#This Row],[Flu Deaths 25 to 34 years]]/Integrated[[#This Row],[Population 25 to 34 years]]</f>
        <v>4.1594742424557536E-4</v>
      </c>
      <c r="AI115" s="67">
        <f>Integrated[[#This Row],[Flu Deaths 35 to 44 years]]/Integrated[[#This Row],[Population 35 to 44 years]]</f>
        <v>3.2851331300200941E-4</v>
      </c>
      <c r="AJ115" s="67">
        <f>Integrated[[#This Row],[Flu Deaths 45 to 54 years]]/Integrated[[#This Row],[Population 45 to 54 years]]</f>
        <v>2.7397010072967369E-4</v>
      </c>
      <c r="AK115" s="67">
        <f>Integrated[[#This Row],[Flu Deaths 55 to 64 years]]/Integrated[[#This Row],[Population 55 to 64 years]]</f>
        <v>3.3184555907680568E-4</v>
      </c>
      <c r="AL115" s="67">
        <f>Integrated[[#This Row],[Flu Deaths 65 to 74 years]]/Integrated[[#This Row],[Population 65 to 74 years]]</f>
        <v>5.6445088336563246E-4</v>
      </c>
      <c r="AM115" s="67">
        <f>Integrated[[#This Row],[Flu Deaths 75 to 84 years]]/Integrated[[#This Row],[Population 75 to 84 years]]</f>
        <v>8.5927877867842924E-4</v>
      </c>
      <c r="AN115" s="67">
        <f>Integrated[[#This Row],[Flu Deaths 85+ years]]/Integrated[[#This Row],[Population 85+ years]]</f>
        <v>4.5737285034760334E-3</v>
      </c>
      <c r="AO115" s="68">
        <f>Integrated[[#This Row],[Total Flu Deaths]]/Integrated[[#This Row],[Total population]]</f>
        <v>5.9126360941954485E-4</v>
      </c>
    </row>
    <row r="116" spans="1:41" x14ac:dyDescent="0.3">
      <c r="A116" s="44" t="s">
        <v>123</v>
      </c>
      <c r="B116" t="s">
        <v>118</v>
      </c>
      <c r="C116" s="45">
        <v>2011</v>
      </c>
      <c r="D116" s="51">
        <v>1053959</v>
      </c>
      <c r="E116" s="2">
        <v>508799</v>
      </c>
      <c r="F116" s="2">
        <v>545160</v>
      </c>
      <c r="G116" s="78">
        <f>Integrated[[#This Row],[Female Total population]]/Integrated[[#This Row],[Total population]]</f>
        <v>0.5172497222377721</v>
      </c>
      <c r="H116" s="2">
        <v>58005</v>
      </c>
      <c r="I116" s="2">
        <v>126285</v>
      </c>
      <c r="J116" s="2">
        <v>161458</v>
      </c>
      <c r="K116" s="2">
        <v>127385</v>
      </c>
      <c r="L116" s="2">
        <v>142144</v>
      </c>
      <c r="M116" s="2">
        <v>160672</v>
      </c>
      <c r="N116" s="2">
        <v>127617</v>
      </c>
      <c r="O116" s="2">
        <v>72236</v>
      </c>
      <c r="P116" s="2">
        <v>53687</v>
      </c>
      <c r="Q116" s="52">
        <v>25089</v>
      </c>
      <c r="R116" s="127">
        <f>Integrated[[#This Row],[Population 85+ years]]/Integrated[[#This Row],[Total population]]</f>
        <v>2.3804531295809419E-2</v>
      </c>
      <c r="S116" s="58">
        <v>120</v>
      </c>
      <c r="T116" s="59">
        <v>60</v>
      </c>
      <c r="U116" s="59">
        <v>60</v>
      </c>
      <c r="V116" s="59">
        <v>60</v>
      </c>
      <c r="W116" s="59">
        <v>60</v>
      </c>
      <c r="X116" s="59">
        <v>60</v>
      </c>
      <c r="Y116" s="59">
        <v>60</v>
      </c>
      <c r="Z116" s="59">
        <v>60</v>
      </c>
      <c r="AA116" s="59">
        <v>60</v>
      </c>
      <c r="AB116" s="59">
        <v>126</v>
      </c>
      <c r="AC116" s="59">
        <f>VLOOKUP($A116,'[1]Flu Deaths Updated'!$A$2:$N$460,14,FALSE)</f>
        <v>60</v>
      </c>
      <c r="AD116" s="60">
        <f t="shared" si="1"/>
        <v>786</v>
      </c>
      <c r="AE116" s="66">
        <f>Integrated[[#This Row],[Flu Deaths &lt;5 years old]]/Integrated[[#This Row],[Population &lt;5 years]]</f>
        <v>2.0687871735195242E-3</v>
      </c>
      <c r="AF116" s="67">
        <f>Integrated[[#This Row],[Flu Deaths 5 to 14 years]]/Integrated[[#This Row],[Population 5 to 14 years]]</f>
        <v>4.7511580947856037E-4</v>
      </c>
      <c r="AG116" s="67">
        <f>Integrated[[#This Row],[Flu Deaths 15 to 24 years]]/Integrated[[#This Row],[Population 15 to 24 years]]</f>
        <v>3.7161367042822283E-4</v>
      </c>
      <c r="AH116" s="67">
        <f>Integrated[[#This Row],[Flu Deaths 25 to 34 years]]/Integrated[[#This Row],[Population 25 to 34 years]]</f>
        <v>4.7101307061270953E-4</v>
      </c>
      <c r="AI116" s="67">
        <f>Integrated[[#This Row],[Flu Deaths 35 to 44 years]]/Integrated[[#This Row],[Population 35 to 44 years]]</f>
        <v>4.221071589374156E-4</v>
      </c>
      <c r="AJ116" s="67">
        <f>Integrated[[#This Row],[Flu Deaths 45 to 54 years]]/Integrated[[#This Row],[Population 45 to 54 years]]</f>
        <v>3.7343158733320054E-4</v>
      </c>
      <c r="AK116" s="67">
        <f>Integrated[[#This Row],[Flu Deaths 55 to 64 years]]/Integrated[[#This Row],[Population 55 to 64 years]]</f>
        <v>4.7015679729189684E-4</v>
      </c>
      <c r="AL116" s="67">
        <f>Integrated[[#This Row],[Flu Deaths 65 to 74 years]]/Integrated[[#This Row],[Population 65 to 74 years]]</f>
        <v>8.306107757904646E-4</v>
      </c>
      <c r="AM116" s="67">
        <f>Integrated[[#This Row],[Flu Deaths 75 to 84 years]]/Integrated[[#This Row],[Population 75 to 84 years]]</f>
        <v>1.1175889880231714E-3</v>
      </c>
      <c r="AN116" s="67">
        <f>Integrated[[#This Row],[Flu Deaths 85+ years]]/Integrated[[#This Row],[Population 85+ years]]</f>
        <v>5.0221212483558533E-3</v>
      </c>
      <c r="AO116" s="68">
        <f>Integrated[[#This Row],[Total Flu Deaths]]/Integrated[[#This Row],[Total population]]</f>
        <v>7.4575955990697931E-4</v>
      </c>
    </row>
    <row r="117" spans="1:41" x14ac:dyDescent="0.3">
      <c r="A117" s="44" t="s">
        <v>208</v>
      </c>
      <c r="B117" t="s">
        <v>202</v>
      </c>
      <c r="C117" s="45">
        <v>2010</v>
      </c>
      <c r="D117" s="51">
        <v>1982961</v>
      </c>
      <c r="E117" s="2">
        <v>977507</v>
      </c>
      <c r="F117" s="2">
        <v>1005454</v>
      </c>
      <c r="G117" s="78">
        <f>Integrated[[#This Row],[Female Total population]]/Integrated[[#This Row],[Total population]]</f>
        <v>0.50704678508553624</v>
      </c>
      <c r="H117" s="2">
        <v>141449</v>
      </c>
      <c r="I117" s="2">
        <v>274425</v>
      </c>
      <c r="J117" s="2">
        <v>292529</v>
      </c>
      <c r="K117" s="2">
        <v>254144</v>
      </c>
      <c r="L117" s="2">
        <v>250831</v>
      </c>
      <c r="M117" s="2">
        <v>282648</v>
      </c>
      <c r="N117" s="2">
        <v>233790</v>
      </c>
      <c r="O117" s="2">
        <v>140848</v>
      </c>
      <c r="P117" s="2">
        <v>81969</v>
      </c>
      <c r="Q117" s="52">
        <v>29702</v>
      </c>
      <c r="R117" s="127">
        <f>Integrated[[#This Row],[Population 85+ years]]/Integrated[[#This Row],[Total population]]</f>
        <v>1.4978610270196943E-2</v>
      </c>
      <c r="S117" s="58">
        <v>120</v>
      </c>
      <c r="T117" s="59">
        <v>60</v>
      </c>
      <c r="U117" s="59">
        <v>60</v>
      </c>
      <c r="V117" s="59">
        <v>60</v>
      </c>
      <c r="W117" s="59">
        <v>60</v>
      </c>
      <c r="X117" s="59">
        <v>60</v>
      </c>
      <c r="Y117" s="59">
        <v>60</v>
      </c>
      <c r="Z117" s="59">
        <v>60</v>
      </c>
      <c r="AA117" s="59">
        <v>73</v>
      </c>
      <c r="AB117" s="59">
        <v>129</v>
      </c>
      <c r="AC117" s="59">
        <f>VLOOKUP($A117,'[1]Flu Deaths Updated'!$A$2:$N$460,14,FALSE)</f>
        <v>60</v>
      </c>
      <c r="AD117" s="60">
        <f t="shared" si="1"/>
        <v>802</v>
      </c>
      <c r="AE117" s="66">
        <f>Integrated[[#This Row],[Flu Deaths &lt;5 years old]]/Integrated[[#This Row],[Population &lt;5 years]]</f>
        <v>8.4836230726268835E-4</v>
      </c>
      <c r="AF117" s="67">
        <f>Integrated[[#This Row],[Flu Deaths 5 to 14 years]]/Integrated[[#This Row],[Population 5 to 14 years]]</f>
        <v>2.1863897239682973E-4</v>
      </c>
      <c r="AG117" s="67">
        <f>Integrated[[#This Row],[Flu Deaths 15 to 24 years]]/Integrated[[#This Row],[Population 15 to 24 years]]</f>
        <v>2.0510786964711192E-4</v>
      </c>
      <c r="AH117" s="67">
        <f>Integrated[[#This Row],[Flu Deaths 25 to 34 years]]/Integrated[[#This Row],[Population 25 to 34 years]]</f>
        <v>2.3608662805338706E-4</v>
      </c>
      <c r="AI117" s="67">
        <f>Integrated[[#This Row],[Flu Deaths 35 to 44 years]]/Integrated[[#This Row],[Population 35 to 44 years]]</f>
        <v>2.39204882969011E-4</v>
      </c>
      <c r="AJ117" s="67">
        <f>Integrated[[#This Row],[Flu Deaths 45 to 54 years]]/Integrated[[#This Row],[Population 45 to 54 years]]</f>
        <v>2.1227816931306784E-4</v>
      </c>
      <c r="AK117" s="67">
        <f>Integrated[[#This Row],[Flu Deaths 55 to 64 years]]/Integrated[[#This Row],[Population 55 to 64 years]]</f>
        <v>2.5664057487488769E-4</v>
      </c>
      <c r="AL117" s="67">
        <f>Integrated[[#This Row],[Flu Deaths 65 to 74 years]]/Integrated[[#This Row],[Population 65 to 74 years]]</f>
        <v>4.2599113938430078E-4</v>
      </c>
      <c r="AM117" s="67">
        <f>Integrated[[#This Row],[Flu Deaths 75 to 84 years]]/Integrated[[#This Row],[Population 75 to 84 years]]</f>
        <v>8.9058058534323956E-4</v>
      </c>
      <c r="AN117" s="67">
        <f>Integrated[[#This Row],[Flu Deaths 85+ years]]/Integrated[[#This Row],[Population 85+ years]]</f>
        <v>4.3431418759679484E-3</v>
      </c>
      <c r="AO117" s="68">
        <f>Integrated[[#This Row],[Total Flu Deaths]]/Integrated[[#This Row],[Total population]]</f>
        <v>4.0444567492754524E-4</v>
      </c>
    </row>
    <row r="118" spans="1:41" x14ac:dyDescent="0.3">
      <c r="A118" s="44" t="s">
        <v>211</v>
      </c>
      <c r="B118" t="s">
        <v>202</v>
      </c>
      <c r="C118" s="45">
        <v>2009</v>
      </c>
      <c r="D118" s="51">
        <v>1964860</v>
      </c>
      <c r="E118" s="2">
        <v>971454</v>
      </c>
      <c r="F118" s="2">
        <v>993406</v>
      </c>
      <c r="G118" s="78">
        <f>Integrated[[#This Row],[Female Total population]]/Integrated[[#This Row],[Total population]]</f>
        <v>0.50558614863145468</v>
      </c>
      <c r="H118" s="2">
        <v>145707</v>
      </c>
      <c r="I118" s="2">
        <v>271635</v>
      </c>
      <c r="J118" s="2">
        <v>289049</v>
      </c>
      <c r="K118" s="2">
        <v>263051</v>
      </c>
      <c r="L118" s="2">
        <v>254342</v>
      </c>
      <c r="M118" s="2">
        <v>275662</v>
      </c>
      <c r="N118" s="2">
        <v>218040</v>
      </c>
      <c r="O118" s="2">
        <v>132641</v>
      </c>
      <c r="P118" s="2">
        <v>85015</v>
      </c>
      <c r="Q118" s="52">
        <v>31093</v>
      </c>
      <c r="R118" s="127">
        <f>Integrated[[#This Row],[Population 85+ years]]/Integrated[[#This Row],[Total population]]</f>
        <v>1.5824537117148294E-2</v>
      </c>
      <c r="S118" s="58">
        <v>120</v>
      </c>
      <c r="T118" s="59">
        <v>60</v>
      </c>
      <c r="U118" s="59">
        <v>60</v>
      </c>
      <c r="V118" s="59">
        <v>60</v>
      </c>
      <c r="W118" s="59">
        <v>60</v>
      </c>
      <c r="X118" s="59">
        <v>60</v>
      </c>
      <c r="Y118" s="59">
        <v>60</v>
      </c>
      <c r="Z118" s="59">
        <v>60</v>
      </c>
      <c r="AA118" s="59">
        <v>60</v>
      </c>
      <c r="AB118" s="59">
        <v>132</v>
      </c>
      <c r="AC118" s="59">
        <f>VLOOKUP($A118,'[1]Flu Deaths Updated'!$A$2:$N$460,14,FALSE)</f>
        <v>60</v>
      </c>
      <c r="AD118" s="60">
        <f t="shared" si="1"/>
        <v>792</v>
      </c>
      <c r="AE118" s="66">
        <f>Integrated[[#This Row],[Flu Deaths &lt;5 years old]]/Integrated[[#This Row],[Population &lt;5 years]]</f>
        <v>8.2357059029422054E-4</v>
      </c>
      <c r="AF118" s="67">
        <f>Integrated[[#This Row],[Flu Deaths 5 to 14 years]]/Integrated[[#This Row],[Population 5 to 14 years]]</f>
        <v>2.2088464299519576E-4</v>
      </c>
      <c r="AG118" s="67">
        <f>Integrated[[#This Row],[Flu Deaths 15 to 24 years]]/Integrated[[#This Row],[Population 15 to 24 years]]</f>
        <v>2.0757726198672197E-4</v>
      </c>
      <c r="AH118" s="67">
        <f>Integrated[[#This Row],[Flu Deaths 25 to 34 years]]/Integrated[[#This Row],[Population 25 to 34 years]]</f>
        <v>2.2809265123493162E-4</v>
      </c>
      <c r="AI118" s="67">
        <f>Integrated[[#This Row],[Flu Deaths 35 to 44 years]]/Integrated[[#This Row],[Population 35 to 44 years]]</f>
        <v>2.359028394838446E-4</v>
      </c>
      <c r="AJ118" s="67">
        <f>Integrated[[#This Row],[Flu Deaths 45 to 54 years]]/Integrated[[#This Row],[Population 45 to 54 years]]</f>
        <v>2.1765785636032532E-4</v>
      </c>
      <c r="AK118" s="67">
        <f>Integrated[[#This Row],[Flu Deaths 55 to 64 years]]/Integrated[[#This Row],[Population 55 to 64 years]]</f>
        <v>2.7517886626307099E-4</v>
      </c>
      <c r="AL118" s="67">
        <f>Integrated[[#This Row],[Flu Deaths 65 to 74 years]]/Integrated[[#This Row],[Population 65 to 74 years]]</f>
        <v>4.5234882125436327E-4</v>
      </c>
      <c r="AM118" s="67">
        <f>Integrated[[#This Row],[Flu Deaths 75 to 84 years]]/Integrated[[#This Row],[Population 75 to 84 years]]</f>
        <v>7.0575780744574492E-4</v>
      </c>
      <c r="AN118" s="67">
        <f>Integrated[[#This Row],[Flu Deaths 85+ years]]/Integrated[[#This Row],[Population 85+ years]]</f>
        <v>4.24532853053742E-3</v>
      </c>
      <c r="AO118" s="68">
        <f>Integrated[[#This Row],[Total Flu Deaths]]/Integrated[[#This Row],[Total population]]</f>
        <v>4.0308215343586821E-4</v>
      </c>
    </row>
    <row r="119" spans="1:41" x14ac:dyDescent="0.3">
      <c r="A119" s="44" t="s">
        <v>190</v>
      </c>
      <c r="B119" t="s">
        <v>168</v>
      </c>
      <c r="C119" s="45">
        <v>2009</v>
      </c>
      <c r="D119" s="51">
        <v>1736643</v>
      </c>
      <c r="E119" s="2">
        <v>859996</v>
      </c>
      <c r="F119" s="2">
        <v>876648</v>
      </c>
      <c r="G119" s="78">
        <f>Integrated[[#This Row],[Female Total population]]/Integrated[[#This Row],[Total population]]</f>
        <v>0.50479459508949165</v>
      </c>
      <c r="H119" s="2">
        <v>128303</v>
      </c>
      <c r="I119" s="2">
        <v>233999</v>
      </c>
      <c r="J119" s="2">
        <v>267073</v>
      </c>
      <c r="K119" s="2">
        <v>220171</v>
      </c>
      <c r="L119" s="2">
        <v>224405</v>
      </c>
      <c r="M119" s="2">
        <v>248856</v>
      </c>
      <c r="N119" s="2">
        <v>183534</v>
      </c>
      <c r="O119" s="2">
        <v>112313</v>
      </c>
      <c r="P119" s="2">
        <v>83173</v>
      </c>
      <c r="Q119" s="52">
        <v>36167</v>
      </c>
      <c r="R119" s="127">
        <f>Integrated[[#This Row],[Population 85+ years]]/Integrated[[#This Row],[Total population]]</f>
        <v>2.0825811637740169E-2</v>
      </c>
      <c r="S119" s="58">
        <v>120</v>
      </c>
      <c r="T119" s="59">
        <v>60</v>
      </c>
      <c r="U119" s="59">
        <v>60</v>
      </c>
      <c r="V119" s="59">
        <v>60</v>
      </c>
      <c r="W119" s="59">
        <v>60</v>
      </c>
      <c r="X119" s="59">
        <v>60</v>
      </c>
      <c r="Y119" s="59">
        <v>60</v>
      </c>
      <c r="Z119" s="59">
        <v>60</v>
      </c>
      <c r="AA119" s="59">
        <v>65</v>
      </c>
      <c r="AB119" s="59">
        <v>135</v>
      </c>
      <c r="AC119" s="59">
        <f>VLOOKUP($A119,'[1]Flu Deaths Updated'!$A$2:$N$460,14,FALSE)</f>
        <v>60</v>
      </c>
      <c r="AD119" s="60">
        <f t="shared" si="1"/>
        <v>800</v>
      </c>
      <c r="AE119" s="66">
        <f>Integrated[[#This Row],[Flu Deaths &lt;5 years old]]/Integrated[[#This Row],[Population &lt;5 years]]</f>
        <v>9.3528600266556516E-4</v>
      </c>
      <c r="AF119" s="67">
        <f>Integrated[[#This Row],[Flu Deaths 5 to 14 years]]/Integrated[[#This Row],[Population 5 to 14 years]]</f>
        <v>2.5641135218526577E-4</v>
      </c>
      <c r="AG119" s="67">
        <f>Integrated[[#This Row],[Flu Deaths 15 to 24 years]]/Integrated[[#This Row],[Population 15 to 24 years]]</f>
        <v>2.2465767786335571E-4</v>
      </c>
      <c r="AH119" s="67">
        <f>Integrated[[#This Row],[Flu Deaths 25 to 34 years]]/Integrated[[#This Row],[Population 25 to 34 years]]</f>
        <v>2.7251545389719807E-4</v>
      </c>
      <c r="AI119" s="67">
        <f>Integrated[[#This Row],[Flu Deaths 35 to 44 years]]/Integrated[[#This Row],[Population 35 to 44 years]]</f>
        <v>2.6737372161939353E-4</v>
      </c>
      <c r="AJ119" s="67">
        <f>Integrated[[#This Row],[Flu Deaths 45 to 54 years]]/Integrated[[#This Row],[Population 45 to 54 years]]</f>
        <v>2.4110328864885718E-4</v>
      </c>
      <c r="AK119" s="67">
        <f>Integrated[[#This Row],[Flu Deaths 55 to 64 years]]/Integrated[[#This Row],[Population 55 to 64 years]]</f>
        <v>3.2691490405047568E-4</v>
      </c>
      <c r="AL119" s="67">
        <f>Integrated[[#This Row],[Flu Deaths 65 to 74 years]]/Integrated[[#This Row],[Population 65 to 74 years]]</f>
        <v>5.3422132789614739E-4</v>
      </c>
      <c r="AM119" s="67">
        <f>Integrated[[#This Row],[Flu Deaths 75 to 84 years]]/Integrated[[#This Row],[Population 75 to 84 years]]</f>
        <v>7.815036129513183E-4</v>
      </c>
      <c r="AN119" s="67">
        <f>Integrated[[#This Row],[Flu Deaths 85+ years]]/Integrated[[#This Row],[Population 85+ years]]</f>
        <v>3.7326844913871762E-3</v>
      </c>
      <c r="AO119" s="68">
        <f>Integrated[[#This Row],[Total Flu Deaths]]/Integrated[[#This Row],[Total population]]</f>
        <v>4.6065886886366398E-4</v>
      </c>
    </row>
    <row r="120" spans="1:41" x14ac:dyDescent="0.3">
      <c r="A120" s="44" t="s">
        <v>247</v>
      </c>
      <c r="B120" t="s">
        <v>222</v>
      </c>
      <c r="C120" s="45">
        <v>2012</v>
      </c>
      <c r="D120" s="51">
        <v>2669454</v>
      </c>
      <c r="E120" s="2">
        <v>1346506</v>
      </c>
      <c r="F120" s="2">
        <v>1322949</v>
      </c>
      <c r="G120" s="78">
        <f>Integrated[[#This Row],[Female Total population]]/Integrated[[#This Row],[Total population]]</f>
        <v>0.49558786178746667</v>
      </c>
      <c r="H120" s="2">
        <v>183980</v>
      </c>
      <c r="I120" s="2">
        <v>359625</v>
      </c>
      <c r="J120" s="2">
        <v>358532</v>
      </c>
      <c r="K120" s="2">
        <v>382650</v>
      </c>
      <c r="L120" s="2">
        <v>379444</v>
      </c>
      <c r="M120" s="2">
        <v>368608</v>
      </c>
      <c r="N120" s="2">
        <v>312389</v>
      </c>
      <c r="O120" s="2">
        <v>198003</v>
      </c>
      <c r="P120" s="2">
        <v>95988</v>
      </c>
      <c r="Q120" s="52">
        <v>32369</v>
      </c>
      <c r="R120" s="127">
        <f>Integrated[[#This Row],[Population 85+ years]]/Integrated[[#This Row],[Total population]]</f>
        <v>1.2125700611435896E-2</v>
      </c>
      <c r="S120" s="58">
        <v>120</v>
      </c>
      <c r="T120" s="59">
        <v>60</v>
      </c>
      <c r="U120" s="59">
        <v>60</v>
      </c>
      <c r="V120" s="59">
        <v>60</v>
      </c>
      <c r="W120" s="59">
        <v>60</v>
      </c>
      <c r="X120" s="59">
        <v>60</v>
      </c>
      <c r="Y120" s="59">
        <v>60</v>
      </c>
      <c r="Z120" s="59">
        <v>80</v>
      </c>
      <c r="AA120" s="59">
        <v>157</v>
      </c>
      <c r="AB120" s="59">
        <v>137</v>
      </c>
      <c r="AC120" s="59">
        <f>VLOOKUP($A120,'[1]Flu Deaths Updated'!$A$2:$N$460,14,FALSE)</f>
        <v>60</v>
      </c>
      <c r="AD120" s="60">
        <f t="shared" si="1"/>
        <v>914</v>
      </c>
      <c r="AE120" s="66">
        <f>Integrated[[#This Row],[Flu Deaths &lt;5 years old]]/Integrated[[#This Row],[Population &lt;5 years]]</f>
        <v>6.5224480921839331E-4</v>
      </c>
      <c r="AF120" s="67">
        <f>Integrated[[#This Row],[Flu Deaths 5 to 14 years]]/Integrated[[#This Row],[Population 5 to 14 years]]</f>
        <v>1.6684045881126174E-4</v>
      </c>
      <c r="AG120" s="67">
        <f>Integrated[[#This Row],[Flu Deaths 15 to 24 years]]/Integrated[[#This Row],[Population 15 to 24 years]]</f>
        <v>1.6734907902223511E-4</v>
      </c>
      <c r="AH120" s="67">
        <f>Integrated[[#This Row],[Flu Deaths 25 to 34 years]]/Integrated[[#This Row],[Population 25 to 34 years]]</f>
        <v>1.5680125441003528E-4</v>
      </c>
      <c r="AI120" s="67">
        <f>Integrated[[#This Row],[Flu Deaths 35 to 44 years]]/Integrated[[#This Row],[Population 35 to 44 years]]</f>
        <v>1.5812610029411454E-4</v>
      </c>
      <c r="AJ120" s="67">
        <f>Integrated[[#This Row],[Flu Deaths 45 to 54 years]]/Integrated[[#This Row],[Population 45 to 54 years]]</f>
        <v>1.6277454640159736E-4</v>
      </c>
      <c r="AK120" s="67">
        <f>Integrated[[#This Row],[Flu Deaths 55 to 64 years]]/Integrated[[#This Row],[Population 55 to 64 years]]</f>
        <v>1.9206822263267913E-4</v>
      </c>
      <c r="AL120" s="67">
        <f>Integrated[[#This Row],[Flu Deaths 65 to 74 years]]/Integrated[[#This Row],[Population 65 to 74 years]]</f>
        <v>4.0403428230885392E-4</v>
      </c>
      <c r="AM120" s="67">
        <f>Integrated[[#This Row],[Flu Deaths 75 to 84 years]]/Integrated[[#This Row],[Population 75 to 84 years]]</f>
        <v>1.6356211193065799E-3</v>
      </c>
      <c r="AN120" s="67">
        <f>Integrated[[#This Row],[Flu Deaths 85+ years]]/Integrated[[#This Row],[Population 85+ years]]</f>
        <v>4.2324446229417036E-3</v>
      </c>
      <c r="AO120" s="68">
        <f>Integrated[[#This Row],[Total Flu Deaths]]/Integrated[[#This Row],[Total population]]</f>
        <v>3.4239211464217028E-4</v>
      </c>
    </row>
    <row r="121" spans="1:41" x14ac:dyDescent="0.3">
      <c r="A121" s="44" t="s">
        <v>148</v>
      </c>
      <c r="B121" t="s">
        <v>122</v>
      </c>
      <c r="C121" s="45">
        <v>2010</v>
      </c>
      <c r="D121" s="51">
        <v>1333591</v>
      </c>
      <c r="E121" s="2">
        <v>668202</v>
      </c>
      <c r="F121" s="2">
        <v>665389</v>
      </c>
      <c r="G121" s="78">
        <f>Integrated[[#This Row],[Female Total population]]/Integrated[[#This Row],[Total population]]</f>
        <v>0.49894532881520648</v>
      </c>
      <c r="H121" s="2">
        <v>86254</v>
      </c>
      <c r="I121" s="2">
        <v>162180</v>
      </c>
      <c r="J121" s="2">
        <v>180945</v>
      </c>
      <c r="K121" s="2">
        <v>179791</v>
      </c>
      <c r="L121" s="2">
        <v>179144</v>
      </c>
      <c r="M121" s="2">
        <v>194288</v>
      </c>
      <c r="N121" s="2">
        <v>165173</v>
      </c>
      <c r="O121" s="2">
        <v>93989</v>
      </c>
      <c r="P121" s="2">
        <v>64889</v>
      </c>
      <c r="Q121" s="52">
        <v>27042</v>
      </c>
      <c r="R121" s="127">
        <f>Integrated[[#This Row],[Population 85+ years]]/Integrated[[#This Row],[Total population]]</f>
        <v>2.0277581357402683E-2</v>
      </c>
      <c r="S121" s="58">
        <v>120</v>
      </c>
      <c r="T121" s="59">
        <v>60</v>
      </c>
      <c r="U121" s="59">
        <v>60</v>
      </c>
      <c r="V121" s="59">
        <v>60</v>
      </c>
      <c r="W121" s="59">
        <v>60</v>
      </c>
      <c r="X121" s="59">
        <v>60</v>
      </c>
      <c r="Y121" s="59">
        <v>60</v>
      </c>
      <c r="Z121" s="59">
        <v>60</v>
      </c>
      <c r="AA121" s="59">
        <v>72</v>
      </c>
      <c r="AB121" s="59">
        <v>139</v>
      </c>
      <c r="AC121" s="59">
        <f>VLOOKUP($A121,'[1]Flu Deaths Updated'!$A$2:$N$460,14,FALSE)</f>
        <v>60</v>
      </c>
      <c r="AD121" s="60">
        <f t="shared" si="1"/>
        <v>811</v>
      </c>
      <c r="AE121" s="66">
        <f>Integrated[[#This Row],[Flu Deaths &lt;5 years old]]/Integrated[[#This Row],[Population &lt;5 years]]</f>
        <v>1.3912398265587683E-3</v>
      </c>
      <c r="AF121" s="67">
        <f>Integrated[[#This Row],[Flu Deaths 5 to 14 years]]/Integrated[[#This Row],[Population 5 to 14 years]]</f>
        <v>3.6995930447650759E-4</v>
      </c>
      <c r="AG121" s="67">
        <f>Integrated[[#This Row],[Flu Deaths 15 to 24 years]]/Integrated[[#This Row],[Population 15 to 24 years]]</f>
        <v>3.3159247285086628E-4</v>
      </c>
      <c r="AH121" s="67">
        <f>Integrated[[#This Row],[Flu Deaths 25 to 34 years]]/Integrated[[#This Row],[Population 25 to 34 years]]</f>
        <v>3.3372082028577629E-4</v>
      </c>
      <c r="AI121" s="67">
        <f>Integrated[[#This Row],[Flu Deaths 35 to 44 years]]/Integrated[[#This Row],[Population 35 to 44 years]]</f>
        <v>3.3492609297548342E-4</v>
      </c>
      <c r="AJ121" s="67">
        <f>Integrated[[#This Row],[Flu Deaths 45 to 54 years]]/Integrated[[#This Row],[Population 45 to 54 years]]</f>
        <v>3.0881989623651485E-4</v>
      </c>
      <c r="AK121" s="67">
        <f>Integrated[[#This Row],[Flu Deaths 55 to 64 years]]/Integrated[[#This Row],[Population 55 to 64 years]]</f>
        <v>3.6325549575293782E-4</v>
      </c>
      <c r="AL121" s="67">
        <f>Integrated[[#This Row],[Flu Deaths 65 to 74 years]]/Integrated[[#This Row],[Population 65 to 74 years]]</f>
        <v>6.3837257551415587E-4</v>
      </c>
      <c r="AM121" s="67">
        <f>Integrated[[#This Row],[Flu Deaths 75 to 84 years]]/Integrated[[#This Row],[Population 75 to 84 years]]</f>
        <v>1.109587141117909E-3</v>
      </c>
      <c r="AN121" s="67">
        <f>Integrated[[#This Row],[Flu Deaths 85+ years]]/Integrated[[#This Row],[Population 85+ years]]</f>
        <v>5.1401523555950008E-3</v>
      </c>
      <c r="AO121" s="68">
        <f>Integrated[[#This Row],[Total Flu Deaths]]/Integrated[[#This Row],[Total population]]</f>
        <v>6.0813247839854945E-4</v>
      </c>
    </row>
    <row r="122" spans="1:41" x14ac:dyDescent="0.3">
      <c r="A122" s="44" t="s">
        <v>204</v>
      </c>
      <c r="B122" t="s">
        <v>202</v>
      </c>
      <c r="C122" s="45">
        <v>2013</v>
      </c>
      <c r="D122" s="51">
        <v>2011766</v>
      </c>
      <c r="E122" s="2">
        <v>996695</v>
      </c>
      <c r="F122" s="2">
        <v>1015072</v>
      </c>
      <c r="G122" s="78">
        <f>Integrated[[#This Row],[Female Total population]]/Integrated[[#This Row],[Total population]]</f>
        <v>0.5045676286407067</v>
      </c>
      <c r="H122" s="2">
        <v>138599</v>
      </c>
      <c r="I122" s="2">
        <v>278249</v>
      </c>
      <c r="J122" s="2">
        <v>285793</v>
      </c>
      <c r="K122" s="2">
        <v>265648</v>
      </c>
      <c r="L122" s="2">
        <v>243637</v>
      </c>
      <c r="M122" s="2">
        <v>275162</v>
      </c>
      <c r="N122" s="2">
        <v>252569</v>
      </c>
      <c r="O122" s="2">
        <v>155355</v>
      </c>
      <c r="P122" s="2">
        <v>84677</v>
      </c>
      <c r="Q122" s="52">
        <v>32267</v>
      </c>
      <c r="R122" s="127">
        <f>Integrated[[#This Row],[Population 85+ years]]/Integrated[[#This Row],[Total population]]</f>
        <v>1.6039141729207076E-2</v>
      </c>
      <c r="S122" s="58">
        <v>120</v>
      </c>
      <c r="T122" s="59">
        <v>60</v>
      </c>
      <c r="U122" s="59">
        <v>60</v>
      </c>
      <c r="V122" s="59">
        <v>60</v>
      </c>
      <c r="W122" s="59">
        <v>60</v>
      </c>
      <c r="X122" s="59">
        <v>60</v>
      </c>
      <c r="Y122" s="59">
        <v>60</v>
      </c>
      <c r="Z122" s="59">
        <v>60</v>
      </c>
      <c r="AA122" s="59">
        <v>85</v>
      </c>
      <c r="AB122" s="59">
        <v>141</v>
      </c>
      <c r="AC122" s="59">
        <f>VLOOKUP($A122,'[1]Flu Deaths Updated'!$A$2:$N$460,14,FALSE)</f>
        <v>60</v>
      </c>
      <c r="AD122" s="60">
        <f t="shared" si="1"/>
        <v>826</v>
      </c>
      <c r="AE122" s="66">
        <f>Integrated[[#This Row],[Flu Deaths &lt;5 years old]]/Integrated[[#This Row],[Population &lt;5 years]]</f>
        <v>8.6580711260543009E-4</v>
      </c>
      <c r="AF122" s="67">
        <f>Integrated[[#This Row],[Flu Deaths 5 to 14 years]]/Integrated[[#This Row],[Population 5 to 14 years]]</f>
        <v>2.1563419814626467E-4</v>
      </c>
      <c r="AG122" s="67">
        <f>Integrated[[#This Row],[Flu Deaths 15 to 24 years]]/Integrated[[#This Row],[Population 15 to 24 years]]</f>
        <v>2.099421609346625E-4</v>
      </c>
      <c r="AH122" s="67">
        <f>Integrated[[#This Row],[Flu Deaths 25 to 34 years]]/Integrated[[#This Row],[Population 25 to 34 years]]</f>
        <v>2.2586279588026261E-4</v>
      </c>
      <c r="AI122" s="67">
        <f>Integrated[[#This Row],[Flu Deaths 35 to 44 years]]/Integrated[[#This Row],[Population 35 to 44 years]]</f>
        <v>2.4626801347906927E-4</v>
      </c>
      <c r="AJ122" s="67">
        <f>Integrated[[#This Row],[Flu Deaths 45 to 54 years]]/Integrated[[#This Row],[Population 45 to 54 years]]</f>
        <v>2.1805336492684309E-4</v>
      </c>
      <c r="AK122" s="67">
        <f>Integrated[[#This Row],[Flu Deaths 55 to 64 years]]/Integrated[[#This Row],[Population 55 to 64 years]]</f>
        <v>2.3755884530563925E-4</v>
      </c>
      <c r="AL122" s="67">
        <f>Integrated[[#This Row],[Flu Deaths 65 to 74 years]]/Integrated[[#This Row],[Population 65 to 74 years]]</f>
        <v>3.8621222361687749E-4</v>
      </c>
      <c r="AM122" s="67">
        <f>Integrated[[#This Row],[Flu Deaths 75 to 84 years]]/Integrated[[#This Row],[Population 75 to 84 years]]</f>
        <v>1.0038144950813091E-3</v>
      </c>
      <c r="AN122" s="67">
        <f>Integrated[[#This Row],[Flu Deaths 85+ years]]/Integrated[[#This Row],[Population 85+ years]]</f>
        <v>4.3697895682895836E-3</v>
      </c>
      <c r="AO122" s="68">
        <f>Integrated[[#This Row],[Total Flu Deaths]]/Integrated[[#This Row],[Total population]]</f>
        <v>4.1058453120293312E-4</v>
      </c>
    </row>
    <row r="123" spans="1:41" x14ac:dyDescent="0.3">
      <c r="A123" s="44" t="s">
        <v>145</v>
      </c>
      <c r="B123" t="s">
        <v>137</v>
      </c>
      <c r="C123" s="45">
        <v>2011</v>
      </c>
      <c r="D123" s="51">
        <v>1328662</v>
      </c>
      <c r="E123" s="2">
        <v>650905</v>
      </c>
      <c r="F123" s="2">
        <v>677757</v>
      </c>
      <c r="G123" s="78">
        <f>Integrated[[#This Row],[Female Total population]]/Integrated[[#This Row],[Total population]]</f>
        <v>0.51010490252599983</v>
      </c>
      <c r="H123" s="2">
        <v>70139</v>
      </c>
      <c r="I123" s="2">
        <v>156533</v>
      </c>
      <c r="J123" s="2">
        <v>170532</v>
      </c>
      <c r="K123" s="2">
        <v>145834</v>
      </c>
      <c r="L123" s="2">
        <v>177448</v>
      </c>
      <c r="M123" s="2">
        <v>217829</v>
      </c>
      <c r="N123" s="2">
        <v>185369</v>
      </c>
      <c r="O123" s="2">
        <v>109109</v>
      </c>
      <c r="P123" s="2">
        <v>69211</v>
      </c>
      <c r="Q123" s="52">
        <v>27237</v>
      </c>
      <c r="R123" s="127">
        <f>Integrated[[#This Row],[Population 85+ years]]/Integrated[[#This Row],[Total population]]</f>
        <v>2.0499570244351083E-2</v>
      </c>
      <c r="S123" s="58">
        <v>120</v>
      </c>
      <c r="T123" s="59">
        <v>60</v>
      </c>
      <c r="U123" s="59">
        <v>60</v>
      </c>
      <c r="V123" s="59">
        <v>60</v>
      </c>
      <c r="W123" s="59">
        <v>60</v>
      </c>
      <c r="X123" s="59">
        <v>60</v>
      </c>
      <c r="Y123" s="59">
        <v>60</v>
      </c>
      <c r="Z123" s="59">
        <v>60</v>
      </c>
      <c r="AA123" s="59">
        <v>76</v>
      </c>
      <c r="AB123" s="59">
        <v>142</v>
      </c>
      <c r="AC123" s="59">
        <f>VLOOKUP($A123,'[1]Flu Deaths Updated'!$A$2:$N$460,14,FALSE)</f>
        <v>60</v>
      </c>
      <c r="AD123" s="60">
        <f t="shared" si="1"/>
        <v>818</v>
      </c>
      <c r="AE123" s="66">
        <f>Integrated[[#This Row],[Flu Deaths &lt;5 years old]]/Integrated[[#This Row],[Population &lt;5 years]]</f>
        <v>1.710888378790687E-3</v>
      </c>
      <c r="AF123" s="67">
        <f>Integrated[[#This Row],[Flu Deaths 5 to 14 years]]/Integrated[[#This Row],[Population 5 to 14 years]]</f>
        <v>3.8330575661362138E-4</v>
      </c>
      <c r="AG123" s="67">
        <f>Integrated[[#This Row],[Flu Deaths 15 to 24 years]]/Integrated[[#This Row],[Population 15 to 24 years]]</f>
        <v>3.518401238477236E-4</v>
      </c>
      <c r="AH123" s="67">
        <f>Integrated[[#This Row],[Flu Deaths 25 to 34 years]]/Integrated[[#This Row],[Population 25 to 34 years]]</f>
        <v>4.1142669062084285E-4</v>
      </c>
      <c r="AI123" s="67">
        <f>Integrated[[#This Row],[Flu Deaths 35 to 44 years]]/Integrated[[#This Row],[Population 35 to 44 years]]</f>
        <v>3.3812722600423786E-4</v>
      </c>
      <c r="AJ123" s="67">
        <f>Integrated[[#This Row],[Flu Deaths 45 to 54 years]]/Integrated[[#This Row],[Population 45 to 54 years]]</f>
        <v>2.7544541819500616E-4</v>
      </c>
      <c r="AK123" s="67">
        <f>Integrated[[#This Row],[Flu Deaths 55 to 64 years]]/Integrated[[#This Row],[Population 55 to 64 years]]</f>
        <v>3.2367871650599612E-4</v>
      </c>
      <c r="AL123" s="67">
        <f>Integrated[[#This Row],[Flu Deaths 65 to 74 years]]/Integrated[[#This Row],[Population 65 to 74 years]]</f>
        <v>5.4990880678954077E-4</v>
      </c>
      <c r="AM123" s="67">
        <f>Integrated[[#This Row],[Flu Deaths 75 to 84 years]]/Integrated[[#This Row],[Population 75 to 84 years]]</f>
        <v>1.0980913438615248E-3</v>
      </c>
      <c r="AN123" s="67">
        <f>Integrated[[#This Row],[Flu Deaths 85+ years]]/Integrated[[#This Row],[Population 85+ years]]</f>
        <v>5.2134963468810809E-3</v>
      </c>
      <c r="AO123" s="68">
        <f>Integrated[[#This Row],[Total Flu Deaths]]/Integrated[[#This Row],[Total population]]</f>
        <v>6.1565695413882536E-4</v>
      </c>
    </row>
    <row r="124" spans="1:41" x14ac:dyDescent="0.3">
      <c r="A124" s="44" t="s">
        <v>140</v>
      </c>
      <c r="B124" t="s">
        <v>137</v>
      </c>
      <c r="C124" s="45">
        <v>2017</v>
      </c>
      <c r="D124" s="51">
        <v>1242505</v>
      </c>
      <c r="E124" s="2">
        <v>608408</v>
      </c>
      <c r="F124" s="2">
        <v>634097</v>
      </c>
      <c r="G124" s="78">
        <f>Integrated[[#This Row],[Female Total population]]/Integrated[[#This Row],[Total population]]</f>
        <v>0.51033758415459096</v>
      </c>
      <c r="H124" s="2">
        <v>61320</v>
      </c>
      <c r="I124" s="2">
        <v>136926</v>
      </c>
      <c r="J124" s="2">
        <v>151401</v>
      </c>
      <c r="K124" s="2">
        <v>145477</v>
      </c>
      <c r="L124" s="2">
        <v>144673</v>
      </c>
      <c r="M124" s="2">
        <v>181668</v>
      </c>
      <c r="N124" s="2">
        <v>191075</v>
      </c>
      <c r="O124" s="2">
        <v>133718</v>
      </c>
      <c r="P124" s="2">
        <v>67067</v>
      </c>
      <c r="Q124" s="52">
        <v>29189</v>
      </c>
      <c r="R124" s="127">
        <f>Integrated[[#This Row],[Population 85+ years]]/Integrated[[#This Row],[Total population]]</f>
        <v>2.3492058382058825E-2</v>
      </c>
      <c r="S124" s="58">
        <v>120</v>
      </c>
      <c r="T124" s="59">
        <v>60</v>
      </c>
      <c r="U124" s="59">
        <v>60</v>
      </c>
      <c r="V124" s="59">
        <v>60</v>
      </c>
      <c r="W124" s="59">
        <v>60</v>
      </c>
      <c r="X124" s="59">
        <v>60</v>
      </c>
      <c r="Y124" s="59">
        <v>60</v>
      </c>
      <c r="Z124" s="59">
        <v>60</v>
      </c>
      <c r="AA124" s="59">
        <v>67</v>
      </c>
      <c r="AB124" s="59">
        <v>143</v>
      </c>
      <c r="AC124" s="59">
        <f>VLOOKUP($A124,'[1]Flu Deaths Updated'!$A$2:$N$460,14,FALSE)</f>
        <v>60</v>
      </c>
      <c r="AD124" s="60">
        <f t="shared" si="1"/>
        <v>810</v>
      </c>
      <c r="AE124" s="66">
        <f>Integrated[[#This Row],[Flu Deaths &lt;5 years old]]/Integrated[[#This Row],[Population &lt;5 years]]</f>
        <v>1.9569471624266144E-3</v>
      </c>
      <c r="AF124" s="67">
        <f>Integrated[[#This Row],[Flu Deaths 5 to 14 years]]/Integrated[[#This Row],[Population 5 to 14 years]]</f>
        <v>4.3819289251128347E-4</v>
      </c>
      <c r="AG124" s="67">
        <f>Integrated[[#This Row],[Flu Deaths 15 to 24 years]]/Integrated[[#This Row],[Population 15 to 24 years]]</f>
        <v>3.9629857134365029E-4</v>
      </c>
      <c r="AH124" s="67">
        <f>Integrated[[#This Row],[Flu Deaths 25 to 34 years]]/Integrated[[#This Row],[Population 25 to 34 years]]</f>
        <v>4.1243633014153441E-4</v>
      </c>
      <c r="AI124" s="67">
        <f>Integrated[[#This Row],[Flu Deaths 35 to 44 years]]/Integrated[[#This Row],[Population 35 to 44 years]]</f>
        <v>4.1472838746690812E-4</v>
      </c>
      <c r="AJ124" s="67">
        <f>Integrated[[#This Row],[Flu Deaths 45 to 54 years]]/Integrated[[#This Row],[Population 45 to 54 years]]</f>
        <v>3.3027280533720854E-4</v>
      </c>
      <c r="AK124" s="67">
        <f>Integrated[[#This Row],[Flu Deaths 55 to 64 years]]/Integrated[[#This Row],[Population 55 to 64 years]]</f>
        <v>3.1401282219023941E-4</v>
      </c>
      <c r="AL124" s="67">
        <f>Integrated[[#This Row],[Flu Deaths 65 to 74 years]]/Integrated[[#This Row],[Population 65 to 74 years]]</f>
        <v>4.4870548467670771E-4</v>
      </c>
      <c r="AM124" s="67">
        <f>Integrated[[#This Row],[Flu Deaths 75 to 84 years]]/Integrated[[#This Row],[Population 75 to 84 years]]</f>
        <v>9.99000999000999E-4</v>
      </c>
      <c r="AN124" s="67">
        <f>Integrated[[#This Row],[Flu Deaths 85+ years]]/Integrated[[#This Row],[Population 85+ years]]</f>
        <v>4.8991058275377709E-3</v>
      </c>
      <c r="AO124" s="68">
        <f>Integrated[[#This Row],[Total Flu Deaths]]/Integrated[[#This Row],[Total population]]</f>
        <v>6.5190884543724168E-4</v>
      </c>
    </row>
    <row r="125" spans="1:41" x14ac:dyDescent="0.3">
      <c r="A125" s="44" t="s">
        <v>295</v>
      </c>
      <c r="B125" t="s">
        <v>270</v>
      </c>
      <c r="C125" s="45">
        <v>2012</v>
      </c>
      <c r="D125" s="51">
        <v>2746115</v>
      </c>
      <c r="E125" s="2">
        <v>1379707</v>
      </c>
      <c r="F125" s="2">
        <v>1366411</v>
      </c>
      <c r="G125" s="78">
        <f>Integrated[[#This Row],[Female Total population]]/Integrated[[#This Row],[Total population]]</f>
        <v>0.49757967164521516</v>
      </c>
      <c r="H125" s="2">
        <v>258866</v>
      </c>
      <c r="I125" s="2">
        <v>473256</v>
      </c>
      <c r="J125" s="2">
        <v>448597</v>
      </c>
      <c r="K125" s="2">
        <v>439398</v>
      </c>
      <c r="L125" s="2">
        <v>333564</v>
      </c>
      <c r="M125" s="2">
        <v>303186</v>
      </c>
      <c r="N125" s="2">
        <v>238525</v>
      </c>
      <c r="O125" s="2">
        <v>137283</v>
      </c>
      <c r="P125" s="2">
        <v>81501</v>
      </c>
      <c r="Q125" s="52">
        <v>30176</v>
      </c>
      <c r="R125" s="127">
        <f>Integrated[[#This Row],[Population 85+ years]]/Integrated[[#This Row],[Total population]]</f>
        <v>1.0988614824943602E-2</v>
      </c>
      <c r="S125" s="58">
        <v>120</v>
      </c>
      <c r="T125" s="59">
        <v>60</v>
      </c>
      <c r="U125" s="59">
        <v>60</v>
      </c>
      <c r="V125" s="59">
        <v>60</v>
      </c>
      <c r="W125" s="59">
        <v>60</v>
      </c>
      <c r="X125" s="59">
        <v>60</v>
      </c>
      <c r="Y125" s="59">
        <v>60</v>
      </c>
      <c r="Z125" s="59">
        <v>60</v>
      </c>
      <c r="AA125" s="59">
        <v>79</v>
      </c>
      <c r="AB125" s="59">
        <v>143</v>
      </c>
      <c r="AC125" s="59">
        <f>VLOOKUP($A125,'[1]Flu Deaths Updated'!$A$2:$N$460,14,FALSE)</f>
        <v>60</v>
      </c>
      <c r="AD125" s="60">
        <f t="shared" si="1"/>
        <v>822</v>
      </c>
      <c r="AE125" s="66">
        <f>Integrated[[#This Row],[Flu Deaths &lt;5 years old]]/Integrated[[#This Row],[Population &lt;5 years]]</f>
        <v>4.6356029760571108E-4</v>
      </c>
      <c r="AF125" s="67">
        <f>Integrated[[#This Row],[Flu Deaths 5 to 14 years]]/Integrated[[#This Row],[Population 5 to 14 years]]</f>
        <v>1.2678127694102135E-4</v>
      </c>
      <c r="AG125" s="67">
        <f>Integrated[[#This Row],[Flu Deaths 15 to 24 years]]/Integrated[[#This Row],[Population 15 to 24 years]]</f>
        <v>1.3375033716230827E-4</v>
      </c>
      <c r="AH125" s="67">
        <f>Integrated[[#This Row],[Flu Deaths 25 to 34 years]]/Integrated[[#This Row],[Population 25 to 34 years]]</f>
        <v>1.3655046222331462E-4</v>
      </c>
      <c r="AI125" s="67">
        <f>Integrated[[#This Row],[Flu Deaths 35 to 44 years]]/Integrated[[#This Row],[Population 35 to 44 years]]</f>
        <v>1.7987552613591394E-4</v>
      </c>
      <c r="AJ125" s="67">
        <f>Integrated[[#This Row],[Flu Deaths 45 to 54 years]]/Integrated[[#This Row],[Population 45 to 54 years]]</f>
        <v>1.9789831984326454E-4</v>
      </c>
      <c r="AK125" s="67">
        <f>Integrated[[#This Row],[Flu Deaths 55 to 64 years]]/Integrated[[#This Row],[Population 55 to 64 years]]</f>
        <v>2.5154595954302483E-4</v>
      </c>
      <c r="AL125" s="67">
        <f>Integrated[[#This Row],[Flu Deaths 65 to 74 years]]/Integrated[[#This Row],[Population 65 to 74 years]]</f>
        <v>4.3705338607110859E-4</v>
      </c>
      <c r="AM125" s="67">
        <f>Integrated[[#This Row],[Flu Deaths 75 to 84 years]]/Integrated[[#This Row],[Population 75 to 84 years]]</f>
        <v>9.6931325996000054E-4</v>
      </c>
      <c r="AN125" s="67">
        <f>Integrated[[#This Row],[Flu Deaths 85+ years]]/Integrated[[#This Row],[Population 85+ years]]</f>
        <v>4.7388653234358433E-3</v>
      </c>
      <c r="AO125" s="68">
        <f>Integrated[[#This Row],[Total Flu Deaths]]/Integrated[[#This Row],[Total population]]</f>
        <v>2.9933196534012593E-4</v>
      </c>
    </row>
    <row r="126" spans="1:41" x14ac:dyDescent="0.3">
      <c r="A126" s="44" t="s">
        <v>289</v>
      </c>
      <c r="B126" t="s">
        <v>270</v>
      </c>
      <c r="C126" s="45">
        <v>2014</v>
      </c>
      <c r="D126" s="51">
        <v>2773776</v>
      </c>
      <c r="E126" s="2">
        <v>1394045</v>
      </c>
      <c r="F126" s="2">
        <v>1379732</v>
      </c>
      <c r="G126" s="78">
        <f>Integrated[[#This Row],[Female Total population]]/Integrated[[#This Row],[Total population]]</f>
        <v>0.49742012332646907</v>
      </c>
      <c r="H126" s="2">
        <v>248949</v>
      </c>
      <c r="I126" s="2">
        <v>480348</v>
      </c>
      <c r="J126" s="2">
        <v>443729</v>
      </c>
      <c r="K126" s="2">
        <v>431017</v>
      </c>
      <c r="L126" s="2">
        <v>350676</v>
      </c>
      <c r="M126" s="2">
        <v>298645</v>
      </c>
      <c r="N126" s="2">
        <v>253208</v>
      </c>
      <c r="O126" s="2">
        <v>150843</v>
      </c>
      <c r="P126" s="2">
        <v>82694</v>
      </c>
      <c r="Q126" s="52">
        <v>31744</v>
      </c>
      <c r="R126" s="127">
        <f>Integrated[[#This Row],[Population 85+ years]]/Integrated[[#This Row],[Total population]]</f>
        <v>1.1444327155473262E-2</v>
      </c>
      <c r="S126" s="58">
        <v>120</v>
      </c>
      <c r="T126" s="59">
        <v>60</v>
      </c>
      <c r="U126" s="59">
        <v>60</v>
      </c>
      <c r="V126" s="59">
        <v>60</v>
      </c>
      <c r="W126" s="59">
        <v>60</v>
      </c>
      <c r="X126" s="59">
        <v>60</v>
      </c>
      <c r="Y126" s="59">
        <v>60</v>
      </c>
      <c r="Z126" s="59">
        <v>60</v>
      </c>
      <c r="AA126" s="59">
        <v>94</v>
      </c>
      <c r="AB126" s="59">
        <v>147</v>
      </c>
      <c r="AC126" s="59">
        <f>VLOOKUP($A126,'[1]Flu Deaths Updated'!$A$2:$N$460,14,FALSE)</f>
        <v>60</v>
      </c>
      <c r="AD126" s="60">
        <f t="shared" si="1"/>
        <v>841</v>
      </c>
      <c r="AE126" s="66">
        <f>Integrated[[#This Row],[Flu Deaths &lt;5 years old]]/Integrated[[#This Row],[Population &lt;5 years]]</f>
        <v>4.8202643915018739E-4</v>
      </c>
      <c r="AF126" s="67">
        <f>Integrated[[#This Row],[Flu Deaths 5 to 14 years]]/Integrated[[#This Row],[Population 5 to 14 years]]</f>
        <v>1.2490944065552474E-4</v>
      </c>
      <c r="AG126" s="67">
        <f>Integrated[[#This Row],[Flu Deaths 15 to 24 years]]/Integrated[[#This Row],[Population 15 to 24 years]]</f>
        <v>1.3521766663887193E-4</v>
      </c>
      <c r="AH126" s="67">
        <f>Integrated[[#This Row],[Flu Deaths 25 to 34 years]]/Integrated[[#This Row],[Population 25 to 34 years]]</f>
        <v>1.3920564618100911E-4</v>
      </c>
      <c r="AI126" s="67">
        <f>Integrated[[#This Row],[Flu Deaths 35 to 44 years]]/Integrated[[#This Row],[Population 35 to 44 years]]</f>
        <v>1.7109810765492933E-4</v>
      </c>
      <c r="AJ126" s="67">
        <f>Integrated[[#This Row],[Flu Deaths 45 to 54 years]]/Integrated[[#This Row],[Population 45 to 54 years]]</f>
        <v>2.0090743190075174E-4</v>
      </c>
      <c r="AK126" s="67">
        <f>Integrated[[#This Row],[Flu Deaths 55 to 64 years]]/Integrated[[#This Row],[Population 55 to 64 years]]</f>
        <v>2.3695933777763737E-4</v>
      </c>
      <c r="AL126" s="67">
        <f>Integrated[[#This Row],[Flu Deaths 65 to 74 years]]/Integrated[[#This Row],[Population 65 to 74 years]]</f>
        <v>3.9776456315506853E-4</v>
      </c>
      <c r="AM126" s="67">
        <f>Integrated[[#This Row],[Flu Deaths 75 to 84 years]]/Integrated[[#This Row],[Population 75 to 84 years]]</f>
        <v>1.1367209229206472E-3</v>
      </c>
      <c r="AN126" s="67">
        <f>Integrated[[#This Row],[Flu Deaths 85+ years]]/Integrated[[#This Row],[Population 85+ years]]</f>
        <v>4.6307963709677422E-3</v>
      </c>
      <c r="AO126" s="68">
        <f>Integrated[[#This Row],[Total Flu Deaths]]/Integrated[[#This Row],[Total population]]</f>
        <v>3.0319679743425566E-4</v>
      </c>
    </row>
    <row r="127" spans="1:41" x14ac:dyDescent="0.3">
      <c r="A127" s="44" t="s">
        <v>189</v>
      </c>
      <c r="B127" t="s">
        <v>168</v>
      </c>
      <c r="C127" s="45">
        <v>2010</v>
      </c>
      <c r="D127" s="51">
        <v>1736362</v>
      </c>
      <c r="E127" s="2">
        <v>859343</v>
      </c>
      <c r="F127" s="2">
        <v>877021</v>
      </c>
      <c r="G127" s="78">
        <f>Integrated[[#This Row],[Female Total population]]/Integrated[[#This Row],[Total population]]</f>
        <v>0.50509110427433912</v>
      </c>
      <c r="H127" s="2">
        <v>125450</v>
      </c>
      <c r="I127" s="2">
        <v>237539</v>
      </c>
      <c r="J127" s="2">
        <v>253147</v>
      </c>
      <c r="K127" s="2">
        <v>228414</v>
      </c>
      <c r="L127" s="2">
        <v>219258</v>
      </c>
      <c r="M127" s="2">
        <v>249249</v>
      </c>
      <c r="N127" s="2">
        <v>192095</v>
      </c>
      <c r="O127" s="2">
        <v>113857</v>
      </c>
      <c r="P127" s="2">
        <v>81910</v>
      </c>
      <c r="Q127" s="52">
        <v>35813</v>
      </c>
      <c r="R127" s="127">
        <f>Integrated[[#This Row],[Population 85+ years]]/Integrated[[#This Row],[Total population]]</f>
        <v>2.0625307395577649E-2</v>
      </c>
      <c r="S127" s="58">
        <v>120</v>
      </c>
      <c r="T127" s="59">
        <v>60</v>
      </c>
      <c r="U127" s="59">
        <v>60</v>
      </c>
      <c r="V127" s="59">
        <v>60</v>
      </c>
      <c r="W127" s="59">
        <v>60</v>
      </c>
      <c r="X127" s="59">
        <v>60</v>
      </c>
      <c r="Y127" s="59">
        <v>60</v>
      </c>
      <c r="Z127" s="59">
        <v>60</v>
      </c>
      <c r="AA127" s="59">
        <v>60</v>
      </c>
      <c r="AB127" s="59">
        <v>149</v>
      </c>
      <c r="AC127" s="59">
        <f>VLOOKUP($A127,'[1]Flu Deaths Updated'!$A$2:$N$460,14,FALSE)</f>
        <v>60</v>
      </c>
      <c r="AD127" s="60">
        <f t="shared" si="1"/>
        <v>809</v>
      </c>
      <c r="AE127" s="66">
        <f>Integrated[[#This Row],[Flu Deaths &lt;5 years old]]/Integrated[[#This Row],[Population &lt;5 years]]</f>
        <v>9.5655639697090472E-4</v>
      </c>
      <c r="AF127" s="67">
        <f>Integrated[[#This Row],[Flu Deaths 5 to 14 years]]/Integrated[[#This Row],[Population 5 to 14 years]]</f>
        <v>2.5259010099394207E-4</v>
      </c>
      <c r="AG127" s="67">
        <f>Integrated[[#This Row],[Flu Deaths 15 to 24 years]]/Integrated[[#This Row],[Population 15 to 24 years]]</f>
        <v>2.3701643708991219E-4</v>
      </c>
      <c r="AH127" s="67">
        <f>Integrated[[#This Row],[Flu Deaths 25 to 34 years]]/Integrated[[#This Row],[Population 25 to 34 years]]</f>
        <v>2.6268092148467258E-4</v>
      </c>
      <c r="AI127" s="67">
        <f>Integrated[[#This Row],[Flu Deaths 35 to 44 years]]/Integrated[[#This Row],[Population 35 to 44 years]]</f>
        <v>2.7365022028842732E-4</v>
      </c>
      <c r="AJ127" s="67">
        <f>Integrated[[#This Row],[Flu Deaths 45 to 54 years]]/Integrated[[#This Row],[Population 45 to 54 years]]</f>
        <v>2.4072313228939735E-4</v>
      </c>
      <c r="AK127" s="67">
        <f>Integrated[[#This Row],[Flu Deaths 55 to 64 years]]/Integrated[[#This Row],[Population 55 to 64 years]]</f>
        <v>3.1234545407220383E-4</v>
      </c>
      <c r="AL127" s="67">
        <f>Integrated[[#This Row],[Flu Deaths 65 to 74 years]]/Integrated[[#This Row],[Population 65 to 74 years]]</f>
        <v>5.2697682180278768E-4</v>
      </c>
      <c r="AM127" s="67">
        <f>Integrated[[#This Row],[Flu Deaths 75 to 84 years]]/Integrated[[#This Row],[Population 75 to 84 years]]</f>
        <v>7.3251129288243199E-4</v>
      </c>
      <c r="AN127" s="67">
        <f>Integrated[[#This Row],[Flu Deaths 85+ years]]/Integrated[[#This Row],[Population 85+ years]]</f>
        <v>4.1605003769580881E-3</v>
      </c>
      <c r="AO127" s="68">
        <f>Integrated[[#This Row],[Total Flu Deaths]]/Integrated[[#This Row],[Total population]]</f>
        <v>4.659166694502644E-4</v>
      </c>
    </row>
    <row r="128" spans="1:41" x14ac:dyDescent="0.3">
      <c r="A128" s="44" t="s">
        <v>117</v>
      </c>
      <c r="B128" t="s">
        <v>118</v>
      </c>
      <c r="C128" s="45">
        <v>2015</v>
      </c>
      <c r="D128" s="51">
        <v>1053712</v>
      </c>
      <c r="E128" s="2">
        <v>510067</v>
      </c>
      <c r="F128" s="2">
        <v>543646</v>
      </c>
      <c r="G128" s="78">
        <f>Integrated[[#This Row],[Female Total population]]/Integrated[[#This Row],[Total population]]</f>
        <v>0.51593414519337355</v>
      </c>
      <c r="H128" s="2">
        <v>55850</v>
      </c>
      <c r="I128" s="2">
        <v>121253</v>
      </c>
      <c r="J128" s="2">
        <v>156927</v>
      </c>
      <c r="K128" s="2">
        <v>135550</v>
      </c>
      <c r="L128" s="2">
        <v>128498</v>
      </c>
      <c r="M128" s="2">
        <v>154213</v>
      </c>
      <c r="N128" s="2">
        <v>139675</v>
      </c>
      <c r="O128" s="2">
        <v>85466</v>
      </c>
      <c r="P128" s="2">
        <v>48442</v>
      </c>
      <c r="Q128" s="52">
        <v>28299</v>
      </c>
      <c r="R128" s="127">
        <f>Integrated[[#This Row],[Population 85+ years]]/Integrated[[#This Row],[Total population]]</f>
        <v>2.6856484504304782E-2</v>
      </c>
      <c r="S128" s="58">
        <v>120</v>
      </c>
      <c r="T128" s="59">
        <v>60</v>
      </c>
      <c r="U128" s="59">
        <v>60</v>
      </c>
      <c r="V128" s="59">
        <v>60</v>
      </c>
      <c r="W128" s="59">
        <v>60</v>
      </c>
      <c r="X128" s="59">
        <v>60</v>
      </c>
      <c r="Y128" s="59">
        <v>60</v>
      </c>
      <c r="Z128" s="59">
        <v>60</v>
      </c>
      <c r="AA128" s="59">
        <v>60</v>
      </c>
      <c r="AB128" s="59">
        <v>150</v>
      </c>
      <c r="AC128" s="59">
        <f>VLOOKUP($A128,'[1]Flu Deaths Updated'!$A$2:$N$460,14,FALSE)</f>
        <v>60</v>
      </c>
      <c r="AD128" s="60">
        <f t="shared" si="1"/>
        <v>810</v>
      </c>
      <c r="AE128" s="66">
        <f>Integrated[[#This Row],[Flu Deaths &lt;5 years old]]/Integrated[[#This Row],[Population &lt;5 years]]</f>
        <v>2.1486123545210387E-3</v>
      </c>
      <c r="AF128" s="67">
        <f>Integrated[[#This Row],[Flu Deaths 5 to 14 years]]/Integrated[[#This Row],[Population 5 to 14 years]]</f>
        <v>4.9483311753111263E-4</v>
      </c>
      <c r="AG128" s="67">
        <f>Integrated[[#This Row],[Flu Deaths 15 to 24 years]]/Integrated[[#This Row],[Population 15 to 24 years]]</f>
        <v>3.823433825919058E-4</v>
      </c>
      <c r="AH128" s="67">
        <f>Integrated[[#This Row],[Flu Deaths 25 to 34 years]]/Integrated[[#This Row],[Population 25 to 34 years]]</f>
        <v>4.4264109184802655E-4</v>
      </c>
      <c r="AI128" s="67">
        <f>Integrated[[#This Row],[Flu Deaths 35 to 44 years]]/Integrated[[#This Row],[Population 35 to 44 years]]</f>
        <v>4.669333374838519E-4</v>
      </c>
      <c r="AJ128" s="67">
        <f>Integrated[[#This Row],[Flu Deaths 45 to 54 years]]/Integrated[[#This Row],[Population 45 to 54 years]]</f>
        <v>3.8907225720270018E-4</v>
      </c>
      <c r="AK128" s="67">
        <f>Integrated[[#This Row],[Flu Deaths 55 to 64 years]]/Integrated[[#This Row],[Population 55 to 64 years]]</f>
        <v>4.2956864148917132E-4</v>
      </c>
      <c r="AL128" s="67">
        <f>Integrated[[#This Row],[Flu Deaths 65 to 74 years]]/Integrated[[#This Row],[Population 65 to 74 years]]</f>
        <v>7.0203355720403434E-4</v>
      </c>
      <c r="AM128" s="67">
        <f>Integrated[[#This Row],[Flu Deaths 75 to 84 years]]/Integrated[[#This Row],[Population 75 to 84 years]]</f>
        <v>1.2385946079848066E-3</v>
      </c>
      <c r="AN128" s="67">
        <f>Integrated[[#This Row],[Flu Deaths 85+ years]]/Integrated[[#This Row],[Population 85+ years]]</f>
        <v>5.3005406551468251E-3</v>
      </c>
      <c r="AO128" s="68">
        <f>Integrated[[#This Row],[Total Flu Deaths]]/Integrated[[#This Row],[Total population]]</f>
        <v>7.6871099503469638E-4</v>
      </c>
    </row>
    <row r="129" spans="1:41" x14ac:dyDescent="0.3">
      <c r="A129" s="44" t="s">
        <v>240</v>
      </c>
      <c r="B129" t="s">
        <v>222</v>
      </c>
      <c r="C129" s="45">
        <v>2009</v>
      </c>
      <c r="D129" s="51">
        <v>2534911</v>
      </c>
      <c r="E129" s="2">
        <v>1289477</v>
      </c>
      <c r="F129" s="2">
        <v>1245434</v>
      </c>
      <c r="G129" s="78">
        <f>Integrated[[#This Row],[Female Total population]]/Integrated[[#This Row],[Total population]]</f>
        <v>0.49131271275401778</v>
      </c>
      <c r="H129" s="2">
        <v>195167</v>
      </c>
      <c r="I129" s="2">
        <v>355692</v>
      </c>
      <c r="J129" s="2">
        <v>327991</v>
      </c>
      <c r="K129" s="2">
        <v>376739</v>
      </c>
      <c r="L129" s="2">
        <v>370826</v>
      </c>
      <c r="M129" s="2">
        <v>346289</v>
      </c>
      <c r="N129" s="2">
        <v>278066</v>
      </c>
      <c r="O129" s="2">
        <v>164290</v>
      </c>
      <c r="P129" s="2">
        <v>94986</v>
      </c>
      <c r="Q129" s="52">
        <v>28304</v>
      </c>
      <c r="R129" s="127">
        <f>Integrated[[#This Row],[Population 85+ years]]/Integrated[[#This Row],[Total population]]</f>
        <v>1.1165678006052284E-2</v>
      </c>
      <c r="S129" s="58">
        <v>120</v>
      </c>
      <c r="T129" s="59">
        <v>60</v>
      </c>
      <c r="U129" s="59">
        <v>60</v>
      </c>
      <c r="V129" s="59">
        <v>60</v>
      </c>
      <c r="W129" s="59">
        <v>60</v>
      </c>
      <c r="X129" s="59">
        <v>60</v>
      </c>
      <c r="Y129" s="59">
        <v>65</v>
      </c>
      <c r="Z129" s="59">
        <v>80</v>
      </c>
      <c r="AA129" s="59">
        <v>126</v>
      </c>
      <c r="AB129" s="59">
        <v>150</v>
      </c>
      <c r="AC129" s="59">
        <f>VLOOKUP($A129,'[1]Flu Deaths Updated'!$A$2:$N$460,14,FALSE)</f>
        <v>60</v>
      </c>
      <c r="AD129" s="60">
        <f t="shared" si="1"/>
        <v>901</v>
      </c>
      <c r="AE129" s="66">
        <f>Integrated[[#This Row],[Flu Deaths &lt;5 years old]]/Integrated[[#This Row],[Population &lt;5 years]]</f>
        <v>6.1485804464894169E-4</v>
      </c>
      <c r="AF129" s="67">
        <f>Integrated[[#This Row],[Flu Deaths 5 to 14 years]]/Integrated[[#This Row],[Population 5 to 14 years]]</f>
        <v>1.6868526702877771E-4</v>
      </c>
      <c r="AG129" s="67">
        <f>Integrated[[#This Row],[Flu Deaths 15 to 24 years]]/Integrated[[#This Row],[Population 15 to 24 years]]</f>
        <v>1.8293184873975201E-4</v>
      </c>
      <c r="AH129" s="67">
        <f>Integrated[[#This Row],[Flu Deaths 25 to 34 years]]/Integrated[[#This Row],[Population 25 to 34 years]]</f>
        <v>1.592614515619567E-4</v>
      </c>
      <c r="AI129" s="67">
        <f>Integrated[[#This Row],[Flu Deaths 35 to 44 years]]/Integrated[[#This Row],[Population 35 to 44 years]]</f>
        <v>1.6180095246827353E-4</v>
      </c>
      <c r="AJ129" s="67">
        <f>Integrated[[#This Row],[Flu Deaths 45 to 54 years]]/Integrated[[#This Row],[Population 45 to 54 years]]</f>
        <v>1.732656827101063E-4</v>
      </c>
      <c r="AK129" s="67">
        <f>Integrated[[#This Row],[Flu Deaths 55 to 64 years]]/Integrated[[#This Row],[Population 55 to 64 years]]</f>
        <v>2.3375745326649068E-4</v>
      </c>
      <c r="AL129" s="67">
        <f>Integrated[[#This Row],[Flu Deaths 65 to 74 years]]/Integrated[[#This Row],[Population 65 to 74 years]]</f>
        <v>4.8694381885689938E-4</v>
      </c>
      <c r="AM129" s="67">
        <f>Integrated[[#This Row],[Flu Deaths 75 to 84 years]]/Integrated[[#This Row],[Population 75 to 84 years]]</f>
        <v>1.3265112753458404E-3</v>
      </c>
      <c r="AN129" s="67">
        <f>Integrated[[#This Row],[Flu Deaths 85+ years]]/Integrated[[#This Row],[Population 85+ years]]</f>
        <v>5.2996042962125496E-3</v>
      </c>
      <c r="AO129" s="68">
        <f>Integrated[[#This Row],[Total Flu Deaths]]/Integrated[[#This Row],[Total population]]</f>
        <v>3.5543654195354394E-4</v>
      </c>
    </row>
    <row r="130" spans="1:41" x14ac:dyDescent="0.3">
      <c r="A130" s="44" t="s">
        <v>278</v>
      </c>
      <c r="B130" t="s">
        <v>270</v>
      </c>
      <c r="C130" s="45">
        <v>2010</v>
      </c>
      <c r="D130" s="51">
        <v>2655575</v>
      </c>
      <c r="E130" s="2">
        <v>1333785</v>
      </c>
      <c r="F130" s="2">
        <v>1321790</v>
      </c>
      <c r="G130" s="78">
        <f>Integrated[[#This Row],[Female Total population]]/Integrated[[#This Row],[Total population]]</f>
        <v>0.49774154373346641</v>
      </c>
      <c r="H130" s="2">
        <v>254991</v>
      </c>
      <c r="I130" s="2">
        <v>450566</v>
      </c>
      <c r="J130" s="2">
        <v>447730</v>
      </c>
      <c r="K130" s="2">
        <v>424840</v>
      </c>
      <c r="L130" s="2">
        <v>319320</v>
      </c>
      <c r="M130" s="2">
        <v>300670</v>
      </c>
      <c r="N130" s="2">
        <v>222859</v>
      </c>
      <c r="O130" s="2">
        <v>127733</v>
      </c>
      <c r="P130" s="2">
        <v>79154</v>
      </c>
      <c r="Q130" s="52">
        <v>28550</v>
      </c>
      <c r="R130" s="127">
        <f>Integrated[[#This Row],[Population 85+ years]]/Integrated[[#This Row],[Total population]]</f>
        <v>1.0750967304632706E-2</v>
      </c>
      <c r="S130" s="58">
        <v>120</v>
      </c>
      <c r="T130" s="59">
        <v>60</v>
      </c>
      <c r="U130" s="59">
        <v>60</v>
      </c>
      <c r="V130" s="59">
        <v>60</v>
      </c>
      <c r="W130" s="59">
        <v>60</v>
      </c>
      <c r="X130" s="59">
        <v>60</v>
      </c>
      <c r="Y130" s="59">
        <v>60</v>
      </c>
      <c r="Z130" s="59">
        <v>60</v>
      </c>
      <c r="AA130" s="59">
        <v>81</v>
      </c>
      <c r="AB130" s="59">
        <v>152</v>
      </c>
      <c r="AC130" s="59">
        <f>VLOOKUP($A130,'[1]Flu Deaths Updated'!$A$2:$N$460,14,FALSE)</f>
        <v>60</v>
      </c>
      <c r="AD130" s="60">
        <f t="shared" ref="AD130:AD193" si="2">SUM(S130:AC130)</f>
        <v>833</v>
      </c>
      <c r="AE130" s="66">
        <f>Integrated[[#This Row],[Flu Deaths &lt;5 years old]]/Integrated[[#This Row],[Population &lt;5 years]]</f>
        <v>4.70604844876878E-4</v>
      </c>
      <c r="AF130" s="67">
        <f>Integrated[[#This Row],[Flu Deaths 5 to 14 years]]/Integrated[[#This Row],[Population 5 to 14 years]]</f>
        <v>1.3316584029864659E-4</v>
      </c>
      <c r="AG130" s="67">
        <f>Integrated[[#This Row],[Flu Deaths 15 to 24 years]]/Integrated[[#This Row],[Population 15 to 24 years]]</f>
        <v>1.3400933598374019E-4</v>
      </c>
      <c r="AH130" s="67">
        <f>Integrated[[#This Row],[Flu Deaths 25 to 34 years]]/Integrated[[#This Row],[Population 25 to 34 years]]</f>
        <v>1.4122963939365408E-4</v>
      </c>
      <c r="AI130" s="67">
        <f>Integrated[[#This Row],[Flu Deaths 35 to 44 years]]/Integrated[[#This Row],[Population 35 to 44 years]]</f>
        <v>1.8789928598271326E-4</v>
      </c>
      <c r="AJ130" s="67">
        <f>Integrated[[#This Row],[Flu Deaths 45 to 54 years]]/Integrated[[#This Row],[Population 45 to 54 years]]</f>
        <v>1.9955432866597931E-4</v>
      </c>
      <c r="AK130" s="67">
        <f>Integrated[[#This Row],[Flu Deaths 55 to 64 years]]/Integrated[[#This Row],[Population 55 to 64 years]]</f>
        <v>2.6922852565972207E-4</v>
      </c>
      <c r="AL130" s="67">
        <f>Integrated[[#This Row],[Flu Deaths 65 to 74 years]]/Integrated[[#This Row],[Population 65 to 74 years]]</f>
        <v>4.6972982706113535E-4</v>
      </c>
      <c r="AM130" s="67">
        <f>Integrated[[#This Row],[Flu Deaths 75 to 84 years]]/Integrated[[#This Row],[Population 75 to 84 years]]</f>
        <v>1.0233216261970337E-3</v>
      </c>
      <c r="AN130" s="67">
        <f>Integrated[[#This Row],[Flu Deaths 85+ years]]/Integrated[[#This Row],[Population 85+ years]]</f>
        <v>5.3239929947460594E-3</v>
      </c>
      <c r="AO130" s="68">
        <f>Integrated[[#This Row],[Total Flu Deaths]]/Integrated[[#This Row],[Total population]]</f>
        <v>3.1367971155022925E-4</v>
      </c>
    </row>
    <row r="131" spans="1:41" x14ac:dyDescent="0.3">
      <c r="A131" s="44" t="s">
        <v>201</v>
      </c>
      <c r="B131" t="s">
        <v>202</v>
      </c>
      <c r="C131" s="45">
        <v>2011</v>
      </c>
      <c r="D131" s="51">
        <v>2004994</v>
      </c>
      <c r="E131" s="2">
        <v>989097</v>
      </c>
      <c r="F131" s="2">
        <v>1015899</v>
      </c>
      <c r="G131" s="78">
        <f>Integrated[[#This Row],[Female Total population]]/Integrated[[#This Row],[Total population]]</f>
        <v>0.50668430927972852</v>
      </c>
      <c r="H131" s="2">
        <v>142355</v>
      </c>
      <c r="I131" s="2">
        <v>277948</v>
      </c>
      <c r="J131" s="2">
        <v>289553</v>
      </c>
      <c r="K131" s="2">
        <v>258014</v>
      </c>
      <c r="L131" s="2">
        <v>247521</v>
      </c>
      <c r="M131" s="2">
        <v>284892</v>
      </c>
      <c r="N131" s="2">
        <v>244418</v>
      </c>
      <c r="O131" s="2">
        <v>145997</v>
      </c>
      <c r="P131" s="2">
        <v>82321</v>
      </c>
      <c r="Q131" s="52">
        <v>30638</v>
      </c>
      <c r="R131" s="127">
        <f>Integrated[[#This Row],[Population 85+ years]]/Integrated[[#This Row],[Total population]]</f>
        <v>1.5280843733198204E-2</v>
      </c>
      <c r="S131" s="58">
        <v>120</v>
      </c>
      <c r="T131" s="59">
        <v>60</v>
      </c>
      <c r="U131" s="59">
        <v>60</v>
      </c>
      <c r="V131" s="59">
        <v>60</v>
      </c>
      <c r="W131" s="59">
        <v>60</v>
      </c>
      <c r="X131" s="59">
        <v>60</v>
      </c>
      <c r="Y131" s="59">
        <v>60</v>
      </c>
      <c r="Z131" s="59">
        <v>60</v>
      </c>
      <c r="AA131" s="59">
        <v>74</v>
      </c>
      <c r="AB131" s="59">
        <v>153</v>
      </c>
      <c r="AC131" s="59">
        <f>VLOOKUP($A131,'[1]Flu Deaths Updated'!$A$2:$N$460,14,FALSE)</f>
        <v>60</v>
      </c>
      <c r="AD131" s="60">
        <f t="shared" si="2"/>
        <v>827</v>
      </c>
      <c r="AE131" s="66">
        <f>Integrated[[#This Row],[Flu Deaths &lt;5 years old]]/Integrated[[#This Row],[Population &lt;5 years]]</f>
        <v>8.42963014997717E-4</v>
      </c>
      <c r="AF131" s="67">
        <f>Integrated[[#This Row],[Flu Deaths 5 to 14 years]]/Integrated[[#This Row],[Population 5 to 14 years]]</f>
        <v>2.1586771626347376E-4</v>
      </c>
      <c r="AG131" s="67">
        <f>Integrated[[#This Row],[Flu Deaths 15 to 24 years]]/Integrated[[#This Row],[Population 15 to 24 years]]</f>
        <v>2.0721595010239922E-4</v>
      </c>
      <c r="AH131" s="67">
        <f>Integrated[[#This Row],[Flu Deaths 25 to 34 years]]/Integrated[[#This Row],[Population 25 to 34 years]]</f>
        <v>2.325455207856938E-4</v>
      </c>
      <c r="AI131" s="67">
        <f>Integrated[[#This Row],[Flu Deaths 35 to 44 years]]/Integrated[[#This Row],[Population 35 to 44 years]]</f>
        <v>2.4240367483971056E-4</v>
      </c>
      <c r="AJ131" s="67">
        <f>Integrated[[#This Row],[Flu Deaths 45 to 54 years]]/Integrated[[#This Row],[Population 45 to 54 years]]</f>
        <v>2.1060612442609831E-4</v>
      </c>
      <c r="AK131" s="67">
        <f>Integrated[[#This Row],[Flu Deaths 55 to 64 years]]/Integrated[[#This Row],[Population 55 to 64 years]]</f>
        <v>2.4548110204649412E-4</v>
      </c>
      <c r="AL131" s="67">
        <f>Integrated[[#This Row],[Flu Deaths 65 to 74 years]]/Integrated[[#This Row],[Population 65 to 74 years]]</f>
        <v>4.1096734864415021E-4</v>
      </c>
      <c r="AM131" s="67">
        <f>Integrated[[#This Row],[Flu Deaths 75 to 84 years]]/Integrated[[#This Row],[Population 75 to 84 years]]</f>
        <v>8.9892008114575872E-4</v>
      </c>
      <c r="AN131" s="67">
        <f>Integrated[[#This Row],[Flu Deaths 85+ years]]/Integrated[[#This Row],[Population 85+ years]]</f>
        <v>4.9937985508192442E-3</v>
      </c>
      <c r="AO131" s="68">
        <f>Integrated[[#This Row],[Total Flu Deaths]]/Integrated[[#This Row],[Total population]]</f>
        <v>4.1247006225455038E-4</v>
      </c>
    </row>
    <row r="132" spans="1:41" x14ac:dyDescent="0.3">
      <c r="A132" s="44" t="s">
        <v>239</v>
      </c>
      <c r="B132" t="s">
        <v>222</v>
      </c>
      <c r="C132" s="45">
        <v>2017</v>
      </c>
      <c r="D132" s="51">
        <v>2818364</v>
      </c>
      <c r="E132" s="2">
        <v>1411573</v>
      </c>
      <c r="F132" s="2">
        <v>1406792</v>
      </c>
      <c r="G132" s="78">
        <f>Integrated[[#This Row],[Female Total population]]/Integrated[[#This Row],[Total population]]</f>
        <v>0.49915199030359458</v>
      </c>
      <c r="H132" s="2">
        <v>177090</v>
      </c>
      <c r="I132" s="2">
        <v>367732</v>
      </c>
      <c r="J132" s="2">
        <v>353589</v>
      </c>
      <c r="K132" s="2">
        <v>409069</v>
      </c>
      <c r="L132" s="2">
        <v>379291</v>
      </c>
      <c r="M132" s="2">
        <v>378232</v>
      </c>
      <c r="N132" s="2">
        <v>343490</v>
      </c>
      <c r="O132" s="2">
        <v>256089</v>
      </c>
      <c r="P132" s="2">
        <v>115485</v>
      </c>
      <c r="Q132" s="52">
        <v>38309</v>
      </c>
      <c r="R132" s="127">
        <f>Integrated[[#This Row],[Population 85+ years]]/Integrated[[#This Row],[Total population]]</f>
        <v>1.3592637430793184E-2</v>
      </c>
      <c r="S132" s="58">
        <v>120</v>
      </c>
      <c r="T132" s="59">
        <v>60</v>
      </c>
      <c r="U132" s="59">
        <v>60</v>
      </c>
      <c r="V132" s="59">
        <v>60</v>
      </c>
      <c r="W132" s="59">
        <v>60</v>
      </c>
      <c r="X132" s="59">
        <v>60</v>
      </c>
      <c r="Y132" s="59">
        <v>89</v>
      </c>
      <c r="Z132" s="59">
        <v>159</v>
      </c>
      <c r="AA132" s="59">
        <v>135</v>
      </c>
      <c r="AB132" s="59">
        <v>154</v>
      </c>
      <c r="AC132" s="59">
        <f>VLOOKUP($A132,'[1]Flu Deaths Updated'!$A$2:$N$460,14,FALSE)</f>
        <v>60</v>
      </c>
      <c r="AD132" s="60">
        <f t="shared" si="2"/>
        <v>1017</v>
      </c>
      <c r="AE132" s="66">
        <f>Integrated[[#This Row],[Flu Deaths &lt;5 years old]]/Integrated[[#This Row],[Population &lt;5 years]]</f>
        <v>6.7762154836523798E-4</v>
      </c>
      <c r="AF132" s="67">
        <f>Integrated[[#This Row],[Flu Deaths 5 to 14 years]]/Integrated[[#This Row],[Population 5 to 14 years]]</f>
        <v>1.6316230298151914E-4</v>
      </c>
      <c r="AG132" s="67">
        <f>Integrated[[#This Row],[Flu Deaths 15 to 24 years]]/Integrated[[#This Row],[Population 15 to 24 years]]</f>
        <v>1.6968853669090386E-4</v>
      </c>
      <c r="AH132" s="67">
        <f>Integrated[[#This Row],[Flu Deaths 25 to 34 years]]/Integrated[[#This Row],[Population 25 to 34 years]]</f>
        <v>1.4667452190217299E-4</v>
      </c>
      <c r="AI132" s="67">
        <f>Integrated[[#This Row],[Flu Deaths 35 to 44 years]]/Integrated[[#This Row],[Population 35 to 44 years]]</f>
        <v>1.5818988586599735E-4</v>
      </c>
      <c r="AJ132" s="67">
        <f>Integrated[[#This Row],[Flu Deaths 45 to 54 years]]/Integrated[[#This Row],[Population 45 to 54 years]]</f>
        <v>1.5863279680196281E-4</v>
      </c>
      <c r="AK132" s="67">
        <f>Integrated[[#This Row],[Flu Deaths 55 to 64 years]]/Integrated[[#This Row],[Population 55 to 64 years]]</f>
        <v>2.5910506856094791E-4</v>
      </c>
      <c r="AL132" s="67">
        <f>Integrated[[#This Row],[Flu Deaths 65 to 74 years]]/Integrated[[#This Row],[Population 65 to 74 years]]</f>
        <v>6.2087789791830182E-4</v>
      </c>
      <c r="AM132" s="67">
        <f>Integrated[[#This Row],[Flu Deaths 75 to 84 years]]/Integrated[[#This Row],[Population 75 to 84 years]]</f>
        <v>1.1689829848032212E-3</v>
      </c>
      <c r="AN132" s="67">
        <f>Integrated[[#This Row],[Flu Deaths 85+ years]]/Integrated[[#This Row],[Population 85+ years]]</f>
        <v>4.0199430943120415E-3</v>
      </c>
      <c r="AO132" s="68">
        <f>Integrated[[#This Row],[Total Flu Deaths]]/Integrated[[#This Row],[Total population]]</f>
        <v>3.6084764068800197E-4</v>
      </c>
    </row>
    <row r="133" spans="1:41" x14ac:dyDescent="0.3">
      <c r="A133" s="44" t="s">
        <v>138</v>
      </c>
      <c r="B133" t="s">
        <v>139</v>
      </c>
      <c r="C133" s="45">
        <v>2015</v>
      </c>
      <c r="D133" s="51">
        <v>1244818</v>
      </c>
      <c r="E133" s="2">
        <v>613546</v>
      </c>
      <c r="F133" s="2">
        <v>631272</v>
      </c>
      <c r="G133" s="78">
        <f>Integrated[[#This Row],[Female Total population]]/Integrated[[#This Row],[Total population]]</f>
        <v>0.50711991632511744</v>
      </c>
      <c r="H133" s="2">
        <v>62590</v>
      </c>
      <c r="I133" s="2">
        <v>146666</v>
      </c>
      <c r="J133" s="2">
        <v>171248</v>
      </c>
      <c r="K133" s="2">
        <v>144140</v>
      </c>
      <c r="L133" s="2">
        <v>154154</v>
      </c>
      <c r="M133" s="2">
        <v>201836</v>
      </c>
      <c r="N133" s="2">
        <v>180094</v>
      </c>
      <c r="O133" s="2">
        <v>105762</v>
      </c>
      <c r="P133" s="2">
        <v>54459</v>
      </c>
      <c r="Q133" s="52">
        <v>23995</v>
      </c>
      <c r="R133" s="127">
        <f>Integrated[[#This Row],[Population 85+ years]]/Integrated[[#This Row],[Total population]]</f>
        <v>1.9275910213380591E-2</v>
      </c>
      <c r="S133" s="58">
        <v>120</v>
      </c>
      <c r="T133" s="59">
        <v>60</v>
      </c>
      <c r="U133" s="59">
        <v>60</v>
      </c>
      <c r="V133" s="59">
        <v>60</v>
      </c>
      <c r="W133" s="59">
        <v>60</v>
      </c>
      <c r="X133" s="59">
        <v>60</v>
      </c>
      <c r="Y133" s="59">
        <v>60</v>
      </c>
      <c r="Z133" s="59">
        <v>60</v>
      </c>
      <c r="AA133" s="59">
        <v>60</v>
      </c>
      <c r="AB133" s="59">
        <v>155</v>
      </c>
      <c r="AC133" s="59">
        <f>VLOOKUP($A133,'[1]Flu Deaths Updated'!$A$2:$N$460,14,FALSE)</f>
        <v>60</v>
      </c>
      <c r="AD133" s="60">
        <f t="shared" si="2"/>
        <v>815</v>
      </c>
      <c r="AE133" s="66">
        <f>Integrated[[#This Row],[Flu Deaths &lt;5 years old]]/Integrated[[#This Row],[Population &lt;5 years]]</f>
        <v>1.9172391755871545E-3</v>
      </c>
      <c r="AF133" s="67">
        <f>Integrated[[#This Row],[Flu Deaths 5 to 14 years]]/Integrated[[#This Row],[Population 5 to 14 years]]</f>
        <v>4.0909276860349363E-4</v>
      </c>
      <c r="AG133" s="67">
        <f>Integrated[[#This Row],[Flu Deaths 15 to 24 years]]/Integrated[[#This Row],[Population 15 to 24 years]]</f>
        <v>3.503690554050266E-4</v>
      </c>
      <c r="AH133" s="67">
        <f>Integrated[[#This Row],[Flu Deaths 25 to 34 years]]/Integrated[[#This Row],[Population 25 to 34 years]]</f>
        <v>4.1626196753156655E-4</v>
      </c>
      <c r="AI133" s="67">
        <f>Integrated[[#This Row],[Flu Deaths 35 to 44 years]]/Integrated[[#This Row],[Population 35 to 44 years]]</f>
        <v>3.8922116844194765E-4</v>
      </c>
      <c r="AJ133" s="67">
        <f>Integrated[[#This Row],[Flu Deaths 45 to 54 years]]/Integrated[[#This Row],[Population 45 to 54 years]]</f>
        <v>2.9727105174498107E-4</v>
      </c>
      <c r="AK133" s="67">
        <f>Integrated[[#This Row],[Flu Deaths 55 to 64 years]]/Integrated[[#This Row],[Population 55 to 64 years]]</f>
        <v>3.3315935011716104E-4</v>
      </c>
      <c r="AL133" s="67">
        <f>Integrated[[#This Row],[Flu Deaths 65 to 74 years]]/Integrated[[#This Row],[Population 65 to 74 years]]</f>
        <v>5.673115107505531E-4</v>
      </c>
      <c r="AM133" s="67">
        <f>Integrated[[#This Row],[Flu Deaths 75 to 84 years]]/Integrated[[#This Row],[Population 75 to 84 years]]</f>
        <v>1.1017462678345176E-3</v>
      </c>
      <c r="AN133" s="67">
        <f>Integrated[[#This Row],[Flu Deaths 85+ years]]/Integrated[[#This Row],[Population 85+ years]]</f>
        <v>6.4596790998124607E-3</v>
      </c>
      <c r="AO133" s="68">
        <f>Integrated[[#This Row],[Total Flu Deaths]]/Integrated[[#This Row],[Total population]]</f>
        <v>6.5471418311753202E-4</v>
      </c>
    </row>
    <row r="134" spans="1:41" x14ac:dyDescent="0.3">
      <c r="A134" s="44" t="s">
        <v>274</v>
      </c>
      <c r="B134" t="s">
        <v>270</v>
      </c>
      <c r="C134" s="45">
        <v>2011</v>
      </c>
      <c r="D134" s="51">
        <v>2635122</v>
      </c>
      <c r="E134" s="2">
        <v>1323745</v>
      </c>
      <c r="F134" s="2">
        <v>1311379</v>
      </c>
      <c r="G134" s="78">
        <f>Integrated[[#This Row],[Female Total population]]/Integrated[[#This Row],[Total population]]</f>
        <v>0.49765399856249543</v>
      </c>
      <c r="H134" s="2">
        <v>250039</v>
      </c>
      <c r="I134" s="2">
        <v>447988</v>
      </c>
      <c r="J134" s="2">
        <v>439404</v>
      </c>
      <c r="K134" s="2">
        <v>423346</v>
      </c>
      <c r="L134" s="2">
        <v>317667</v>
      </c>
      <c r="M134" s="2">
        <v>295056</v>
      </c>
      <c r="N134" s="2">
        <v>225639</v>
      </c>
      <c r="O134" s="2">
        <v>130656</v>
      </c>
      <c r="P134" s="2">
        <v>78291</v>
      </c>
      <c r="Q134" s="52">
        <v>29333</v>
      </c>
      <c r="R134" s="127">
        <f>Integrated[[#This Row],[Population 85+ years]]/Integrated[[#This Row],[Total population]]</f>
        <v>1.1131552922407388E-2</v>
      </c>
      <c r="S134" s="58">
        <v>120</v>
      </c>
      <c r="T134" s="59">
        <v>60</v>
      </c>
      <c r="U134" s="59">
        <v>60</v>
      </c>
      <c r="V134" s="59">
        <v>60</v>
      </c>
      <c r="W134" s="59">
        <v>60</v>
      </c>
      <c r="X134" s="59">
        <v>60</v>
      </c>
      <c r="Y134" s="59">
        <v>60</v>
      </c>
      <c r="Z134" s="59">
        <v>60</v>
      </c>
      <c r="AA134" s="59">
        <v>81</v>
      </c>
      <c r="AB134" s="59">
        <v>155</v>
      </c>
      <c r="AC134" s="59">
        <f>VLOOKUP($A134,'[1]Flu Deaths Updated'!$A$2:$N$460,14,FALSE)</f>
        <v>60</v>
      </c>
      <c r="AD134" s="60">
        <f t="shared" si="2"/>
        <v>836</v>
      </c>
      <c r="AE134" s="66">
        <f>Integrated[[#This Row],[Flu Deaths &lt;5 years old]]/Integrated[[#This Row],[Population &lt;5 years]]</f>
        <v>4.79925131679458E-4</v>
      </c>
      <c r="AF134" s="67">
        <f>Integrated[[#This Row],[Flu Deaths 5 to 14 years]]/Integrated[[#This Row],[Population 5 to 14 years]]</f>
        <v>1.3393215889711331E-4</v>
      </c>
      <c r="AG134" s="67">
        <f>Integrated[[#This Row],[Flu Deaths 15 to 24 years]]/Integrated[[#This Row],[Population 15 to 24 years]]</f>
        <v>1.3654859764590218E-4</v>
      </c>
      <c r="AH134" s="67">
        <f>Integrated[[#This Row],[Flu Deaths 25 to 34 years]]/Integrated[[#This Row],[Population 25 to 34 years]]</f>
        <v>1.4172804278297184E-4</v>
      </c>
      <c r="AI134" s="67">
        <f>Integrated[[#This Row],[Flu Deaths 35 to 44 years]]/Integrated[[#This Row],[Population 35 to 44 years]]</f>
        <v>1.8887703160857123E-4</v>
      </c>
      <c r="AJ134" s="67">
        <f>Integrated[[#This Row],[Flu Deaths 45 to 54 years]]/Integrated[[#This Row],[Population 45 to 54 years]]</f>
        <v>2.0335122824141857E-4</v>
      </c>
      <c r="AK134" s="67">
        <f>Integrated[[#This Row],[Flu Deaths 55 to 64 years]]/Integrated[[#This Row],[Population 55 to 64 years]]</f>
        <v>2.6591147806895082E-4</v>
      </c>
      <c r="AL134" s="67">
        <f>Integrated[[#This Row],[Flu Deaths 65 to 74 years]]/Integrated[[#This Row],[Population 65 to 74 years]]</f>
        <v>4.5922116091109478E-4</v>
      </c>
      <c r="AM134" s="67">
        <f>Integrated[[#This Row],[Flu Deaths 75 to 84 years]]/Integrated[[#This Row],[Population 75 to 84 years]]</f>
        <v>1.0346016783538338E-3</v>
      </c>
      <c r="AN134" s="67">
        <f>Integrated[[#This Row],[Flu Deaths 85+ years]]/Integrated[[#This Row],[Population 85+ years]]</f>
        <v>5.284150956260867E-3</v>
      </c>
      <c r="AO134" s="68">
        <f>Integrated[[#This Row],[Total Flu Deaths]]/Integrated[[#This Row],[Total population]]</f>
        <v>3.1725286343478593E-4</v>
      </c>
    </row>
    <row r="135" spans="1:41" x14ac:dyDescent="0.3">
      <c r="A135" s="44" t="s">
        <v>187</v>
      </c>
      <c r="B135" t="s">
        <v>168</v>
      </c>
      <c r="C135" s="45">
        <v>2012</v>
      </c>
      <c r="D135" s="51">
        <v>1704944</v>
      </c>
      <c r="E135" s="2">
        <v>847424</v>
      </c>
      <c r="F135" s="2">
        <v>857523</v>
      </c>
      <c r="G135" s="78">
        <f>Integrated[[#This Row],[Female Total population]]/Integrated[[#This Row],[Total population]]</f>
        <v>0.50296256064715317</v>
      </c>
      <c r="H135" s="2">
        <v>122482</v>
      </c>
      <c r="I135" s="2">
        <v>234231</v>
      </c>
      <c r="J135" s="2">
        <v>245838</v>
      </c>
      <c r="K135" s="2">
        <v>232428</v>
      </c>
      <c r="L135" s="2">
        <v>210040</v>
      </c>
      <c r="M135" s="2">
        <v>237489</v>
      </c>
      <c r="N135" s="2">
        <v>198151</v>
      </c>
      <c r="O135" s="2">
        <v>114331</v>
      </c>
      <c r="P135" s="2">
        <v>76387</v>
      </c>
      <c r="Q135" s="52">
        <v>34215</v>
      </c>
      <c r="R135" s="127">
        <f>Integrated[[#This Row],[Population 85+ years]]/Integrated[[#This Row],[Total population]]</f>
        <v>2.0068107808819527E-2</v>
      </c>
      <c r="S135" s="58">
        <v>120</v>
      </c>
      <c r="T135" s="59">
        <v>60</v>
      </c>
      <c r="U135" s="59">
        <v>60</v>
      </c>
      <c r="V135" s="59">
        <v>60</v>
      </c>
      <c r="W135" s="59">
        <v>60</v>
      </c>
      <c r="X135" s="59">
        <v>60</v>
      </c>
      <c r="Y135" s="59">
        <v>60</v>
      </c>
      <c r="Z135" s="59">
        <v>60</v>
      </c>
      <c r="AA135" s="59">
        <v>71</v>
      </c>
      <c r="AB135" s="59">
        <v>157</v>
      </c>
      <c r="AC135" s="59">
        <f>VLOOKUP($A135,'[1]Flu Deaths Updated'!$A$2:$N$460,14,FALSE)</f>
        <v>60</v>
      </c>
      <c r="AD135" s="60">
        <f t="shared" si="2"/>
        <v>828</v>
      </c>
      <c r="AE135" s="66">
        <f>Integrated[[#This Row],[Flu Deaths &lt;5 years old]]/Integrated[[#This Row],[Population &lt;5 years]]</f>
        <v>9.7973579791316265E-4</v>
      </c>
      <c r="AF135" s="67">
        <f>Integrated[[#This Row],[Flu Deaths 5 to 14 years]]/Integrated[[#This Row],[Population 5 to 14 years]]</f>
        <v>2.5615738309617427E-4</v>
      </c>
      <c r="AG135" s="67">
        <f>Integrated[[#This Row],[Flu Deaths 15 to 24 years]]/Integrated[[#This Row],[Population 15 to 24 years]]</f>
        <v>2.440631635467259E-4</v>
      </c>
      <c r="AH135" s="67">
        <f>Integrated[[#This Row],[Flu Deaths 25 to 34 years]]/Integrated[[#This Row],[Population 25 to 34 years]]</f>
        <v>2.5814445763849451E-4</v>
      </c>
      <c r="AI135" s="67">
        <f>Integrated[[#This Row],[Flu Deaths 35 to 44 years]]/Integrated[[#This Row],[Population 35 to 44 years]]</f>
        <v>2.8565987430965528E-4</v>
      </c>
      <c r="AJ135" s="67">
        <f>Integrated[[#This Row],[Flu Deaths 45 to 54 years]]/Integrated[[#This Row],[Population 45 to 54 years]]</f>
        <v>2.5264328032035166E-4</v>
      </c>
      <c r="AK135" s="67">
        <f>Integrated[[#This Row],[Flu Deaths 55 to 64 years]]/Integrated[[#This Row],[Population 55 to 64 years]]</f>
        <v>3.0279938027060171E-4</v>
      </c>
      <c r="AL135" s="67">
        <f>Integrated[[#This Row],[Flu Deaths 65 to 74 years]]/Integrated[[#This Row],[Population 65 to 74 years]]</f>
        <v>5.2479205114973196E-4</v>
      </c>
      <c r="AM135" s="67">
        <f>Integrated[[#This Row],[Flu Deaths 75 to 84 years]]/Integrated[[#This Row],[Population 75 to 84 years]]</f>
        <v>9.2947752889889642E-4</v>
      </c>
      <c r="AN135" s="67">
        <f>Integrated[[#This Row],[Flu Deaths 85+ years]]/Integrated[[#This Row],[Population 85+ years]]</f>
        <v>4.588630717521555E-3</v>
      </c>
      <c r="AO135" s="68">
        <f>Integrated[[#This Row],[Total Flu Deaths]]/Integrated[[#This Row],[Total population]]</f>
        <v>4.8564644938484781E-4</v>
      </c>
    </row>
    <row r="136" spans="1:41" x14ac:dyDescent="0.3">
      <c r="A136" s="44" t="s">
        <v>176</v>
      </c>
      <c r="B136" t="s">
        <v>144</v>
      </c>
      <c r="C136" s="45">
        <v>2016</v>
      </c>
      <c r="D136" s="51">
        <v>1685021</v>
      </c>
      <c r="E136" s="2">
        <v>832920</v>
      </c>
      <c r="F136" s="2">
        <v>852103</v>
      </c>
      <c r="G136" s="78">
        <f>Integrated[[#This Row],[Female Total population]]/Integrated[[#This Row],[Total population]]</f>
        <v>0.50569280738934408</v>
      </c>
      <c r="H136" s="2">
        <v>94890</v>
      </c>
      <c r="I136" s="2">
        <v>196243</v>
      </c>
      <c r="J136" s="2">
        <v>217200</v>
      </c>
      <c r="K136" s="2">
        <v>202969</v>
      </c>
      <c r="L136" s="2">
        <v>208341</v>
      </c>
      <c r="M136" s="2">
        <v>229189</v>
      </c>
      <c r="N136" s="2">
        <v>242648</v>
      </c>
      <c r="O136" s="2">
        <v>170422</v>
      </c>
      <c r="P136" s="2">
        <v>88658</v>
      </c>
      <c r="Q136" s="52">
        <v>34620</v>
      </c>
      <c r="R136" s="127">
        <f>Integrated[[#This Row],[Population 85+ years]]/Integrated[[#This Row],[Total population]]</f>
        <v>2.0545738005639098E-2</v>
      </c>
      <c r="S136" s="58">
        <v>120</v>
      </c>
      <c r="T136" s="59">
        <v>60</v>
      </c>
      <c r="U136" s="59">
        <v>60</v>
      </c>
      <c r="V136" s="59">
        <v>60</v>
      </c>
      <c r="W136" s="59">
        <v>60</v>
      </c>
      <c r="X136" s="59">
        <v>60</v>
      </c>
      <c r="Y136" s="59">
        <v>60</v>
      </c>
      <c r="Z136" s="59">
        <v>68</v>
      </c>
      <c r="AA136" s="59">
        <v>91</v>
      </c>
      <c r="AB136" s="59">
        <v>158</v>
      </c>
      <c r="AC136" s="59">
        <f>VLOOKUP($A136,'[1]Flu Deaths Updated'!$A$2:$N$460,14,FALSE)</f>
        <v>60</v>
      </c>
      <c r="AD136" s="60">
        <f t="shared" si="2"/>
        <v>857</v>
      </c>
      <c r="AE136" s="66">
        <f>Integrated[[#This Row],[Flu Deaths &lt;5 years old]]/Integrated[[#This Row],[Population &lt;5 years]]</f>
        <v>1.2646221941195069E-3</v>
      </c>
      <c r="AF136" s="67">
        <f>Integrated[[#This Row],[Flu Deaths 5 to 14 years]]/Integrated[[#This Row],[Population 5 to 14 years]]</f>
        <v>3.0574338957313127E-4</v>
      </c>
      <c r="AG136" s="67">
        <f>Integrated[[#This Row],[Flu Deaths 15 to 24 years]]/Integrated[[#This Row],[Population 15 to 24 years]]</f>
        <v>2.7624309392265195E-4</v>
      </c>
      <c r="AH136" s="67">
        <f>Integrated[[#This Row],[Flu Deaths 25 to 34 years]]/Integrated[[#This Row],[Population 25 to 34 years]]</f>
        <v>2.9561164512807372E-4</v>
      </c>
      <c r="AI136" s="67">
        <f>Integrated[[#This Row],[Flu Deaths 35 to 44 years]]/Integrated[[#This Row],[Population 35 to 44 years]]</f>
        <v>2.8798940199000676E-4</v>
      </c>
      <c r="AJ136" s="67">
        <f>Integrated[[#This Row],[Flu Deaths 45 to 54 years]]/Integrated[[#This Row],[Population 45 to 54 years]]</f>
        <v>2.6179266893262766E-4</v>
      </c>
      <c r="AK136" s="67">
        <f>Integrated[[#This Row],[Flu Deaths 55 to 64 years]]/Integrated[[#This Row],[Population 55 to 64 years]]</f>
        <v>2.4727176815799015E-4</v>
      </c>
      <c r="AL136" s="67">
        <f>Integrated[[#This Row],[Flu Deaths 65 to 74 years]]/Integrated[[#This Row],[Population 65 to 74 years]]</f>
        <v>3.99009517550551E-4</v>
      </c>
      <c r="AM136" s="67">
        <f>Integrated[[#This Row],[Flu Deaths 75 to 84 years]]/Integrated[[#This Row],[Population 75 to 84 years]]</f>
        <v>1.0264161158609489E-3</v>
      </c>
      <c r="AN136" s="67">
        <f>Integrated[[#This Row],[Flu Deaths 85+ years]]/Integrated[[#This Row],[Population 85+ years]]</f>
        <v>4.5638359329867127E-3</v>
      </c>
      <c r="AO136" s="68">
        <f>Integrated[[#This Row],[Total Flu Deaths]]/Integrated[[#This Row],[Total population]]</f>
        <v>5.0859900262370614E-4</v>
      </c>
    </row>
    <row r="137" spans="1:41" x14ac:dyDescent="0.3">
      <c r="A137" s="44" t="s">
        <v>303</v>
      </c>
      <c r="B137" t="s">
        <v>270</v>
      </c>
      <c r="C137" s="45">
        <v>2016</v>
      </c>
      <c r="D137" s="51">
        <v>2876836</v>
      </c>
      <c r="E137" s="2">
        <v>1446212</v>
      </c>
      <c r="F137" s="2">
        <v>1430624</v>
      </c>
      <c r="G137" s="78">
        <f>Integrated[[#This Row],[Female Total population]]/Integrated[[#This Row],[Total population]]</f>
        <v>0.49729077361378959</v>
      </c>
      <c r="H137" s="2">
        <v>247612</v>
      </c>
      <c r="I137" s="2">
        <v>495247</v>
      </c>
      <c r="J137" s="2">
        <v>464807</v>
      </c>
      <c r="K137" s="2">
        <v>432465</v>
      </c>
      <c r="L137" s="2">
        <v>376502</v>
      </c>
      <c r="M137" s="2">
        <v>301039</v>
      </c>
      <c r="N137" s="2">
        <v>270777</v>
      </c>
      <c r="O137" s="2">
        <v>168372</v>
      </c>
      <c r="P137" s="2">
        <v>87715</v>
      </c>
      <c r="Q137" s="52">
        <v>33117</v>
      </c>
      <c r="R137" s="127">
        <f>Integrated[[#This Row],[Population 85+ years]]/Integrated[[#This Row],[Total population]]</f>
        <v>1.1511605110614578E-2</v>
      </c>
      <c r="S137" s="58">
        <v>120</v>
      </c>
      <c r="T137" s="59">
        <v>60</v>
      </c>
      <c r="U137" s="59">
        <v>60</v>
      </c>
      <c r="V137" s="59">
        <v>60</v>
      </c>
      <c r="W137" s="59">
        <v>60</v>
      </c>
      <c r="X137" s="59">
        <v>60</v>
      </c>
      <c r="Y137" s="59">
        <v>60</v>
      </c>
      <c r="Z137" s="59">
        <v>60</v>
      </c>
      <c r="AA137" s="59">
        <v>83</v>
      </c>
      <c r="AB137" s="59">
        <v>160</v>
      </c>
      <c r="AC137" s="59">
        <f>VLOOKUP($A137,'[1]Flu Deaths Updated'!$A$2:$N$460,14,FALSE)</f>
        <v>60</v>
      </c>
      <c r="AD137" s="60">
        <f t="shared" si="2"/>
        <v>843</v>
      </c>
      <c r="AE137" s="66">
        <f>Integrated[[#This Row],[Flu Deaths &lt;5 years old]]/Integrated[[#This Row],[Population &lt;5 years]]</f>
        <v>4.8462917790737122E-4</v>
      </c>
      <c r="AF137" s="67">
        <f>Integrated[[#This Row],[Flu Deaths 5 to 14 years]]/Integrated[[#This Row],[Population 5 to 14 years]]</f>
        <v>1.2115166775366635E-4</v>
      </c>
      <c r="AG137" s="67">
        <f>Integrated[[#This Row],[Flu Deaths 15 to 24 years]]/Integrated[[#This Row],[Population 15 to 24 years]]</f>
        <v>1.2908583562639978E-4</v>
      </c>
      <c r="AH137" s="67">
        <f>Integrated[[#This Row],[Flu Deaths 25 to 34 years]]/Integrated[[#This Row],[Population 25 to 34 years]]</f>
        <v>1.3873955117755195E-4</v>
      </c>
      <c r="AI137" s="67">
        <f>Integrated[[#This Row],[Flu Deaths 35 to 44 years]]/Integrated[[#This Row],[Population 35 to 44 years]]</f>
        <v>1.5936170325788442E-4</v>
      </c>
      <c r="AJ137" s="67">
        <f>Integrated[[#This Row],[Flu Deaths 45 to 54 years]]/Integrated[[#This Row],[Population 45 to 54 years]]</f>
        <v>1.9930972398925058E-4</v>
      </c>
      <c r="AK137" s="67">
        <f>Integrated[[#This Row],[Flu Deaths 55 to 64 years]]/Integrated[[#This Row],[Population 55 to 64 years]]</f>
        <v>2.2158455112509555E-4</v>
      </c>
      <c r="AL137" s="67">
        <f>Integrated[[#This Row],[Flu Deaths 65 to 74 years]]/Integrated[[#This Row],[Population 65 to 74 years]]</f>
        <v>3.5635378804076687E-4</v>
      </c>
      <c r="AM137" s="67">
        <f>Integrated[[#This Row],[Flu Deaths 75 to 84 years]]/Integrated[[#This Row],[Population 75 to 84 years]]</f>
        <v>9.462463660719375E-4</v>
      </c>
      <c r="AN137" s="67">
        <f>Integrated[[#This Row],[Flu Deaths 85+ years]]/Integrated[[#This Row],[Population 85+ years]]</f>
        <v>4.8313554971766764E-3</v>
      </c>
      <c r="AO137" s="68">
        <f>Integrated[[#This Row],[Total Flu Deaths]]/Integrated[[#This Row],[Total population]]</f>
        <v>2.930302596324573E-4</v>
      </c>
    </row>
    <row r="138" spans="1:41" x14ac:dyDescent="0.3">
      <c r="A138" s="44" t="s">
        <v>299</v>
      </c>
      <c r="B138" t="s">
        <v>270</v>
      </c>
      <c r="C138" s="45">
        <v>2015</v>
      </c>
      <c r="D138" s="51">
        <v>2832822</v>
      </c>
      <c r="E138" s="2">
        <v>1421166</v>
      </c>
      <c r="F138" s="2">
        <v>1411657</v>
      </c>
      <c r="G138" s="78">
        <f>Integrated[[#This Row],[Female Total population]]/Integrated[[#This Row],[Total population]]</f>
        <v>0.49832181478398574</v>
      </c>
      <c r="H138" s="2">
        <v>248845</v>
      </c>
      <c r="I138" s="2">
        <v>488027</v>
      </c>
      <c r="J138" s="2">
        <v>456724</v>
      </c>
      <c r="K138" s="2">
        <v>432939</v>
      </c>
      <c r="L138" s="2">
        <v>364684</v>
      </c>
      <c r="M138" s="2">
        <v>300960</v>
      </c>
      <c r="N138" s="2">
        <v>264545</v>
      </c>
      <c r="O138" s="2">
        <v>158855</v>
      </c>
      <c r="P138" s="2">
        <v>85828</v>
      </c>
      <c r="Q138" s="52">
        <v>32751</v>
      </c>
      <c r="R138" s="127">
        <f>Integrated[[#This Row],[Population 85+ years]]/Integrated[[#This Row],[Total population]]</f>
        <v>1.1561262938511492E-2</v>
      </c>
      <c r="S138" s="58">
        <v>120</v>
      </c>
      <c r="T138" s="59">
        <v>60</v>
      </c>
      <c r="U138" s="59">
        <v>60</v>
      </c>
      <c r="V138" s="59">
        <v>60</v>
      </c>
      <c r="W138" s="59">
        <v>60</v>
      </c>
      <c r="X138" s="59">
        <v>60</v>
      </c>
      <c r="Y138" s="59">
        <v>60</v>
      </c>
      <c r="Z138" s="59">
        <v>60</v>
      </c>
      <c r="AA138" s="59">
        <v>79</v>
      </c>
      <c r="AB138" s="59">
        <v>161</v>
      </c>
      <c r="AC138" s="59">
        <f>VLOOKUP($A138,'[1]Flu Deaths Updated'!$A$2:$N$460,14,FALSE)</f>
        <v>60</v>
      </c>
      <c r="AD138" s="60">
        <f t="shared" si="2"/>
        <v>840</v>
      </c>
      <c r="AE138" s="66">
        <f>Integrated[[#This Row],[Flu Deaths &lt;5 years old]]/Integrated[[#This Row],[Population &lt;5 years]]</f>
        <v>4.8222789286503647E-4</v>
      </c>
      <c r="AF138" s="67">
        <f>Integrated[[#This Row],[Flu Deaths 5 to 14 years]]/Integrated[[#This Row],[Population 5 to 14 years]]</f>
        <v>1.2294401744165795E-4</v>
      </c>
      <c r="AG138" s="67">
        <f>Integrated[[#This Row],[Flu Deaths 15 to 24 years]]/Integrated[[#This Row],[Population 15 to 24 years]]</f>
        <v>1.3137036809977141E-4</v>
      </c>
      <c r="AH138" s="67">
        <f>Integrated[[#This Row],[Flu Deaths 25 to 34 years]]/Integrated[[#This Row],[Population 25 to 34 years]]</f>
        <v>1.3858765322597409E-4</v>
      </c>
      <c r="AI138" s="67">
        <f>Integrated[[#This Row],[Flu Deaths 35 to 44 years]]/Integrated[[#This Row],[Population 35 to 44 years]]</f>
        <v>1.6452600059229359E-4</v>
      </c>
      <c r="AJ138" s="67">
        <f>Integrated[[#This Row],[Flu Deaths 45 to 54 years]]/Integrated[[#This Row],[Population 45 to 54 years]]</f>
        <v>1.9936204146730463E-4</v>
      </c>
      <c r="AK138" s="67">
        <f>Integrated[[#This Row],[Flu Deaths 55 to 64 years]]/Integrated[[#This Row],[Population 55 to 64 years]]</f>
        <v>2.2680451340981685E-4</v>
      </c>
      <c r="AL138" s="67">
        <f>Integrated[[#This Row],[Flu Deaths 65 to 74 years]]/Integrated[[#This Row],[Population 65 to 74 years]]</f>
        <v>3.777029366403324E-4</v>
      </c>
      <c r="AM138" s="67">
        <f>Integrated[[#This Row],[Flu Deaths 75 to 84 years]]/Integrated[[#This Row],[Population 75 to 84 years]]</f>
        <v>9.2044554224728526E-4</v>
      </c>
      <c r="AN138" s="67">
        <f>Integrated[[#This Row],[Flu Deaths 85+ years]]/Integrated[[#This Row],[Population 85+ years]]</f>
        <v>4.9158804311318742E-3</v>
      </c>
      <c r="AO138" s="68">
        <f>Integrated[[#This Row],[Total Flu Deaths]]/Integrated[[#This Row],[Total population]]</f>
        <v>2.9652410211442867E-4</v>
      </c>
    </row>
    <row r="139" spans="1:41" x14ac:dyDescent="0.3">
      <c r="A139" s="44" t="s">
        <v>136</v>
      </c>
      <c r="B139" t="s">
        <v>137</v>
      </c>
      <c r="C139" s="45">
        <v>2015</v>
      </c>
      <c r="D139" s="51">
        <v>1293779</v>
      </c>
      <c r="E139" s="2">
        <v>633099</v>
      </c>
      <c r="F139" s="2">
        <v>660680</v>
      </c>
      <c r="G139" s="78">
        <f>Integrated[[#This Row],[Female Total population]]/Integrated[[#This Row],[Total population]]</f>
        <v>0.51065908474322119</v>
      </c>
      <c r="H139" s="2">
        <v>64673</v>
      </c>
      <c r="I139" s="2">
        <v>145619</v>
      </c>
      <c r="J139" s="2">
        <v>160000</v>
      </c>
      <c r="K139" s="2">
        <v>147329</v>
      </c>
      <c r="L139" s="2">
        <v>154174</v>
      </c>
      <c r="M139" s="2">
        <v>198837</v>
      </c>
      <c r="N139" s="2">
        <v>196824</v>
      </c>
      <c r="O139" s="2">
        <v>127961</v>
      </c>
      <c r="P139" s="2">
        <v>69372</v>
      </c>
      <c r="Q139" s="52">
        <v>29529</v>
      </c>
      <c r="R139" s="127">
        <f>Integrated[[#This Row],[Population 85+ years]]/Integrated[[#This Row],[Total population]]</f>
        <v>2.2823836219323393E-2</v>
      </c>
      <c r="S139" s="58">
        <v>120</v>
      </c>
      <c r="T139" s="59">
        <v>60</v>
      </c>
      <c r="U139" s="59">
        <v>60</v>
      </c>
      <c r="V139" s="59">
        <v>60</v>
      </c>
      <c r="W139" s="59">
        <v>60</v>
      </c>
      <c r="X139" s="59">
        <v>60</v>
      </c>
      <c r="Y139" s="59">
        <v>60</v>
      </c>
      <c r="Z139" s="59">
        <v>60</v>
      </c>
      <c r="AA139" s="59">
        <v>87</v>
      </c>
      <c r="AB139" s="59">
        <v>163</v>
      </c>
      <c r="AC139" s="59">
        <f>VLOOKUP($A139,'[1]Flu Deaths Updated'!$A$2:$N$460,14,FALSE)</f>
        <v>60</v>
      </c>
      <c r="AD139" s="60">
        <f t="shared" si="2"/>
        <v>850</v>
      </c>
      <c r="AE139" s="66">
        <f>Integrated[[#This Row],[Flu Deaths &lt;5 years old]]/Integrated[[#This Row],[Population &lt;5 years]]</f>
        <v>1.8554883800040202E-3</v>
      </c>
      <c r="AF139" s="67">
        <f>Integrated[[#This Row],[Flu Deaths 5 to 14 years]]/Integrated[[#This Row],[Population 5 to 14 years]]</f>
        <v>4.1203414389605754E-4</v>
      </c>
      <c r="AG139" s="67">
        <f>Integrated[[#This Row],[Flu Deaths 15 to 24 years]]/Integrated[[#This Row],[Population 15 to 24 years]]</f>
        <v>3.7500000000000001E-4</v>
      </c>
      <c r="AH139" s="67">
        <f>Integrated[[#This Row],[Flu Deaths 25 to 34 years]]/Integrated[[#This Row],[Population 25 to 34 years]]</f>
        <v>4.0725179699855425E-4</v>
      </c>
      <c r="AI139" s="67">
        <f>Integrated[[#This Row],[Flu Deaths 35 to 44 years]]/Integrated[[#This Row],[Population 35 to 44 years]]</f>
        <v>3.8917067728670203E-4</v>
      </c>
      <c r="AJ139" s="67">
        <f>Integrated[[#This Row],[Flu Deaths 45 to 54 years]]/Integrated[[#This Row],[Population 45 to 54 years]]</f>
        <v>3.0175470360144241E-4</v>
      </c>
      <c r="AK139" s="67">
        <f>Integrated[[#This Row],[Flu Deaths 55 to 64 years]]/Integrated[[#This Row],[Population 55 to 64 years]]</f>
        <v>3.0484087306426044E-4</v>
      </c>
      <c r="AL139" s="67">
        <f>Integrated[[#This Row],[Flu Deaths 65 to 74 years]]/Integrated[[#This Row],[Population 65 to 74 years]]</f>
        <v>4.6889286579504693E-4</v>
      </c>
      <c r="AM139" s="67">
        <f>Integrated[[#This Row],[Flu Deaths 75 to 84 years]]/Integrated[[#This Row],[Population 75 to 84 years]]</f>
        <v>1.2541082857637088E-3</v>
      </c>
      <c r="AN139" s="67">
        <f>Integrated[[#This Row],[Flu Deaths 85+ years]]/Integrated[[#This Row],[Population 85+ years]]</f>
        <v>5.5199972907988759E-3</v>
      </c>
      <c r="AO139" s="68">
        <f>Integrated[[#This Row],[Total Flu Deaths]]/Integrated[[#This Row],[Total population]]</f>
        <v>6.5699010418317195E-4</v>
      </c>
    </row>
    <row r="140" spans="1:41" x14ac:dyDescent="0.3">
      <c r="A140" s="44" t="s">
        <v>172</v>
      </c>
      <c r="B140" t="s">
        <v>144</v>
      </c>
      <c r="C140" s="45">
        <v>2011</v>
      </c>
      <c r="D140" s="51">
        <v>1715461</v>
      </c>
      <c r="E140" s="2">
        <v>843577</v>
      </c>
      <c r="F140" s="2">
        <v>871884</v>
      </c>
      <c r="G140" s="78">
        <f>Integrated[[#This Row],[Female Total population]]/Integrated[[#This Row],[Total population]]</f>
        <v>0.50825055189246504</v>
      </c>
      <c r="H140" s="2">
        <v>96905</v>
      </c>
      <c r="I140" s="2">
        <v>199245</v>
      </c>
      <c r="J140" s="2">
        <v>225011</v>
      </c>
      <c r="K140" s="2">
        <v>204662</v>
      </c>
      <c r="L140" s="2">
        <v>221549</v>
      </c>
      <c r="M140" s="2">
        <v>255637</v>
      </c>
      <c r="N140" s="2">
        <v>237640</v>
      </c>
      <c r="O140" s="2">
        <v>148355</v>
      </c>
      <c r="P140" s="2">
        <v>92007</v>
      </c>
      <c r="Q140" s="52">
        <v>34062</v>
      </c>
      <c r="R140" s="127">
        <f>Integrated[[#This Row],[Population 85+ years]]/Integrated[[#This Row],[Total population]]</f>
        <v>1.9855887134711894E-2</v>
      </c>
      <c r="S140" s="58">
        <v>120</v>
      </c>
      <c r="T140" s="59">
        <v>60</v>
      </c>
      <c r="U140" s="59">
        <v>60</v>
      </c>
      <c r="V140" s="59">
        <v>60</v>
      </c>
      <c r="W140" s="59">
        <v>60</v>
      </c>
      <c r="X140" s="59">
        <v>60</v>
      </c>
      <c r="Y140" s="59">
        <v>60</v>
      </c>
      <c r="Z140" s="59">
        <v>68</v>
      </c>
      <c r="AA140" s="59">
        <v>116</v>
      </c>
      <c r="AB140" s="59">
        <v>164</v>
      </c>
      <c r="AC140" s="59">
        <f>VLOOKUP($A140,'[1]Flu Deaths Updated'!$A$2:$N$460,14,FALSE)</f>
        <v>60</v>
      </c>
      <c r="AD140" s="60">
        <f t="shared" si="2"/>
        <v>888</v>
      </c>
      <c r="AE140" s="66">
        <f>Integrated[[#This Row],[Flu Deaths &lt;5 years old]]/Integrated[[#This Row],[Population &lt;5 years]]</f>
        <v>1.2383261957587327E-3</v>
      </c>
      <c r="AF140" s="67">
        <f>Integrated[[#This Row],[Flu Deaths 5 to 14 years]]/Integrated[[#This Row],[Population 5 to 14 years]]</f>
        <v>3.0113679138748774E-4</v>
      </c>
      <c r="AG140" s="67">
        <f>Integrated[[#This Row],[Flu Deaths 15 to 24 years]]/Integrated[[#This Row],[Population 15 to 24 years]]</f>
        <v>2.666536302669647E-4</v>
      </c>
      <c r="AH140" s="67">
        <f>Integrated[[#This Row],[Flu Deaths 25 to 34 years]]/Integrated[[#This Row],[Population 25 to 34 years]]</f>
        <v>2.9316629369399304E-4</v>
      </c>
      <c r="AI140" s="67">
        <f>Integrated[[#This Row],[Flu Deaths 35 to 44 years]]/Integrated[[#This Row],[Population 35 to 44 years]]</f>
        <v>2.7082045055495626E-4</v>
      </c>
      <c r="AJ140" s="67">
        <f>Integrated[[#This Row],[Flu Deaths 45 to 54 years]]/Integrated[[#This Row],[Population 45 to 54 years]]</f>
        <v>2.3470780833760371E-4</v>
      </c>
      <c r="AK140" s="67">
        <f>Integrated[[#This Row],[Flu Deaths 55 to 64 years]]/Integrated[[#This Row],[Population 55 to 64 years]]</f>
        <v>2.5248274701228748E-4</v>
      </c>
      <c r="AL140" s="67">
        <f>Integrated[[#This Row],[Flu Deaths 65 to 74 years]]/Integrated[[#This Row],[Population 65 to 74 years]]</f>
        <v>4.5836001482929458E-4</v>
      </c>
      <c r="AM140" s="67">
        <f>Integrated[[#This Row],[Flu Deaths 75 to 84 years]]/Integrated[[#This Row],[Population 75 to 84 years]]</f>
        <v>1.2607736367885051E-3</v>
      </c>
      <c r="AN140" s="67">
        <f>Integrated[[#This Row],[Flu Deaths 85+ years]]/Integrated[[#This Row],[Population 85+ years]]</f>
        <v>4.8147495743056778E-3</v>
      </c>
      <c r="AO140" s="68">
        <f>Integrated[[#This Row],[Total Flu Deaths]]/Integrated[[#This Row],[Total population]]</f>
        <v>5.1764511113922148E-4</v>
      </c>
    </row>
    <row r="141" spans="1:41" x14ac:dyDescent="0.3">
      <c r="A141" s="44" t="s">
        <v>177</v>
      </c>
      <c r="B141" t="s">
        <v>168</v>
      </c>
      <c r="C141" s="45">
        <v>2014</v>
      </c>
      <c r="D141" s="51">
        <v>1667899</v>
      </c>
      <c r="E141" s="2">
        <v>830346</v>
      </c>
      <c r="F141" s="2">
        <v>837558</v>
      </c>
      <c r="G141" s="78">
        <f>Integrated[[#This Row],[Female Total population]]/Integrated[[#This Row],[Total population]]</f>
        <v>0.50216350030787238</v>
      </c>
      <c r="H141" s="2">
        <v>118206</v>
      </c>
      <c r="I141" s="2">
        <v>231480</v>
      </c>
      <c r="J141" s="2">
        <v>234470</v>
      </c>
      <c r="K141" s="2">
        <v>229314</v>
      </c>
      <c r="L141" s="2">
        <v>202672</v>
      </c>
      <c r="M141" s="2">
        <v>225025</v>
      </c>
      <c r="N141" s="2">
        <v>203079</v>
      </c>
      <c r="O141" s="2">
        <v>118757</v>
      </c>
      <c r="P141" s="2">
        <v>73656</v>
      </c>
      <c r="Q141" s="52">
        <v>34293</v>
      </c>
      <c r="R141" s="127">
        <f>Integrated[[#This Row],[Population 85+ years]]/Integrated[[#This Row],[Total population]]</f>
        <v>2.0560597494212778E-2</v>
      </c>
      <c r="S141" s="58">
        <v>120</v>
      </c>
      <c r="T141" s="59">
        <v>60</v>
      </c>
      <c r="U141" s="59">
        <v>60</v>
      </c>
      <c r="V141" s="59">
        <v>60</v>
      </c>
      <c r="W141" s="59">
        <v>60</v>
      </c>
      <c r="X141" s="59">
        <v>60</v>
      </c>
      <c r="Y141" s="59">
        <v>60</v>
      </c>
      <c r="Z141" s="59">
        <v>60</v>
      </c>
      <c r="AA141" s="59">
        <v>81</v>
      </c>
      <c r="AB141" s="59">
        <v>166</v>
      </c>
      <c r="AC141" s="59">
        <f>VLOOKUP($A141,'[1]Flu Deaths Updated'!$A$2:$N$460,14,FALSE)</f>
        <v>60</v>
      </c>
      <c r="AD141" s="60">
        <f t="shared" si="2"/>
        <v>847</v>
      </c>
      <c r="AE141" s="66">
        <f>Integrated[[#This Row],[Flu Deaths &lt;5 years old]]/Integrated[[#This Row],[Population &lt;5 years]]</f>
        <v>1.0151768945738794E-3</v>
      </c>
      <c r="AF141" s="67">
        <f>Integrated[[#This Row],[Flu Deaths 5 to 14 years]]/Integrated[[#This Row],[Population 5 to 14 years]]</f>
        <v>2.592016588906169E-4</v>
      </c>
      <c r="AG141" s="67">
        <f>Integrated[[#This Row],[Flu Deaths 15 to 24 years]]/Integrated[[#This Row],[Population 15 to 24 years]]</f>
        <v>2.5589627670917389E-4</v>
      </c>
      <c r="AH141" s="67">
        <f>Integrated[[#This Row],[Flu Deaths 25 to 34 years]]/Integrated[[#This Row],[Population 25 to 34 years]]</f>
        <v>2.6164996467725477E-4</v>
      </c>
      <c r="AI141" s="67">
        <f>Integrated[[#This Row],[Flu Deaths 35 to 44 years]]/Integrated[[#This Row],[Population 35 to 44 years]]</f>
        <v>2.9604484092523881E-4</v>
      </c>
      <c r="AJ141" s="67">
        <f>Integrated[[#This Row],[Flu Deaths 45 to 54 years]]/Integrated[[#This Row],[Population 45 to 54 years]]</f>
        <v>2.6663704032885236E-4</v>
      </c>
      <c r="AK141" s="67">
        <f>Integrated[[#This Row],[Flu Deaths 55 to 64 years]]/Integrated[[#This Row],[Population 55 to 64 years]]</f>
        <v>2.9545152379123398E-4</v>
      </c>
      <c r="AL141" s="67">
        <f>Integrated[[#This Row],[Flu Deaths 65 to 74 years]]/Integrated[[#This Row],[Population 65 to 74 years]]</f>
        <v>5.052333757167998E-4</v>
      </c>
      <c r="AM141" s="67">
        <f>Integrated[[#This Row],[Flu Deaths 75 to 84 years]]/Integrated[[#This Row],[Population 75 to 84 years]]</f>
        <v>1.0997067448680353E-3</v>
      </c>
      <c r="AN141" s="67">
        <f>Integrated[[#This Row],[Flu Deaths 85+ years]]/Integrated[[#This Row],[Population 85+ years]]</f>
        <v>4.8406380310850611E-3</v>
      </c>
      <c r="AO141" s="68">
        <f>Integrated[[#This Row],[Total Flu Deaths]]/Integrated[[#This Row],[Total population]]</f>
        <v>5.0782451455393877E-4</v>
      </c>
    </row>
    <row r="142" spans="1:41" x14ac:dyDescent="0.3">
      <c r="A142" s="44" t="s">
        <v>155</v>
      </c>
      <c r="B142" t="s">
        <v>144</v>
      </c>
      <c r="C142" s="45">
        <v>2017</v>
      </c>
      <c r="D142" s="51">
        <v>1555888</v>
      </c>
      <c r="E142" s="2">
        <v>770112</v>
      </c>
      <c r="F142" s="2">
        <v>785779</v>
      </c>
      <c r="G142" s="78">
        <f>Integrated[[#This Row],[Female Total population]]/Integrated[[#This Row],[Total population]]</f>
        <v>0.50503570951122445</v>
      </c>
      <c r="H142" s="2">
        <v>85704</v>
      </c>
      <c r="I142" s="2">
        <v>180977</v>
      </c>
      <c r="J142" s="2">
        <v>199172</v>
      </c>
      <c r="K142" s="2">
        <v>187896</v>
      </c>
      <c r="L142" s="2">
        <v>188626</v>
      </c>
      <c r="M142" s="2">
        <v>208085</v>
      </c>
      <c r="N142" s="2">
        <v>225112</v>
      </c>
      <c r="O142" s="2">
        <v>162813</v>
      </c>
      <c r="P142" s="2">
        <v>84666</v>
      </c>
      <c r="Q142" s="52">
        <v>32887</v>
      </c>
      <c r="R142" s="127">
        <f>Integrated[[#This Row],[Population 85+ years]]/Integrated[[#This Row],[Total population]]</f>
        <v>2.1137125551453573E-2</v>
      </c>
      <c r="S142" s="58">
        <v>120</v>
      </c>
      <c r="T142" s="59">
        <v>60</v>
      </c>
      <c r="U142" s="59">
        <v>60</v>
      </c>
      <c r="V142" s="59">
        <v>60</v>
      </c>
      <c r="W142" s="59">
        <v>60</v>
      </c>
      <c r="X142" s="59">
        <v>60</v>
      </c>
      <c r="Y142" s="59">
        <v>60</v>
      </c>
      <c r="Z142" s="59">
        <v>78</v>
      </c>
      <c r="AA142" s="59">
        <v>126</v>
      </c>
      <c r="AB142" s="59">
        <v>170</v>
      </c>
      <c r="AC142" s="59">
        <f>VLOOKUP($A142,'[1]Flu Deaths Updated'!$A$2:$N$460,14,FALSE)</f>
        <v>60</v>
      </c>
      <c r="AD142" s="60">
        <f t="shared" si="2"/>
        <v>914</v>
      </c>
      <c r="AE142" s="66">
        <f>Integrated[[#This Row],[Flu Deaths &lt;5 years old]]/Integrated[[#This Row],[Population &lt;5 years]]</f>
        <v>1.4001680201624195E-3</v>
      </c>
      <c r="AF142" s="67">
        <f>Integrated[[#This Row],[Flu Deaths 5 to 14 years]]/Integrated[[#This Row],[Population 5 to 14 years]]</f>
        <v>3.3153384131685241E-4</v>
      </c>
      <c r="AG142" s="67">
        <f>Integrated[[#This Row],[Flu Deaths 15 to 24 years]]/Integrated[[#This Row],[Population 15 to 24 years]]</f>
        <v>3.0124716325587934E-4</v>
      </c>
      <c r="AH142" s="67">
        <f>Integrated[[#This Row],[Flu Deaths 25 to 34 years]]/Integrated[[#This Row],[Population 25 to 34 years]]</f>
        <v>3.1932558436581937E-4</v>
      </c>
      <c r="AI142" s="67">
        <f>Integrated[[#This Row],[Flu Deaths 35 to 44 years]]/Integrated[[#This Row],[Population 35 to 44 years]]</f>
        <v>3.1808976493166372E-4</v>
      </c>
      <c r="AJ142" s="67">
        <f>Integrated[[#This Row],[Flu Deaths 45 to 54 years]]/Integrated[[#This Row],[Population 45 to 54 years]]</f>
        <v>2.8834370569719105E-4</v>
      </c>
      <c r="AK142" s="67">
        <f>Integrated[[#This Row],[Flu Deaths 55 to 64 years]]/Integrated[[#This Row],[Population 55 to 64 years]]</f>
        <v>2.665339919684424E-4</v>
      </c>
      <c r="AL142" s="67">
        <f>Integrated[[#This Row],[Flu Deaths 65 to 74 years]]/Integrated[[#This Row],[Population 65 to 74 years]]</f>
        <v>4.7907722356322897E-4</v>
      </c>
      <c r="AM142" s="67">
        <f>Integrated[[#This Row],[Flu Deaths 75 to 84 years]]/Integrated[[#This Row],[Population 75 to 84 years]]</f>
        <v>1.4882006944936575E-3</v>
      </c>
      <c r="AN142" s="67">
        <f>Integrated[[#This Row],[Flu Deaths 85+ years]]/Integrated[[#This Row],[Population 85+ years]]</f>
        <v>5.1692157995560555E-3</v>
      </c>
      <c r="AO142" s="68">
        <f>Integrated[[#This Row],[Total Flu Deaths]]/Integrated[[#This Row],[Total population]]</f>
        <v>5.8744588299414863E-4</v>
      </c>
    </row>
    <row r="143" spans="1:41" x14ac:dyDescent="0.3">
      <c r="A143" s="44" t="s">
        <v>221</v>
      </c>
      <c r="B143" t="s">
        <v>222</v>
      </c>
      <c r="C143" s="45">
        <v>2014</v>
      </c>
      <c r="D143" s="51">
        <v>2710163</v>
      </c>
      <c r="E143" s="2">
        <v>1363769</v>
      </c>
      <c r="F143" s="2">
        <v>1346394</v>
      </c>
      <c r="G143" s="78">
        <f>Integrated[[#This Row],[Female Total population]]/Integrated[[#This Row],[Total population]]</f>
        <v>0.49679447324755005</v>
      </c>
      <c r="H143" s="2">
        <v>177247</v>
      </c>
      <c r="I143" s="2">
        <v>363222</v>
      </c>
      <c r="J143" s="2">
        <v>356709</v>
      </c>
      <c r="K143" s="2">
        <v>389267</v>
      </c>
      <c r="L143" s="2">
        <v>374691</v>
      </c>
      <c r="M143" s="2">
        <v>370708</v>
      </c>
      <c r="N143" s="2">
        <v>323762</v>
      </c>
      <c r="O143" s="2">
        <v>219029</v>
      </c>
      <c r="P143" s="2">
        <v>99778</v>
      </c>
      <c r="Q143" s="52">
        <v>35471</v>
      </c>
      <c r="R143" s="127">
        <f>Integrated[[#This Row],[Population 85+ years]]/Integrated[[#This Row],[Total population]]</f>
        <v>1.3088142668909583E-2</v>
      </c>
      <c r="S143" s="58">
        <v>120</v>
      </c>
      <c r="T143" s="59">
        <v>60</v>
      </c>
      <c r="U143" s="59">
        <v>60</v>
      </c>
      <c r="V143" s="59">
        <v>60</v>
      </c>
      <c r="W143" s="59">
        <v>60</v>
      </c>
      <c r="X143" s="59">
        <v>60</v>
      </c>
      <c r="Y143" s="59">
        <v>77</v>
      </c>
      <c r="Z143" s="59">
        <v>157</v>
      </c>
      <c r="AA143" s="59">
        <v>175</v>
      </c>
      <c r="AB143" s="59">
        <v>171</v>
      </c>
      <c r="AC143" s="59">
        <f>VLOOKUP($A143,'[1]Flu Deaths Updated'!$A$2:$N$460,14,FALSE)</f>
        <v>60</v>
      </c>
      <c r="AD143" s="60">
        <f t="shared" si="2"/>
        <v>1060</v>
      </c>
      <c r="AE143" s="66">
        <f>Integrated[[#This Row],[Flu Deaths &lt;5 years old]]/Integrated[[#This Row],[Population &lt;5 years]]</f>
        <v>6.7702133181379658E-4</v>
      </c>
      <c r="AF143" s="67">
        <f>Integrated[[#This Row],[Flu Deaths 5 to 14 years]]/Integrated[[#This Row],[Population 5 to 14 years]]</f>
        <v>1.6518823199035301E-4</v>
      </c>
      <c r="AG143" s="67">
        <f>Integrated[[#This Row],[Flu Deaths 15 to 24 years]]/Integrated[[#This Row],[Population 15 to 24 years]]</f>
        <v>1.6820433462570332E-4</v>
      </c>
      <c r="AH143" s="67">
        <f>Integrated[[#This Row],[Flu Deaths 25 to 34 years]]/Integrated[[#This Row],[Population 25 to 34 years]]</f>
        <v>1.5413585020050506E-4</v>
      </c>
      <c r="AI143" s="67">
        <f>Integrated[[#This Row],[Flu Deaths 35 to 44 years]]/Integrated[[#This Row],[Population 35 to 44 years]]</f>
        <v>1.6013194872575002E-4</v>
      </c>
      <c r="AJ143" s="67">
        <f>Integrated[[#This Row],[Flu Deaths 45 to 54 years]]/Integrated[[#This Row],[Population 45 to 54 years]]</f>
        <v>1.6185245530174691E-4</v>
      </c>
      <c r="AK143" s="67">
        <f>Integrated[[#This Row],[Flu Deaths 55 to 64 years]]/Integrated[[#This Row],[Population 55 to 64 years]]</f>
        <v>2.378290225536042E-4</v>
      </c>
      <c r="AL143" s="67">
        <f>Integrated[[#This Row],[Flu Deaths 65 to 74 years]]/Integrated[[#This Row],[Population 65 to 74 years]]</f>
        <v>7.1680005843974997E-4</v>
      </c>
      <c r="AM143" s="67">
        <f>Integrated[[#This Row],[Flu Deaths 75 to 84 years]]/Integrated[[#This Row],[Population 75 to 84 years]]</f>
        <v>1.7538936438894345E-3</v>
      </c>
      <c r="AN143" s="67">
        <f>Integrated[[#This Row],[Flu Deaths 85+ years]]/Integrated[[#This Row],[Population 85+ years]]</f>
        <v>4.8208395590764288E-3</v>
      </c>
      <c r="AO143" s="68">
        <f>Integrated[[#This Row],[Total Flu Deaths]]/Integrated[[#This Row],[Total population]]</f>
        <v>3.9112038648597886E-4</v>
      </c>
    </row>
    <row r="144" spans="1:41" x14ac:dyDescent="0.3">
      <c r="A144" s="44" t="s">
        <v>175</v>
      </c>
      <c r="B144" t="s">
        <v>144</v>
      </c>
      <c r="C144" s="45">
        <v>2009</v>
      </c>
      <c r="D144" s="51">
        <v>1771937</v>
      </c>
      <c r="E144" s="2">
        <v>866678</v>
      </c>
      <c r="F144" s="2">
        <v>905259</v>
      </c>
      <c r="G144" s="78">
        <f>Integrated[[#This Row],[Female Total population]]/Integrated[[#This Row],[Total population]]</f>
        <v>0.51088667373614294</v>
      </c>
      <c r="H144" s="2">
        <v>103082</v>
      </c>
      <c r="I144" s="2">
        <v>207170</v>
      </c>
      <c r="J144" s="2">
        <v>235829</v>
      </c>
      <c r="K144" s="2">
        <v>217304</v>
      </c>
      <c r="L144" s="2">
        <v>236635</v>
      </c>
      <c r="M144" s="2">
        <v>268624</v>
      </c>
      <c r="N144" s="2">
        <v>228325</v>
      </c>
      <c r="O144" s="2">
        <v>143861</v>
      </c>
      <c r="P144" s="2">
        <v>96829</v>
      </c>
      <c r="Q144" s="52">
        <v>35082</v>
      </c>
      <c r="R144" s="127">
        <f>Integrated[[#This Row],[Population 85+ years]]/Integrated[[#This Row],[Total population]]</f>
        <v>1.9798672300426031E-2</v>
      </c>
      <c r="S144" s="58">
        <v>120</v>
      </c>
      <c r="T144" s="59">
        <v>60</v>
      </c>
      <c r="U144" s="59">
        <v>60</v>
      </c>
      <c r="V144" s="59">
        <v>60</v>
      </c>
      <c r="W144" s="59">
        <v>65</v>
      </c>
      <c r="X144" s="59">
        <v>60</v>
      </c>
      <c r="Y144" s="59">
        <v>60</v>
      </c>
      <c r="Z144" s="59">
        <v>65</v>
      </c>
      <c r="AA144" s="59">
        <v>119</v>
      </c>
      <c r="AB144" s="59">
        <v>174</v>
      </c>
      <c r="AC144" s="59">
        <f>VLOOKUP($A144,'[1]Flu Deaths Updated'!$A$2:$N$460,14,FALSE)</f>
        <v>60</v>
      </c>
      <c r="AD144" s="60">
        <f t="shared" si="2"/>
        <v>903</v>
      </c>
      <c r="AE144" s="66">
        <f>Integrated[[#This Row],[Flu Deaths &lt;5 years old]]/Integrated[[#This Row],[Population &lt;5 years]]</f>
        <v>1.1641217671368425E-3</v>
      </c>
      <c r="AF144" s="67">
        <f>Integrated[[#This Row],[Flu Deaths 5 to 14 years]]/Integrated[[#This Row],[Population 5 to 14 years]]</f>
        <v>2.8961722257083556E-4</v>
      </c>
      <c r="AG144" s="67">
        <f>Integrated[[#This Row],[Flu Deaths 15 to 24 years]]/Integrated[[#This Row],[Population 15 to 24 years]]</f>
        <v>2.5442163601592678E-4</v>
      </c>
      <c r="AH144" s="67">
        <f>Integrated[[#This Row],[Flu Deaths 25 to 34 years]]/Integrated[[#This Row],[Population 25 to 34 years]]</f>
        <v>2.7611088613187056E-4</v>
      </c>
      <c r="AI144" s="67">
        <f>Integrated[[#This Row],[Flu Deaths 35 to 44 years]]/Integrated[[#This Row],[Population 35 to 44 years]]</f>
        <v>2.535550531409132E-4</v>
      </c>
      <c r="AJ144" s="67">
        <f>Integrated[[#This Row],[Flu Deaths 45 to 54 years]]/Integrated[[#This Row],[Population 45 to 54 years]]</f>
        <v>2.4197391148966584E-4</v>
      </c>
      <c r="AK144" s="67">
        <f>Integrated[[#This Row],[Flu Deaths 55 to 64 years]]/Integrated[[#This Row],[Population 55 to 64 years]]</f>
        <v>2.6278331325960803E-4</v>
      </c>
      <c r="AL144" s="67">
        <f>Integrated[[#This Row],[Flu Deaths 65 to 74 years]]/Integrated[[#This Row],[Population 65 to 74 years]]</f>
        <v>4.5182502554549182E-4</v>
      </c>
      <c r="AM144" s="67">
        <f>Integrated[[#This Row],[Flu Deaths 75 to 84 years]]/Integrated[[#This Row],[Population 75 to 84 years]]</f>
        <v>1.2289706596164372E-3</v>
      </c>
      <c r="AN144" s="67">
        <f>Integrated[[#This Row],[Flu Deaths 85+ years]]/Integrated[[#This Row],[Population 85+ years]]</f>
        <v>4.9598084487771504E-3</v>
      </c>
      <c r="AO144" s="68">
        <f>Integrated[[#This Row],[Total Flu Deaths]]/Integrated[[#This Row],[Total population]]</f>
        <v>5.0961179771064091E-4</v>
      </c>
    </row>
    <row r="145" spans="1:41" x14ac:dyDescent="0.3">
      <c r="A145" s="44" t="s">
        <v>435</v>
      </c>
      <c r="B145" t="s">
        <v>353</v>
      </c>
      <c r="C145" s="45">
        <v>2016</v>
      </c>
      <c r="D145" s="51">
        <v>3967316</v>
      </c>
      <c r="E145" s="2">
        <v>1963674</v>
      </c>
      <c r="F145" s="2">
        <v>2003643</v>
      </c>
      <c r="G145" s="78">
        <f>Integrated[[#This Row],[Female Total population]]/Integrated[[#This Row],[Total population]]</f>
        <v>0.50503741068268826</v>
      </c>
      <c r="H145" s="2">
        <v>231039</v>
      </c>
      <c r="I145" s="2">
        <v>480135</v>
      </c>
      <c r="J145" s="2">
        <v>510313</v>
      </c>
      <c r="K145" s="2">
        <v>547263</v>
      </c>
      <c r="L145" s="2">
        <v>517273</v>
      </c>
      <c r="M145" s="2">
        <v>514099</v>
      </c>
      <c r="N145" s="2">
        <v>536131</v>
      </c>
      <c r="O145" s="2">
        <v>372441</v>
      </c>
      <c r="P145" s="2">
        <v>174487</v>
      </c>
      <c r="Q145" s="52">
        <v>84506</v>
      </c>
      <c r="R145" s="127">
        <f>Integrated[[#This Row],[Population 85+ years]]/Integrated[[#This Row],[Total population]]</f>
        <v>2.1300546767638373E-2</v>
      </c>
      <c r="S145" s="58">
        <v>120</v>
      </c>
      <c r="T145" s="59">
        <v>60</v>
      </c>
      <c r="U145" s="59">
        <v>60</v>
      </c>
      <c r="V145" s="59">
        <v>60</v>
      </c>
      <c r="W145" s="59">
        <v>60</v>
      </c>
      <c r="X145" s="59">
        <v>60</v>
      </c>
      <c r="Y145" s="59">
        <v>60</v>
      </c>
      <c r="Z145" s="59">
        <v>85</v>
      </c>
      <c r="AA145" s="59">
        <v>85</v>
      </c>
      <c r="AB145" s="59">
        <v>175</v>
      </c>
      <c r="AC145" s="59">
        <f>VLOOKUP($A145,'[1]Flu Deaths Updated'!$A$2:$N$460,14,FALSE)</f>
        <v>60</v>
      </c>
      <c r="AD145" s="60">
        <f t="shared" si="2"/>
        <v>885</v>
      </c>
      <c r="AE145" s="66">
        <f>Integrated[[#This Row],[Flu Deaths &lt;5 years old]]/Integrated[[#This Row],[Population &lt;5 years]]</f>
        <v>5.1939282978198491E-4</v>
      </c>
      <c r="AF145" s="67">
        <f>Integrated[[#This Row],[Flu Deaths 5 to 14 years]]/Integrated[[#This Row],[Population 5 to 14 years]]</f>
        <v>1.2496485363491517E-4</v>
      </c>
      <c r="AG145" s="67">
        <f>Integrated[[#This Row],[Flu Deaths 15 to 24 years]]/Integrated[[#This Row],[Population 15 to 24 years]]</f>
        <v>1.1757490011032445E-4</v>
      </c>
      <c r="AH145" s="67">
        <f>Integrated[[#This Row],[Flu Deaths 25 to 34 years]]/Integrated[[#This Row],[Population 25 to 34 years]]</f>
        <v>1.0963650018364113E-4</v>
      </c>
      <c r="AI145" s="67">
        <f>Integrated[[#This Row],[Flu Deaths 35 to 44 years]]/Integrated[[#This Row],[Population 35 to 44 years]]</f>
        <v>1.1599290896683183E-4</v>
      </c>
      <c r="AJ145" s="67">
        <f>Integrated[[#This Row],[Flu Deaths 45 to 54 years]]/Integrated[[#This Row],[Population 45 to 54 years]]</f>
        <v>1.1670903853148907E-4</v>
      </c>
      <c r="AK145" s="67">
        <f>Integrated[[#This Row],[Flu Deaths 55 to 64 years]]/Integrated[[#This Row],[Population 55 to 64 years]]</f>
        <v>1.1191294664923312E-4</v>
      </c>
      <c r="AL145" s="67">
        <f>Integrated[[#This Row],[Flu Deaths 65 to 74 years]]/Integrated[[#This Row],[Population 65 to 74 years]]</f>
        <v>2.2822406770468343E-4</v>
      </c>
      <c r="AM145" s="67">
        <f>Integrated[[#This Row],[Flu Deaths 75 to 84 years]]/Integrated[[#This Row],[Population 75 to 84 years]]</f>
        <v>4.8714230859605586E-4</v>
      </c>
      <c r="AN145" s="67">
        <f>Integrated[[#This Row],[Flu Deaths 85+ years]]/Integrated[[#This Row],[Population 85+ years]]</f>
        <v>2.0708588739261117E-3</v>
      </c>
      <c r="AO145" s="68">
        <f>Integrated[[#This Row],[Total Flu Deaths]]/Integrated[[#This Row],[Total population]]</f>
        <v>2.2307272725439567E-4</v>
      </c>
    </row>
    <row r="146" spans="1:41" x14ac:dyDescent="0.3">
      <c r="A146" s="44" t="s">
        <v>164</v>
      </c>
      <c r="B146" t="s">
        <v>144</v>
      </c>
      <c r="C146" s="45">
        <v>2012</v>
      </c>
      <c r="D146" s="51">
        <v>1664880</v>
      </c>
      <c r="E146" s="2">
        <v>821652</v>
      </c>
      <c r="F146" s="2">
        <v>843231</v>
      </c>
      <c r="G146" s="78">
        <f>Integrated[[#This Row],[Female Total population]]/Integrated[[#This Row],[Total population]]</f>
        <v>0.50648154821969149</v>
      </c>
      <c r="H146" s="2">
        <v>95525</v>
      </c>
      <c r="I146" s="2">
        <v>196359</v>
      </c>
      <c r="J146" s="2">
        <v>218791</v>
      </c>
      <c r="K146" s="2">
        <v>200362</v>
      </c>
      <c r="L146" s="2">
        <v>213764</v>
      </c>
      <c r="M146" s="2">
        <v>243607</v>
      </c>
      <c r="N146" s="2">
        <v>231641</v>
      </c>
      <c r="O146" s="2">
        <v>145948</v>
      </c>
      <c r="P146" s="2">
        <v>86373</v>
      </c>
      <c r="Q146" s="52">
        <v>32615</v>
      </c>
      <c r="R146" s="127">
        <f>Integrated[[#This Row],[Population 85+ years]]/Integrated[[#This Row],[Total population]]</f>
        <v>1.9590000480515114E-2</v>
      </c>
      <c r="S146" s="58">
        <v>120</v>
      </c>
      <c r="T146" s="59">
        <v>60</v>
      </c>
      <c r="U146" s="59">
        <v>60</v>
      </c>
      <c r="V146" s="59">
        <v>60</v>
      </c>
      <c r="W146" s="59">
        <v>60</v>
      </c>
      <c r="X146" s="59">
        <v>60</v>
      </c>
      <c r="Y146" s="59">
        <v>60</v>
      </c>
      <c r="Z146" s="59">
        <v>60</v>
      </c>
      <c r="AA146" s="59">
        <v>118</v>
      </c>
      <c r="AB146" s="59">
        <v>175</v>
      </c>
      <c r="AC146" s="59">
        <f>VLOOKUP($A146,'[1]Flu Deaths Updated'!$A$2:$N$460,14,FALSE)</f>
        <v>60</v>
      </c>
      <c r="AD146" s="60">
        <f t="shared" si="2"/>
        <v>893</v>
      </c>
      <c r="AE146" s="66">
        <f>Integrated[[#This Row],[Flu Deaths &lt;5 years old]]/Integrated[[#This Row],[Population &lt;5 years]]</f>
        <v>1.2562156503533107E-3</v>
      </c>
      <c r="AF146" s="67">
        <f>Integrated[[#This Row],[Flu Deaths 5 to 14 years]]/Integrated[[#This Row],[Population 5 to 14 years]]</f>
        <v>3.055627702320749E-4</v>
      </c>
      <c r="AG146" s="67">
        <f>Integrated[[#This Row],[Flu Deaths 15 to 24 years]]/Integrated[[#This Row],[Population 15 to 24 years]]</f>
        <v>2.7423431493982844E-4</v>
      </c>
      <c r="AH146" s="67">
        <f>Integrated[[#This Row],[Flu Deaths 25 to 34 years]]/Integrated[[#This Row],[Population 25 to 34 years]]</f>
        <v>2.9945798105429172E-4</v>
      </c>
      <c r="AI146" s="67">
        <f>Integrated[[#This Row],[Flu Deaths 35 to 44 years]]/Integrated[[#This Row],[Population 35 to 44 years]]</f>
        <v>2.8068337044591233E-4</v>
      </c>
      <c r="AJ146" s="67">
        <f>Integrated[[#This Row],[Flu Deaths 45 to 54 years]]/Integrated[[#This Row],[Population 45 to 54 years]]</f>
        <v>2.4629834118067214E-4</v>
      </c>
      <c r="AK146" s="67">
        <f>Integrated[[#This Row],[Flu Deaths 55 to 64 years]]/Integrated[[#This Row],[Population 55 to 64 years]]</f>
        <v>2.5902150310178252E-4</v>
      </c>
      <c r="AL146" s="67">
        <f>Integrated[[#This Row],[Flu Deaths 65 to 74 years]]/Integrated[[#This Row],[Population 65 to 74 years]]</f>
        <v>4.1110532518431225E-4</v>
      </c>
      <c r="AM146" s="67">
        <f>Integrated[[#This Row],[Flu Deaths 75 to 84 years]]/Integrated[[#This Row],[Population 75 to 84 years]]</f>
        <v>1.3661676681370335E-3</v>
      </c>
      <c r="AN146" s="67">
        <f>Integrated[[#This Row],[Flu Deaths 85+ years]]/Integrated[[#This Row],[Population 85+ years]]</f>
        <v>5.3656293116664108E-3</v>
      </c>
      <c r="AO146" s="68">
        <f>Integrated[[#This Row],[Total Flu Deaths]]/Integrated[[#This Row],[Total population]]</f>
        <v>5.3637499399356112E-4</v>
      </c>
    </row>
    <row r="147" spans="1:41" x14ac:dyDescent="0.3">
      <c r="A147" s="44" t="s">
        <v>235</v>
      </c>
      <c r="B147" t="s">
        <v>222</v>
      </c>
      <c r="C147" s="45">
        <v>2015</v>
      </c>
      <c r="D147" s="51">
        <v>2786183</v>
      </c>
      <c r="E147" s="2">
        <v>1399888</v>
      </c>
      <c r="F147" s="2">
        <v>1386295</v>
      </c>
      <c r="G147" s="78">
        <f>Integrated[[#This Row],[Female Total population]]/Integrated[[#This Row],[Total population]]</f>
        <v>0.49756064120698462</v>
      </c>
      <c r="H147" s="2">
        <v>179684</v>
      </c>
      <c r="I147" s="2">
        <v>370989</v>
      </c>
      <c r="J147" s="2">
        <v>361425</v>
      </c>
      <c r="K147" s="2">
        <v>398197</v>
      </c>
      <c r="L147" s="2">
        <v>381316</v>
      </c>
      <c r="M147" s="2">
        <v>378834</v>
      </c>
      <c r="N147" s="2">
        <v>335600</v>
      </c>
      <c r="O147" s="2">
        <v>233463</v>
      </c>
      <c r="P147" s="2">
        <v>107107</v>
      </c>
      <c r="Q147" s="52">
        <v>36239</v>
      </c>
      <c r="R147" s="127">
        <f>Integrated[[#This Row],[Population 85+ years]]/Integrated[[#This Row],[Total population]]</f>
        <v>1.3006683337024165E-2</v>
      </c>
      <c r="S147" s="58">
        <v>120</v>
      </c>
      <c r="T147" s="59">
        <v>60</v>
      </c>
      <c r="U147" s="59">
        <v>60</v>
      </c>
      <c r="V147" s="59">
        <v>60</v>
      </c>
      <c r="W147" s="59">
        <v>60</v>
      </c>
      <c r="X147" s="59">
        <v>60</v>
      </c>
      <c r="Y147" s="59">
        <v>77</v>
      </c>
      <c r="Z147" s="59">
        <v>125</v>
      </c>
      <c r="AA147" s="59">
        <v>167</v>
      </c>
      <c r="AB147" s="59">
        <v>175</v>
      </c>
      <c r="AC147" s="59">
        <f>VLOOKUP($A147,'[1]Flu Deaths Updated'!$A$2:$N$460,14,FALSE)</f>
        <v>60</v>
      </c>
      <c r="AD147" s="60">
        <f t="shared" si="2"/>
        <v>1024</v>
      </c>
      <c r="AE147" s="66">
        <f>Integrated[[#This Row],[Flu Deaths &lt;5 years old]]/Integrated[[#This Row],[Population &lt;5 years]]</f>
        <v>6.6783909530063895E-4</v>
      </c>
      <c r="AF147" s="67">
        <f>Integrated[[#This Row],[Flu Deaths 5 to 14 years]]/Integrated[[#This Row],[Population 5 to 14 years]]</f>
        <v>1.6172986261048171E-4</v>
      </c>
      <c r="AG147" s="67">
        <f>Integrated[[#This Row],[Flu Deaths 15 to 24 years]]/Integrated[[#This Row],[Population 15 to 24 years]]</f>
        <v>1.6600954554886905E-4</v>
      </c>
      <c r="AH147" s="67">
        <f>Integrated[[#This Row],[Flu Deaths 25 to 34 years]]/Integrated[[#This Row],[Population 25 to 34 years]]</f>
        <v>1.5067918643284605E-4</v>
      </c>
      <c r="AI147" s="67">
        <f>Integrated[[#This Row],[Flu Deaths 35 to 44 years]]/Integrated[[#This Row],[Population 35 to 44 years]]</f>
        <v>1.5734980960673038E-4</v>
      </c>
      <c r="AJ147" s="67">
        <f>Integrated[[#This Row],[Flu Deaths 45 to 54 years]]/Integrated[[#This Row],[Population 45 to 54 years]]</f>
        <v>1.5838071556407293E-4</v>
      </c>
      <c r="AK147" s="67">
        <f>Integrated[[#This Row],[Flu Deaths 55 to 64 years]]/Integrated[[#This Row],[Population 55 to 64 years]]</f>
        <v>2.2943980929678189E-4</v>
      </c>
      <c r="AL147" s="67">
        <f>Integrated[[#This Row],[Flu Deaths 65 to 74 years]]/Integrated[[#This Row],[Population 65 to 74 years]]</f>
        <v>5.3541674697917875E-4</v>
      </c>
      <c r="AM147" s="67">
        <f>Integrated[[#This Row],[Flu Deaths 75 to 84 years]]/Integrated[[#This Row],[Population 75 to 84 years]]</f>
        <v>1.5591884750763255E-3</v>
      </c>
      <c r="AN147" s="67">
        <f>Integrated[[#This Row],[Flu Deaths 85+ years]]/Integrated[[#This Row],[Population 85+ years]]</f>
        <v>4.8290515742708132E-3</v>
      </c>
      <c r="AO147" s="68">
        <f>Integrated[[#This Row],[Total Flu Deaths]]/Integrated[[#This Row],[Total population]]</f>
        <v>3.6752790466383579E-4</v>
      </c>
    </row>
    <row r="148" spans="1:41" x14ac:dyDescent="0.3">
      <c r="A148" s="44" t="s">
        <v>269</v>
      </c>
      <c r="B148" t="s">
        <v>270</v>
      </c>
      <c r="C148" s="45">
        <v>2013</v>
      </c>
      <c r="D148" s="51">
        <v>2753090</v>
      </c>
      <c r="E148" s="2">
        <v>1384457</v>
      </c>
      <c r="F148" s="2">
        <v>1368634</v>
      </c>
      <c r="G148" s="78">
        <f>Integrated[[#This Row],[Female Total population]]/Integrated[[#This Row],[Total population]]</f>
        <v>0.49712650149468418</v>
      </c>
      <c r="H148" s="2">
        <v>250655</v>
      </c>
      <c r="I148" s="2">
        <v>472336</v>
      </c>
      <c r="J148" s="2">
        <v>439406</v>
      </c>
      <c r="K148" s="2">
        <v>432878</v>
      </c>
      <c r="L148" s="2">
        <v>342315</v>
      </c>
      <c r="M148" s="2">
        <v>302615</v>
      </c>
      <c r="N148" s="2">
        <v>249831</v>
      </c>
      <c r="O148" s="2">
        <v>147312</v>
      </c>
      <c r="P148" s="2">
        <v>84035</v>
      </c>
      <c r="Q148" s="52">
        <v>32037</v>
      </c>
      <c r="R148" s="127">
        <f>Integrated[[#This Row],[Population 85+ years]]/Integrated[[#This Row],[Total population]]</f>
        <v>1.1636742714549833E-2</v>
      </c>
      <c r="S148" s="58">
        <v>120</v>
      </c>
      <c r="T148" s="59">
        <v>60</v>
      </c>
      <c r="U148" s="59">
        <v>60</v>
      </c>
      <c r="V148" s="59">
        <v>60</v>
      </c>
      <c r="W148" s="59">
        <v>60</v>
      </c>
      <c r="X148" s="59">
        <v>60</v>
      </c>
      <c r="Y148" s="59">
        <v>60</v>
      </c>
      <c r="Z148" s="59">
        <v>60</v>
      </c>
      <c r="AA148" s="59">
        <v>108</v>
      </c>
      <c r="AB148" s="59">
        <v>177</v>
      </c>
      <c r="AC148" s="59">
        <f>VLOOKUP($A148,'[1]Flu Deaths Updated'!$A$2:$N$460,14,FALSE)</f>
        <v>60</v>
      </c>
      <c r="AD148" s="60">
        <f t="shared" si="2"/>
        <v>885</v>
      </c>
      <c r="AE148" s="66">
        <f>Integrated[[#This Row],[Flu Deaths &lt;5 years old]]/Integrated[[#This Row],[Population &lt;5 years]]</f>
        <v>4.7874568630188906E-4</v>
      </c>
      <c r="AF148" s="67">
        <f>Integrated[[#This Row],[Flu Deaths 5 to 14 years]]/Integrated[[#This Row],[Population 5 to 14 years]]</f>
        <v>1.2702821720131431E-4</v>
      </c>
      <c r="AG148" s="67">
        <f>Integrated[[#This Row],[Flu Deaths 15 to 24 years]]/Integrated[[#This Row],[Population 15 to 24 years]]</f>
        <v>1.3654797613141378E-4</v>
      </c>
      <c r="AH148" s="67">
        <f>Integrated[[#This Row],[Flu Deaths 25 to 34 years]]/Integrated[[#This Row],[Population 25 to 34 years]]</f>
        <v>1.3860718262420358E-4</v>
      </c>
      <c r="AI148" s="67">
        <f>Integrated[[#This Row],[Flu Deaths 35 to 44 years]]/Integrated[[#This Row],[Population 35 to 44 years]]</f>
        <v>1.7527715700451339E-4</v>
      </c>
      <c r="AJ148" s="67">
        <f>Integrated[[#This Row],[Flu Deaths 45 to 54 years]]/Integrated[[#This Row],[Population 45 to 54 years]]</f>
        <v>1.9827173140789451E-4</v>
      </c>
      <c r="AK148" s="67">
        <f>Integrated[[#This Row],[Flu Deaths 55 to 64 years]]/Integrated[[#This Row],[Population 55 to 64 years]]</f>
        <v>2.4016234974842993E-4</v>
      </c>
      <c r="AL148" s="67">
        <f>Integrated[[#This Row],[Flu Deaths 65 to 74 years]]/Integrated[[#This Row],[Population 65 to 74 years]]</f>
        <v>4.0729879439556859E-4</v>
      </c>
      <c r="AM148" s="67">
        <f>Integrated[[#This Row],[Flu Deaths 75 to 84 years]]/Integrated[[#This Row],[Population 75 to 84 years]]</f>
        <v>1.28517879454989E-3</v>
      </c>
      <c r="AN148" s="67">
        <f>Integrated[[#This Row],[Flu Deaths 85+ years]]/Integrated[[#This Row],[Population 85+ years]]</f>
        <v>5.5248618784530384E-3</v>
      </c>
      <c r="AO148" s="68">
        <f>Integrated[[#This Row],[Total Flu Deaths]]/Integrated[[#This Row],[Total population]]</f>
        <v>3.2145698106491254E-4</v>
      </c>
    </row>
    <row r="149" spans="1:41" x14ac:dyDescent="0.3">
      <c r="A149" s="44" t="s">
        <v>188</v>
      </c>
      <c r="B149" t="s">
        <v>168</v>
      </c>
      <c r="C149" s="45">
        <v>2016</v>
      </c>
      <c r="D149" s="51">
        <v>1795084</v>
      </c>
      <c r="E149" s="2">
        <v>895157</v>
      </c>
      <c r="F149" s="2">
        <v>899936</v>
      </c>
      <c r="G149" s="78">
        <f>Integrated[[#This Row],[Female Total population]]/Integrated[[#This Row],[Total population]]</f>
        <v>0.50133364232537303</v>
      </c>
      <c r="H149" s="2">
        <v>125016</v>
      </c>
      <c r="I149" s="2">
        <v>250725</v>
      </c>
      <c r="J149" s="2">
        <v>253147</v>
      </c>
      <c r="K149" s="2">
        <v>245077</v>
      </c>
      <c r="L149" s="2">
        <v>218293</v>
      </c>
      <c r="M149" s="2">
        <v>227787</v>
      </c>
      <c r="N149" s="2">
        <v>221694</v>
      </c>
      <c r="O149" s="2">
        <v>139100</v>
      </c>
      <c r="P149" s="2">
        <v>78054</v>
      </c>
      <c r="Q149" s="52">
        <v>37024</v>
      </c>
      <c r="R149" s="127">
        <f>Integrated[[#This Row],[Population 85+ years]]/Integrated[[#This Row],[Total population]]</f>
        <v>2.0625218652720431E-2</v>
      </c>
      <c r="S149" s="58">
        <v>120</v>
      </c>
      <c r="T149" s="59">
        <v>60</v>
      </c>
      <c r="U149" s="59">
        <v>60</v>
      </c>
      <c r="V149" s="59">
        <v>60</v>
      </c>
      <c r="W149" s="59">
        <v>60</v>
      </c>
      <c r="X149" s="59">
        <v>60</v>
      </c>
      <c r="Y149" s="59">
        <v>60</v>
      </c>
      <c r="Z149" s="59">
        <v>60</v>
      </c>
      <c r="AA149" s="59">
        <v>69</v>
      </c>
      <c r="AB149" s="59">
        <v>178</v>
      </c>
      <c r="AC149" s="59">
        <f>VLOOKUP($A149,'[1]Flu Deaths Updated'!$A$2:$N$460,14,FALSE)</f>
        <v>60</v>
      </c>
      <c r="AD149" s="60">
        <f t="shared" si="2"/>
        <v>847</v>
      </c>
      <c r="AE149" s="66">
        <f>Integrated[[#This Row],[Flu Deaths &lt;5 years old]]/Integrated[[#This Row],[Population &lt;5 years]]</f>
        <v>9.5987713572662703E-4</v>
      </c>
      <c r="AF149" s="67">
        <f>Integrated[[#This Row],[Flu Deaths 5 to 14 years]]/Integrated[[#This Row],[Population 5 to 14 years]]</f>
        <v>2.3930601256356567E-4</v>
      </c>
      <c r="AG149" s="67">
        <f>Integrated[[#This Row],[Flu Deaths 15 to 24 years]]/Integrated[[#This Row],[Population 15 to 24 years]]</f>
        <v>2.3701643708991219E-4</v>
      </c>
      <c r="AH149" s="67">
        <f>Integrated[[#This Row],[Flu Deaths 25 to 34 years]]/Integrated[[#This Row],[Population 25 to 34 years]]</f>
        <v>2.44821015435965E-4</v>
      </c>
      <c r="AI149" s="67">
        <f>Integrated[[#This Row],[Flu Deaths 35 to 44 years]]/Integrated[[#This Row],[Population 35 to 44 years]]</f>
        <v>2.7485993595763493E-4</v>
      </c>
      <c r="AJ149" s="67">
        <f>Integrated[[#This Row],[Flu Deaths 45 to 54 years]]/Integrated[[#This Row],[Population 45 to 54 years]]</f>
        <v>2.6340396949782035E-4</v>
      </c>
      <c r="AK149" s="67">
        <f>Integrated[[#This Row],[Flu Deaths 55 to 64 years]]/Integrated[[#This Row],[Population 55 to 64 years]]</f>
        <v>2.7064331916966627E-4</v>
      </c>
      <c r="AL149" s="67">
        <f>Integrated[[#This Row],[Flu Deaths 65 to 74 years]]/Integrated[[#This Row],[Population 65 to 74 years]]</f>
        <v>4.3134435657800146E-4</v>
      </c>
      <c r="AM149" s="67">
        <f>Integrated[[#This Row],[Flu Deaths 75 to 84 years]]/Integrated[[#This Row],[Population 75 to 84 years]]</f>
        <v>8.8400338227381044E-4</v>
      </c>
      <c r="AN149" s="67">
        <f>Integrated[[#This Row],[Flu Deaths 85+ years]]/Integrated[[#This Row],[Population 85+ years]]</f>
        <v>4.807692307692308E-3</v>
      </c>
      <c r="AO149" s="68">
        <f>Integrated[[#This Row],[Total Flu Deaths]]/Integrated[[#This Row],[Total population]]</f>
        <v>4.71844214532579E-4</v>
      </c>
    </row>
    <row r="150" spans="1:41" x14ac:dyDescent="0.3">
      <c r="A150" s="44" t="s">
        <v>163</v>
      </c>
      <c r="B150" t="s">
        <v>144</v>
      </c>
      <c r="C150" s="45">
        <v>2014</v>
      </c>
      <c r="D150" s="51">
        <v>1647510</v>
      </c>
      <c r="E150" s="2">
        <v>812969</v>
      </c>
      <c r="F150" s="2">
        <v>834543</v>
      </c>
      <c r="G150" s="78">
        <f>Integrated[[#This Row],[Female Total population]]/Integrated[[#This Row],[Total population]]</f>
        <v>0.50654806344119307</v>
      </c>
      <c r="H150" s="2">
        <v>92751</v>
      </c>
      <c r="I150" s="2">
        <v>190974</v>
      </c>
      <c r="J150" s="2">
        <v>213735</v>
      </c>
      <c r="K150" s="2">
        <v>197165</v>
      </c>
      <c r="L150" s="2">
        <v>205537</v>
      </c>
      <c r="M150" s="2">
        <v>231760</v>
      </c>
      <c r="N150" s="2">
        <v>239589</v>
      </c>
      <c r="O150" s="2">
        <v>154973</v>
      </c>
      <c r="P150" s="2">
        <v>87157</v>
      </c>
      <c r="Q150" s="52">
        <v>33856</v>
      </c>
      <c r="R150" s="127">
        <f>Integrated[[#This Row],[Population 85+ years]]/Integrated[[#This Row],[Total population]]</f>
        <v>2.0549799394237366E-2</v>
      </c>
      <c r="S150" s="58">
        <v>120</v>
      </c>
      <c r="T150" s="59">
        <v>60</v>
      </c>
      <c r="U150" s="59">
        <v>60</v>
      </c>
      <c r="V150" s="59">
        <v>60</v>
      </c>
      <c r="W150" s="59">
        <v>60</v>
      </c>
      <c r="X150" s="59">
        <v>60</v>
      </c>
      <c r="Y150" s="59">
        <v>73</v>
      </c>
      <c r="Z150" s="59">
        <v>77</v>
      </c>
      <c r="AA150" s="59">
        <v>92</v>
      </c>
      <c r="AB150" s="59">
        <v>184</v>
      </c>
      <c r="AC150" s="59">
        <f>VLOOKUP($A150,'[1]Flu Deaths Updated'!$A$2:$N$460,14,FALSE)</f>
        <v>60</v>
      </c>
      <c r="AD150" s="60">
        <f t="shared" si="2"/>
        <v>906</v>
      </c>
      <c r="AE150" s="66">
        <f>Integrated[[#This Row],[Flu Deaths &lt;5 years old]]/Integrated[[#This Row],[Population &lt;5 years]]</f>
        <v>1.2937865899019956E-3</v>
      </c>
      <c r="AF150" s="67">
        <f>Integrated[[#This Row],[Flu Deaths 5 to 14 years]]/Integrated[[#This Row],[Population 5 to 14 years]]</f>
        <v>3.1417889346193722E-4</v>
      </c>
      <c r="AG150" s="67">
        <f>Integrated[[#This Row],[Flu Deaths 15 to 24 years]]/Integrated[[#This Row],[Population 15 to 24 years]]</f>
        <v>2.8072145413713241E-4</v>
      </c>
      <c r="AH150" s="67">
        <f>Integrated[[#This Row],[Flu Deaths 25 to 34 years]]/Integrated[[#This Row],[Population 25 to 34 years]]</f>
        <v>3.0431364593107296E-4</v>
      </c>
      <c r="AI150" s="67">
        <f>Integrated[[#This Row],[Flu Deaths 35 to 44 years]]/Integrated[[#This Row],[Population 35 to 44 years]]</f>
        <v>2.9191824343062321E-4</v>
      </c>
      <c r="AJ150" s="67">
        <f>Integrated[[#This Row],[Flu Deaths 45 to 54 years]]/Integrated[[#This Row],[Population 45 to 54 years]]</f>
        <v>2.5888850535036245E-4</v>
      </c>
      <c r="AK150" s="67">
        <f>Integrated[[#This Row],[Flu Deaths 55 to 64 years]]/Integrated[[#This Row],[Population 55 to 64 years]]</f>
        <v>3.0468844562980769E-4</v>
      </c>
      <c r="AL150" s="67">
        <f>Integrated[[#This Row],[Flu Deaths 65 to 74 years]]/Integrated[[#This Row],[Population 65 to 74 years]]</f>
        <v>4.9686074348434886E-4</v>
      </c>
      <c r="AM150" s="67">
        <f>Integrated[[#This Row],[Flu Deaths 75 to 84 years]]/Integrated[[#This Row],[Population 75 to 84 years]]</f>
        <v>1.0555663916839726E-3</v>
      </c>
      <c r="AN150" s="67">
        <f>Integrated[[#This Row],[Flu Deaths 85+ years]]/Integrated[[#This Row],[Population 85+ years]]</f>
        <v>5.434782608695652E-3</v>
      </c>
      <c r="AO150" s="68">
        <f>Integrated[[#This Row],[Total Flu Deaths]]/Integrated[[#This Row],[Total population]]</f>
        <v>5.4992078955514681E-4</v>
      </c>
    </row>
    <row r="151" spans="1:41" x14ac:dyDescent="0.3">
      <c r="A151" s="44" t="s">
        <v>394</v>
      </c>
      <c r="B151" t="s">
        <v>353</v>
      </c>
      <c r="C151" s="45">
        <v>2014</v>
      </c>
      <c r="D151" s="51">
        <v>3795375</v>
      </c>
      <c r="E151" s="2">
        <v>1876621</v>
      </c>
      <c r="F151" s="2">
        <v>1918757</v>
      </c>
      <c r="G151" s="78">
        <f>Integrated[[#This Row],[Female Total population]]/Integrated[[#This Row],[Total population]]</f>
        <v>0.50555136185488914</v>
      </c>
      <c r="H151" s="2">
        <v>226376</v>
      </c>
      <c r="I151" s="2">
        <v>469929</v>
      </c>
      <c r="J151" s="2">
        <v>499447</v>
      </c>
      <c r="K151" s="2">
        <v>522430</v>
      </c>
      <c r="L151" s="2">
        <v>498703</v>
      </c>
      <c r="M151" s="2">
        <v>510470</v>
      </c>
      <c r="N151" s="2">
        <v>510690</v>
      </c>
      <c r="O151" s="2">
        <v>317072</v>
      </c>
      <c r="P151" s="2">
        <v>163073</v>
      </c>
      <c r="Q151" s="52">
        <v>76936</v>
      </c>
      <c r="R151" s="127">
        <f>Integrated[[#This Row],[Population 85+ years]]/Integrated[[#This Row],[Total population]]</f>
        <v>2.0270987715311398E-2</v>
      </c>
      <c r="S151" s="58">
        <v>120</v>
      </c>
      <c r="T151" s="59">
        <v>60</v>
      </c>
      <c r="U151" s="59">
        <v>60</v>
      </c>
      <c r="V151" s="59">
        <v>60</v>
      </c>
      <c r="W151" s="59">
        <v>66</v>
      </c>
      <c r="X151" s="59">
        <v>60</v>
      </c>
      <c r="Y151" s="59">
        <v>77</v>
      </c>
      <c r="Z151" s="59">
        <v>77</v>
      </c>
      <c r="AA151" s="59">
        <v>82</v>
      </c>
      <c r="AB151" s="59">
        <v>186</v>
      </c>
      <c r="AC151" s="59">
        <f>VLOOKUP($A151,'[1]Flu Deaths Updated'!$A$2:$N$460,14,FALSE)</f>
        <v>60</v>
      </c>
      <c r="AD151" s="60">
        <f t="shared" si="2"/>
        <v>908</v>
      </c>
      <c r="AE151" s="66">
        <f>Integrated[[#This Row],[Flu Deaths &lt;5 years old]]/Integrated[[#This Row],[Population &lt;5 years]]</f>
        <v>5.3009152913736435E-4</v>
      </c>
      <c r="AF151" s="67">
        <f>Integrated[[#This Row],[Flu Deaths 5 to 14 years]]/Integrated[[#This Row],[Population 5 to 14 years]]</f>
        <v>1.2767886212598073E-4</v>
      </c>
      <c r="AG151" s="67">
        <f>Integrated[[#This Row],[Flu Deaths 15 to 24 years]]/Integrated[[#This Row],[Population 15 to 24 years]]</f>
        <v>1.2013286695084764E-4</v>
      </c>
      <c r="AH151" s="67">
        <f>Integrated[[#This Row],[Flu Deaths 25 to 34 years]]/Integrated[[#This Row],[Population 25 to 34 years]]</f>
        <v>1.1484792220967403E-4</v>
      </c>
      <c r="AI151" s="67">
        <f>Integrated[[#This Row],[Flu Deaths 35 to 44 years]]/Integrated[[#This Row],[Population 35 to 44 years]]</f>
        <v>1.2031208956031947E-4</v>
      </c>
      <c r="AJ151" s="67">
        <f>Integrated[[#This Row],[Flu Deaths 45 to 54 years]]/Integrated[[#This Row],[Population 45 to 54 years]]</f>
        <v>1.2929261269026583E-4</v>
      </c>
      <c r="AK151" s="67">
        <f>Integrated[[#This Row],[Flu Deaths 55 to 64 years]]/Integrated[[#This Row],[Population 55 to 64 years]]</f>
        <v>1.5077640055611037E-4</v>
      </c>
      <c r="AL151" s="67">
        <f>Integrated[[#This Row],[Flu Deaths 65 to 74 years]]/Integrated[[#This Row],[Population 65 to 74 years]]</f>
        <v>2.428470505121865E-4</v>
      </c>
      <c r="AM151" s="67">
        <f>Integrated[[#This Row],[Flu Deaths 75 to 84 years]]/Integrated[[#This Row],[Population 75 to 84 years]]</f>
        <v>5.0284228535686475E-4</v>
      </c>
      <c r="AN151" s="67">
        <f>Integrated[[#This Row],[Flu Deaths 85+ years]]/Integrated[[#This Row],[Population 85+ years]]</f>
        <v>2.4175938442341687E-3</v>
      </c>
      <c r="AO151" s="68">
        <f>Integrated[[#This Row],[Total Flu Deaths]]/Integrated[[#This Row],[Total population]]</f>
        <v>2.3923854691565392E-4</v>
      </c>
    </row>
    <row r="152" spans="1:41" x14ac:dyDescent="0.3">
      <c r="A152" s="44" t="s">
        <v>173</v>
      </c>
      <c r="B152" t="s">
        <v>144</v>
      </c>
      <c r="C152" s="45">
        <v>2010</v>
      </c>
      <c r="D152" s="51">
        <v>1772884</v>
      </c>
      <c r="E152" s="2">
        <v>871083</v>
      </c>
      <c r="F152" s="2">
        <v>901801</v>
      </c>
      <c r="G152" s="78">
        <f>Integrated[[#This Row],[Female Total population]]/Integrated[[#This Row],[Total population]]</f>
        <v>0.50866328535877137</v>
      </c>
      <c r="H152" s="2">
        <v>100489</v>
      </c>
      <c r="I152" s="2">
        <v>207883</v>
      </c>
      <c r="J152" s="2">
        <v>232237</v>
      </c>
      <c r="K152" s="2">
        <v>212343</v>
      </c>
      <c r="L152" s="2">
        <v>233460</v>
      </c>
      <c r="M152" s="2">
        <v>268577</v>
      </c>
      <c r="N152" s="2">
        <v>239022</v>
      </c>
      <c r="O152" s="2">
        <v>150116</v>
      </c>
      <c r="P152" s="2">
        <v>95338</v>
      </c>
      <c r="Q152" s="52">
        <v>34000</v>
      </c>
      <c r="R152" s="127">
        <f>Integrated[[#This Row],[Population 85+ years]]/Integrated[[#This Row],[Total population]]</f>
        <v>1.9177791666008605E-2</v>
      </c>
      <c r="S152" s="58">
        <v>120</v>
      </c>
      <c r="T152" s="59">
        <v>60</v>
      </c>
      <c r="U152" s="59">
        <v>60</v>
      </c>
      <c r="V152" s="59">
        <v>60</v>
      </c>
      <c r="W152" s="59">
        <v>60</v>
      </c>
      <c r="X152" s="59">
        <v>60</v>
      </c>
      <c r="Y152" s="59">
        <v>60</v>
      </c>
      <c r="Z152" s="59">
        <v>60</v>
      </c>
      <c r="AA152" s="59">
        <v>123</v>
      </c>
      <c r="AB152" s="59">
        <v>186</v>
      </c>
      <c r="AC152" s="59">
        <f>VLOOKUP($A152,'[1]Flu Deaths Updated'!$A$2:$N$460,14,FALSE)</f>
        <v>60</v>
      </c>
      <c r="AD152" s="60">
        <f t="shared" si="2"/>
        <v>909</v>
      </c>
      <c r="AE152" s="66">
        <f>Integrated[[#This Row],[Flu Deaths &lt;5 years old]]/Integrated[[#This Row],[Population &lt;5 years]]</f>
        <v>1.1941605548866044E-3</v>
      </c>
      <c r="AF152" s="67">
        <f>Integrated[[#This Row],[Flu Deaths 5 to 14 years]]/Integrated[[#This Row],[Population 5 to 14 years]]</f>
        <v>2.8862388939932557E-4</v>
      </c>
      <c r="AG152" s="67">
        <f>Integrated[[#This Row],[Flu Deaths 15 to 24 years]]/Integrated[[#This Row],[Population 15 to 24 years]]</f>
        <v>2.5835676485659045E-4</v>
      </c>
      <c r="AH152" s="67">
        <f>Integrated[[#This Row],[Flu Deaths 25 to 34 years]]/Integrated[[#This Row],[Population 25 to 34 years]]</f>
        <v>2.8256170441220101E-4</v>
      </c>
      <c r="AI152" s="67">
        <f>Integrated[[#This Row],[Flu Deaths 35 to 44 years]]/Integrated[[#This Row],[Population 35 to 44 years]]</f>
        <v>2.5700334104343357E-4</v>
      </c>
      <c r="AJ152" s="67">
        <f>Integrated[[#This Row],[Flu Deaths 45 to 54 years]]/Integrated[[#This Row],[Population 45 to 54 years]]</f>
        <v>2.2339962096530976E-4</v>
      </c>
      <c r="AK152" s="67">
        <f>Integrated[[#This Row],[Flu Deaths 55 to 64 years]]/Integrated[[#This Row],[Population 55 to 64 years]]</f>
        <v>2.5102291839244922E-4</v>
      </c>
      <c r="AL152" s="67">
        <f>Integrated[[#This Row],[Flu Deaths 65 to 74 years]]/Integrated[[#This Row],[Population 65 to 74 years]]</f>
        <v>3.9969090569959233E-4</v>
      </c>
      <c r="AM152" s="67">
        <f>Integrated[[#This Row],[Flu Deaths 75 to 84 years]]/Integrated[[#This Row],[Population 75 to 84 years]]</f>
        <v>1.2901466361786487E-3</v>
      </c>
      <c r="AN152" s="67">
        <f>Integrated[[#This Row],[Flu Deaths 85+ years]]/Integrated[[#This Row],[Population 85+ years]]</f>
        <v>5.4705882352941177E-3</v>
      </c>
      <c r="AO152" s="68">
        <f>Integrated[[#This Row],[Total Flu Deaths]]/Integrated[[#This Row],[Total population]]</f>
        <v>5.127239007177006E-4</v>
      </c>
    </row>
    <row r="153" spans="1:41" x14ac:dyDescent="0.3">
      <c r="A153" s="44" t="s">
        <v>141</v>
      </c>
      <c r="B153" t="s">
        <v>122</v>
      </c>
      <c r="C153" s="45">
        <v>2011</v>
      </c>
      <c r="D153" s="51">
        <v>1346554</v>
      </c>
      <c r="E153" s="2">
        <v>674569</v>
      </c>
      <c r="F153" s="2">
        <v>671985</v>
      </c>
      <c r="G153" s="78">
        <f>Integrated[[#This Row],[Female Total population]]/Integrated[[#This Row],[Total population]]</f>
        <v>0.4990405137855593</v>
      </c>
      <c r="H153" s="2">
        <v>87274</v>
      </c>
      <c r="I153" s="2">
        <v>163365</v>
      </c>
      <c r="J153" s="2">
        <v>181834</v>
      </c>
      <c r="K153" s="2">
        <v>183273</v>
      </c>
      <c r="L153" s="2">
        <v>177681</v>
      </c>
      <c r="M153" s="2">
        <v>192706</v>
      </c>
      <c r="N153" s="2">
        <v>170630</v>
      </c>
      <c r="O153" s="2">
        <v>97996</v>
      </c>
      <c r="P153" s="2">
        <v>65058</v>
      </c>
      <c r="Q153" s="52">
        <v>28780</v>
      </c>
      <c r="R153" s="127">
        <f>Integrated[[#This Row],[Population 85+ years]]/Integrated[[#This Row],[Total population]]</f>
        <v>2.1373075272139105E-2</v>
      </c>
      <c r="S153" s="58">
        <v>120</v>
      </c>
      <c r="T153" s="59">
        <v>60</v>
      </c>
      <c r="U153" s="59">
        <v>60</v>
      </c>
      <c r="V153" s="59">
        <v>60</v>
      </c>
      <c r="W153" s="59">
        <v>60</v>
      </c>
      <c r="X153" s="59">
        <v>60</v>
      </c>
      <c r="Y153" s="59">
        <v>60</v>
      </c>
      <c r="Z153" s="59">
        <v>60</v>
      </c>
      <c r="AA153" s="59">
        <v>66</v>
      </c>
      <c r="AB153" s="59">
        <v>187</v>
      </c>
      <c r="AC153" s="59">
        <f>VLOOKUP($A153,'[1]Flu Deaths Updated'!$A$2:$N$460,14,FALSE)</f>
        <v>60</v>
      </c>
      <c r="AD153" s="60">
        <f t="shared" si="2"/>
        <v>853</v>
      </c>
      <c r="AE153" s="66">
        <f>Integrated[[#This Row],[Flu Deaths &lt;5 years old]]/Integrated[[#This Row],[Population &lt;5 years]]</f>
        <v>1.3749799482090886E-3</v>
      </c>
      <c r="AF153" s="67">
        <f>Integrated[[#This Row],[Flu Deaths 5 to 14 years]]/Integrated[[#This Row],[Population 5 to 14 years]]</f>
        <v>3.6727573225599116E-4</v>
      </c>
      <c r="AG153" s="67">
        <f>Integrated[[#This Row],[Flu Deaths 15 to 24 years]]/Integrated[[#This Row],[Population 15 to 24 years]]</f>
        <v>3.2997129249755274E-4</v>
      </c>
      <c r="AH153" s="67">
        <f>Integrated[[#This Row],[Flu Deaths 25 to 34 years]]/Integrated[[#This Row],[Population 25 to 34 years]]</f>
        <v>3.2738046520764107E-4</v>
      </c>
      <c r="AI153" s="67">
        <f>Integrated[[#This Row],[Flu Deaths 35 to 44 years]]/Integrated[[#This Row],[Population 35 to 44 years]]</f>
        <v>3.3768382663312341E-4</v>
      </c>
      <c r="AJ153" s="67">
        <f>Integrated[[#This Row],[Flu Deaths 45 to 54 years]]/Integrated[[#This Row],[Population 45 to 54 years]]</f>
        <v>3.1135512127281972E-4</v>
      </c>
      <c r="AK153" s="67">
        <f>Integrated[[#This Row],[Flu Deaths 55 to 64 years]]/Integrated[[#This Row],[Population 55 to 64 years]]</f>
        <v>3.51638047236711E-4</v>
      </c>
      <c r="AL153" s="67">
        <f>Integrated[[#This Row],[Flu Deaths 65 to 74 years]]/Integrated[[#This Row],[Population 65 to 74 years]]</f>
        <v>6.1226988856688026E-4</v>
      </c>
      <c r="AM153" s="67">
        <f>Integrated[[#This Row],[Flu Deaths 75 to 84 years]]/Integrated[[#This Row],[Population 75 to 84 years]]</f>
        <v>1.0144793876233514E-3</v>
      </c>
      <c r="AN153" s="67">
        <f>Integrated[[#This Row],[Flu Deaths 85+ years]]/Integrated[[#This Row],[Population 85+ years]]</f>
        <v>6.4975677553856847E-3</v>
      </c>
      <c r="AO153" s="68">
        <f>Integrated[[#This Row],[Total Flu Deaths]]/Integrated[[#This Row],[Total population]]</f>
        <v>6.3346883971975877E-4</v>
      </c>
    </row>
    <row r="154" spans="1:41" x14ac:dyDescent="0.3">
      <c r="A154" s="44" t="s">
        <v>401</v>
      </c>
      <c r="B154" t="s">
        <v>353</v>
      </c>
      <c r="C154" s="45">
        <v>2012</v>
      </c>
      <c r="D154" s="51">
        <v>3683908</v>
      </c>
      <c r="E154" s="2">
        <v>1824112</v>
      </c>
      <c r="F154" s="2">
        <v>1859797</v>
      </c>
      <c r="G154" s="78">
        <f>Integrated[[#This Row],[Female Total population]]/Integrated[[#This Row],[Total population]]</f>
        <v>0.50484349772035564</v>
      </c>
      <c r="H154" s="2">
        <v>228222</v>
      </c>
      <c r="I154" s="2">
        <v>464675</v>
      </c>
      <c r="J154" s="2">
        <v>493076</v>
      </c>
      <c r="K154" s="2">
        <v>511845</v>
      </c>
      <c r="L154" s="2">
        <v>488541</v>
      </c>
      <c r="M154" s="2">
        <v>514447</v>
      </c>
      <c r="N154" s="2">
        <v>481347</v>
      </c>
      <c r="O154" s="2">
        <v>273873</v>
      </c>
      <c r="P154" s="2">
        <v>155151</v>
      </c>
      <c r="Q154" s="52">
        <v>71959</v>
      </c>
      <c r="R154" s="127">
        <f>Integrated[[#This Row],[Population 85+ years]]/Integrated[[#This Row],[Total population]]</f>
        <v>1.9533332537077473E-2</v>
      </c>
      <c r="S154" s="58">
        <v>120</v>
      </c>
      <c r="T154" s="59">
        <v>60</v>
      </c>
      <c r="U154" s="59">
        <v>60</v>
      </c>
      <c r="V154" s="59">
        <v>60</v>
      </c>
      <c r="W154" s="59">
        <v>60</v>
      </c>
      <c r="X154" s="59">
        <v>60</v>
      </c>
      <c r="Y154" s="59">
        <v>60</v>
      </c>
      <c r="Z154" s="59">
        <v>60</v>
      </c>
      <c r="AA154" s="59">
        <v>77</v>
      </c>
      <c r="AB154" s="59">
        <v>193</v>
      </c>
      <c r="AC154" s="59">
        <f>VLOOKUP($A154,'[1]Flu Deaths Updated'!$A$2:$N$460,14,FALSE)</f>
        <v>60</v>
      </c>
      <c r="AD154" s="60">
        <f t="shared" si="2"/>
        <v>870</v>
      </c>
      <c r="AE154" s="66">
        <f>Integrated[[#This Row],[Flu Deaths &lt;5 years old]]/Integrated[[#This Row],[Population &lt;5 years]]</f>
        <v>5.2580382259379021E-4</v>
      </c>
      <c r="AF154" s="67">
        <f>Integrated[[#This Row],[Flu Deaths 5 to 14 years]]/Integrated[[#This Row],[Population 5 to 14 years]]</f>
        <v>1.2912250497659655E-4</v>
      </c>
      <c r="AG154" s="67">
        <f>Integrated[[#This Row],[Flu Deaths 15 to 24 years]]/Integrated[[#This Row],[Population 15 to 24 years]]</f>
        <v>1.2168509519830615E-4</v>
      </c>
      <c r="AH154" s="67">
        <f>Integrated[[#This Row],[Flu Deaths 25 to 34 years]]/Integrated[[#This Row],[Population 25 to 34 years]]</f>
        <v>1.172229874278346E-4</v>
      </c>
      <c r="AI154" s="67">
        <f>Integrated[[#This Row],[Flu Deaths 35 to 44 years]]/Integrated[[#This Row],[Population 35 to 44 years]]</f>
        <v>1.2281466652747672E-4</v>
      </c>
      <c r="AJ154" s="67">
        <f>Integrated[[#This Row],[Flu Deaths 45 to 54 years]]/Integrated[[#This Row],[Population 45 to 54 years]]</f>
        <v>1.1663009017449805E-4</v>
      </c>
      <c r="AK154" s="67">
        <f>Integrated[[#This Row],[Flu Deaths 55 to 64 years]]/Integrated[[#This Row],[Population 55 to 64 years]]</f>
        <v>1.2465020037519711E-4</v>
      </c>
      <c r="AL154" s="67">
        <f>Integrated[[#This Row],[Flu Deaths 65 to 74 years]]/Integrated[[#This Row],[Population 65 to 74 years]]</f>
        <v>2.1907964640545071E-4</v>
      </c>
      <c r="AM154" s="67">
        <f>Integrated[[#This Row],[Flu Deaths 75 to 84 years]]/Integrated[[#This Row],[Population 75 to 84 years]]</f>
        <v>4.9629071034024922E-4</v>
      </c>
      <c r="AN154" s="67">
        <f>Integrated[[#This Row],[Flu Deaths 85+ years]]/Integrated[[#This Row],[Population 85+ years]]</f>
        <v>2.6820828527355854E-3</v>
      </c>
      <c r="AO154" s="68">
        <f>Integrated[[#This Row],[Total Flu Deaths]]/Integrated[[#This Row],[Total population]]</f>
        <v>2.3616224943728237E-4</v>
      </c>
    </row>
    <row r="155" spans="1:41" x14ac:dyDescent="0.3">
      <c r="A155" s="44" t="s">
        <v>184</v>
      </c>
      <c r="B155" t="s">
        <v>168</v>
      </c>
      <c r="C155" s="45">
        <v>2011</v>
      </c>
      <c r="D155" s="51">
        <v>1738913</v>
      </c>
      <c r="E155" s="2">
        <v>861857</v>
      </c>
      <c r="F155" s="2">
        <v>877059</v>
      </c>
      <c r="G155" s="78">
        <f>Integrated[[#This Row],[Female Total population]]/Integrated[[#This Row],[Total population]]</f>
        <v>0.50437198410731299</v>
      </c>
      <c r="H155" s="2">
        <v>125117</v>
      </c>
      <c r="I155" s="2">
        <v>237999</v>
      </c>
      <c r="J155" s="2">
        <v>250600</v>
      </c>
      <c r="K155" s="2">
        <v>232140</v>
      </c>
      <c r="L155" s="2">
        <v>217379</v>
      </c>
      <c r="M155" s="2">
        <v>248033</v>
      </c>
      <c r="N155" s="2">
        <v>198888</v>
      </c>
      <c r="O155" s="2">
        <v>115133</v>
      </c>
      <c r="P155" s="2">
        <v>80316</v>
      </c>
      <c r="Q155" s="52">
        <v>35785</v>
      </c>
      <c r="R155" s="127">
        <f>Integrated[[#This Row],[Population 85+ years]]/Integrated[[#This Row],[Total population]]</f>
        <v>2.0578947882959067E-2</v>
      </c>
      <c r="S155" s="58">
        <v>120</v>
      </c>
      <c r="T155" s="59">
        <v>60</v>
      </c>
      <c r="U155" s="59">
        <v>60</v>
      </c>
      <c r="V155" s="59">
        <v>60</v>
      </c>
      <c r="W155" s="59">
        <v>60</v>
      </c>
      <c r="X155" s="59">
        <v>60</v>
      </c>
      <c r="Y155" s="59">
        <v>60</v>
      </c>
      <c r="Z155" s="59">
        <v>60</v>
      </c>
      <c r="AA155" s="59">
        <v>60</v>
      </c>
      <c r="AB155" s="59">
        <v>194</v>
      </c>
      <c r="AC155" s="59">
        <f>VLOOKUP($A155,'[1]Flu Deaths Updated'!$A$2:$N$460,14,FALSE)</f>
        <v>60</v>
      </c>
      <c r="AD155" s="60">
        <f t="shared" si="2"/>
        <v>854</v>
      </c>
      <c r="AE155" s="66">
        <f>Integrated[[#This Row],[Flu Deaths &lt;5 years old]]/Integrated[[#This Row],[Population &lt;5 years]]</f>
        <v>9.5910228026567133E-4</v>
      </c>
      <c r="AF155" s="67">
        <f>Integrated[[#This Row],[Flu Deaths 5 to 14 years]]/Integrated[[#This Row],[Population 5 to 14 years]]</f>
        <v>2.5210189958781338E-4</v>
      </c>
      <c r="AG155" s="67">
        <f>Integrated[[#This Row],[Flu Deaths 15 to 24 years]]/Integrated[[#This Row],[Population 15 to 24 years]]</f>
        <v>2.3942537909018357E-4</v>
      </c>
      <c r="AH155" s="67">
        <f>Integrated[[#This Row],[Flu Deaths 25 to 34 years]]/Integrated[[#This Row],[Population 25 to 34 years]]</f>
        <v>2.5846471956577927E-4</v>
      </c>
      <c r="AI155" s="67">
        <f>Integrated[[#This Row],[Flu Deaths 35 to 44 years]]/Integrated[[#This Row],[Population 35 to 44 years]]</f>
        <v>2.7601562248423262E-4</v>
      </c>
      <c r="AJ155" s="67">
        <f>Integrated[[#This Row],[Flu Deaths 45 to 54 years]]/Integrated[[#This Row],[Population 45 to 54 years]]</f>
        <v>2.4190329512605176E-4</v>
      </c>
      <c r="AK155" s="67">
        <f>Integrated[[#This Row],[Flu Deaths 55 to 64 years]]/Integrated[[#This Row],[Population 55 to 64 years]]</f>
        <v>3.0167732593218291E-4</v>
      </c>
      <c r="AL155" s="67">
        <f>Integrated[[#This Row],[Flu Deaths 65 to 74 years]]/Integrated[[#This Row],[Population 65 to 74 years]]</f>
        <v>5.2113642483041353E-4</v>
      </c>
      <c r="AM155" s="67">
        <f>Integrated[[#This Row],[Flu Deaths 75 to 84 years]]/Integrated[[#This Row],[Population 75 to 84 years]]</f>
        <v>7.4704915583445391E-4</v>
      </c>
      <c r="AN155" s="67">
        <f>Integrated[[#This Row],[Flu Deaths 85+ years]]/Integrated[[#This Row],[Population 85+ years]]</f>
        <v>5.421265893530809E-3</v>
      </c>
      <c r="AO155" s="68">
        <f>Integrated[[#This Row],[Total Flu Deaths]]/Integrated[[#This Row],[Total population]]</f>
        <v>4.9111140120293537E-4</v>
      </c>
    </row>
    <row r="156" spans="1:41" x14ac:dyDescent="0.3">
      <c r="A156" s="44" t="s">
        <v>339</v>
      </c>
      <c r="B156" t="s">
        <v>243</v>
      </c>
      <c r="C156" s="45">
        <v>2016</v>
      </c>
      <c r="D156" s="51">
        <v>3556790</v>
      </c>
      <c r="E156" s="2">
        <v>1759183</v>
      </c>
      <c r="F156" s="2">
        <v>1797609</v>
      </c>
      <c r="G156" s="78">
        <f>Integrated[[#This Row],[Female Total population]]/Integrated[[#This Row],[Total population]]</f>
        <v>0.5054020619716092</v>
      </c>
      <c r="H156" s="2">
        <v>244171</v>
      </c>
      <c r="I156" s="2">
        <v>487401</v>
      </c>
      <c r="J156" s="2">
        <v>502873</v>
      </c>
      <c r="K156" s="2">
        <v>492946</v>
      </c>
      <c r="L156" s="2">
        <v>435960</v>
      </c>
      <c r="M156" s="2">
        <v>449159</v>
      </c>
      <c r="N156" s="2">
        <v>436187</v>
      </c>
      <c r="O156" s="2">
        <v>293363</v>
      </c>
      <c r="P156" s="2">
        <v>155871</v>
      </c>
      <c r="Q156" s="52">
        <v>60381</v>
      </c>
      <c r="R156" s="127">
        <f>Integrated[[#This Row],[Population 85+ years]]/Integrated[[#This Row],[Total population]]</f>
        <v>1.6976262303931355E-2</v>
      </c>
      <c r="S156" s="58">
        <v>120</v>
      </c>
      <c r="T156" s="59">
        <v>60</v>
      </c>
      <c r="U156" s="59">
        <v>60</v>
      </c>
      <c r="V156" s="59">
        <v>60</v>
      </c>
      <c r="W156" s="59">
        <v>60</v>
      </c>
      <c r="X156" s="59">
        <v>60</v>
      </c>
      <c r="Y156" s="59">
        <v>73</v>
      </c>
      <c r="Z156" s="59">
        <v>81</v>
      </c>
      <c r="AA156" s="59">
        <v>128</v>
      </c>
      <c r="AB156" s="59">
        <v>196</v>
      </c>
      <c r="AC156" s="59">
        <f>VLOOKUP($A156,'[1]Flu Deaths Updated'!$A$2:$N$460,14,FALSE)</f>
        <v>60</v>
      </c>
      <c r="AD156" s="60">
        <f t="shared" si="2"/>
        <v>958</v>
      </c>
      <c r="AE156" s="66">
        <f>Integrated[[#This Row],[Flu Deaths &lt;5 years old]]/Integrated[[#This Row],[Population &lt;5 years]]</f>
        <v>4.9145885465513926E-4</v>
      </c>
      <c r="AF156" s="67">
        <f>Integrated[[#This Row],[Flu Deaths 5 to 14 years]]/Integrated[[#This Row],[Population 5 to 14 years]]</f>
        <v>1.2310192223651572E-4</v>
      </c>
      <c r="AG156" s="67">
        <f>Integrated[[#This Row],[Flu Deaths 15 to 24 years]]/Integrated[[#This Row],[Population 15 to 24 years]]</f>
        <v>1.1931441934643539E-4</v>
      </c>
      <c r="AH156" s="67">
        <f>Integrated[[#This Row],[Flu Deaths 25 to 34 years]]/Integrated[[#This Row],[Population 25 to 34 years]]</f>
        <v>1.2171718606094786E-4</v>
      </c>
      <c r="AI156" s="67">
        <f>Integrated[[#This Row],[Flu Deaths 35 to 44 years]]/Integrated[[#This Row],[Population 35 to 44 years]]</f>
        <v>1.3762730525736306E-4</v>
      </c>
      <c r="AJ156" s="67">
        <f>Integrated[[#This Row],[Flu Deaths 45 to 54 years]]/Integrated[[#This Row],[Population 45 to 54 years]]</f>
        <v>1.3358298508991248E-4</v>
      </c>
      <c r="AK156" s="67">
        <f>Integrated[[#This Row],[Flu Deaths 55 to 64 years]]/Integrated[[#This Row],[Population 55 to 64 years]]</f>
        <v>1.673594123621291E-4</v>
      </c>
      <c r="AL156" s="67">
        <f>Integrated[[#This Row],[Flu Deaths 65 to 74 years]]/Integrated[[#This Row],[Population 65 to 74 years]]</f>
        <v>2.7610843903287056E-4</v>
      </c>
      <c r="AM156" s="67">
        <f>Integrated[[#This Row],[Flu Deaths 75 to 84 years]]/Integrated[[#This Row],[Population 75 to 84 years]]</f>
        <v>8.2119188303148114E-4</v>
      </c>
      <c r="AN156" s="67">
        <f>Integrated[[#This Row],[Flu Deaths 85+ years]]/Integrated[[#This Row],[Population 85+ years]]</f>
        <v>3.246054222354714E-3</v>
      </c>
      <c r="AO156" s="68">
        <f>Integrated[[#This Row],[Total Flu Deaths]]/Integrated[[#This Row],[Total population]]</f>
        <v>2.6934398713446674E-4</v>
      </c>
    </row>
    <row r="157" spans="1:41" x14ac:dyDescent="0.3">
      <c r="A157" s="44" t="s">
        <v>167</v>
      </c>
      <c r="B157" t="s">
        <v>168</v>
      </c>
      <c r="C157" s="45">
        <v>2015</v>
      </c>
      <c r="D157" s="51">
        <v>1649653</v>
      </c>
      <c r="E157" s="2">
        <v>819633</v>
      </c>
      <c r="F157" s="2">
        <v>830024</v>
      </c>
      <c r="G157" s="78">
        <f>Integrated[[#This Row],[Female Total population]]/Integrated[[#This Row],[Total population]]</f>
        <v>0.50315066259389096</v>
      </c>
      <c r="H157" s="2">
        <v>114457</v>
      </c>
      <c r="I157" s="2">
        <v>227572</v>
      </c>
      <c r="J157" s="2">
        <v>237442</v>
      </c>
      <c r="K157" s="2">
        <v>227273</v>
      </c>
      <c r="L157" s="2">
        <v>201951</v>
      </c>
      <c r="M157" s="2">
        <v>214189</v>
      </c>
      <c r="N157" s="2">
        <v>200925</v>
      </c>
      <c r="O157" s="2">
        <v>122687</v>
      </c>
      <c r="P157" s="2">
        <v>70098</v>
      </c>
      <c r="Q157" s="52">
        <v>32711</v>
      </c>
      <c r="R157" s="127">
        <f>Integrated[[#This Row],[Population 85+ years]]/Integrated[[#This Row],[Total population]]</f>
        <v>1.9829018587545381E-2</v>
      </c>
      <c r="S157" s="58">
        <v>120</v>
      </c>
      <c r="T157" s="59">
        <v>60</v>
      </c>
      <c r="U157" s="59">
        <v>60</v>
      </c>
      <c r="V157" s="59">
        <v>60</v>
      </c>
      <c r="W157" s="59">
        <v>60</v>
      </c>
      <c r="X157" s="59">
        <v>60</v>
      </c>
      <c r="Y157" s="59">
        <v>60</v>
      </c>
      <c r="Z157" s="59">
        <v>60</v>
      </c>
      <c r="AA157" s="59">
        <v>75</v>
      </c>
      <c r="AB157" s="59">
        <v>198</v>
      </c>
      <c r="AC157" s="59">
        <f>VLOOKUP($A157,'[1]Flu Deaths Updated'!$A$2:$N$460,14,FALSE)</f>
        <v>60</v>
      </c>
      <c r="AD157" s="60">
        <f t="shared" si="2"/>
        <v>873</v>
      </c>
      <c r="AE157" s="66">
        <f>Integrated[[#This Row],[Flu Deaths &lt;5 years old]]/Integrated[[#This Row],[Population &lt;5 years]]</f>
        <v>1.0484286675345325E-3</v>
      </c>
      <c r="AF157" s="67">
        <f>Integrated[[#This Row],[Flu Deaths 5 to 14 years]]/Integrated[[#This Row],[Population 5 to 14 years]]</f>
        <v>2.6365282196403776E-4</v>
      </c>
      <c r="AG157" s="67">
        <f>Integrated[[#This Row],[Flu Deaths 15 to 24 years]]/Integrated[[#This Row],[Population 15 to 24 years]]</f>
        <v>2.5269328930854691E-4</v>
      </c>
      <c r="AH157" s="67">
        <f>Integrated[[#This Row],[Flu Deaths 25 to 34 years]]/Integrated[[#This Row],[Population 25 to 34 years]]</f>
        <v>2.6399968320038017E-4</v>
      </c>
      <c r="AI157" s="67">
        <f>Integrated[[#This Row],[Flu Deaths 35 to 44 years]]/Integrated[[#This Row],[Population 35 to 44 years]]</f>
        <v>2.9710177221207122E-4</v>
      </c>
      <c r="AJ157" s="67">
        <f>Integrated[[#This Row],[Flu Deaths 45 to 54 years]]/Integrated[[#This Row],[Population 45 to 54 years]]</f>
        <v>2.8012643039558523E-4</v>
      </c>
      <c r="AK157" s="67">
        <f>Integrated[[#This Row],[Flu Deaths 55 to 64 years]]/Integrated[[#This Row],[Population 55 to 64 years]]</f>
        <v>2.986188876446435E-4</v>
      </c>
      <c r="AL157" s="67">
        <f>Integrated[[#This Row],[Flu Deaths 65 to 74 years]]/Integrated[[#This Row],[Population 65 to 74 years]]</f>
        <v>4.8904936953385444E-4</v>
      </c>
      <c r="AM157" s="67">
        <f>Integrated[[#This Row],[Flu Deaths 75 to 84 years]]/Integrated[[#This Row],[Population 75 to 84 years]]</f>
        <v>1.0699306684926818E-3</v>
      </c>
      <c r="AN157" s="67">
        <f>Integrated[[#This Row],[Flu Deaths 85+ years]]/Integrated[[#This Row],[Population 85+ years]]</f>
        <v>6.0530096909296571E-3</v>
      </c>
      <c r="AO157" s="68">
        <f>Integrated[[#This Row],[Total Flu Deaths]]/Integrated[[#This Row],[Total population]]</f>
        <v>5.2920220191761543E-4</v>
      </c>
    </row>
    <row r="158" spans="1:41" x14ac:dyDescent="0.3">
      <c r="A158" s="44" t="s">
        <v>162</v>
      </c>
      <c r="B158" t="s">
        <v>144</v>
      </c>
      <c r="C158" s="45">
        <v>2013</v>
      </c>
      <c r="D158" s="51">
        <v>1710460</v>
      </c>
      <c r="E158" s="2">
        <v>844738</v>
      </c>
      <c r="F158" s="2">
        <v>865722</v>
      </c>
      <c r="G158" s="78">
        <f>Integrated[[#This Row],[Female Total population]]/Integrated[[#This Row],[Total population]]</f>
        <v>0.50613402242671557</v>
      </c>
      <c r="H158" s="2">
        <v>95828</v>
      </c>
      <c r="I158" s="2">
        <v>198808</v>
      </c>
      <c r="J158" s="2">
        <v>221363</v>
      </c>
      <c r="K158" s="2">
        <v>204164</v>
      </c>
      <c r="L158" s="2">
        <v>217949</v>
      </c>
      <c r="M158" s="2">
        <v>249078</v>
      </c>
      <c r="N158" s="2">
        <v>246048</v>
      </c>
      <c r="O158" s="2">
        <v>154016</v>
      </c>
      <c r="P158" s="2">
        <v>89160</v>
      </c>
      <c r="Q158" s="52">
        <v>33599</v>
      </c>
      <c r="R158" s="127">
        <f>Integrated[[#This Row],[Population 85+ years]]/Integrated[[#This Row],[Total population]]</f>
        <v>1.9643253861534322E-2</v>
      </c>
      <c r="S158" s="58">
        <v>120</v>
      </c>
      <c r="T158" s="59">
        <v>60</v>
      </c>
      <c r="U158" s="59">
        <v>60</v>
      </c>
      <c r="V158" s="59">
        <v>60</v>
      </c>
      <c r="W158" s="59">
        <v>60</v>
      </c>
      <c r="X158" s="59">
        <v>60</v>
      </c>
      <c r="Y158" s="59">
        <v>60</v>
      </c>
      <c r="Z158" s="59">
        <v>82</v>
      </c>
      <c r="AA158" s="59">
        <v>123</v>
      </c>
      <c r="AB158" s="59">
        <v>199</v>
      </c>
      <c r="AC158" s="59">
        <f>VLOOKUP($A158,'[1]Flu Deaths Updated'!$A$2:$N$460,14,FALSE)</f>
        <v>60</v>
      </c>
      <c r="AD158" s="60">
        <f t="shared" si="2"/>
        <v>944</v>
      </c>
      <c r="AE158" s="66">
        <f>Integrated[[#This Row],[Flu Deaths &lt;5 years old]]/Integrated[[#This Row],[Population &lt;5 years]]</f>
        <v>1.2522436031222608E-3</v>
      </c>
      <c r="AF158" s="67">
        <f>Integrated[[#This Row],[Flu Deaths 5 to 14 years]]/Integrated[[#This Row],[Population 5 to 14 years]]</f>
        <v>3.0179872037342561E-4</v>
      </c>
      <c r="AG158" s="67">
        <f>Integrated[[#This Row],[Flu Deaths 15 to 24 years]]/Integrated[[#This Row],[Population 15 to 24 years]]</f>
        <v>2.7104800711952765E-4</v>
      </c>
      <c r="AH158" s="67">
        <f>Integrated[[#This Row],[Flu Deaths 25 to 34 years]]/Integrated[[#This Row],[Population 25 to 34 years]]</f>
        <v>2.9388138947120942E-4</v>
      </c>
      <c r="AI158" s="67">
        <f>Integrated[[#This Row],[Flu Deaths 35 to 44 years]]/Integrated[[#This Row],[Population 35 to 44 years]]</f>
        <v>2.7529376138454408E-4</v>
      </c>
      <c r="AJ158" s="67">
        <f>Integrated[[#This Row],[Flu Deaths 45 to 54 years]]/Integrated[[#This Row],[Population 45 to 54 years]]</f>
        <v>2.4088839640594513E-4</v>
      </c>
      <c r="AK158" s="67">
        <f>Integrated[[#This Row],[Flu Deaths 55 to 64 years]]/Integrated[[#This Row],[Population 55 to 64 years]]</f>
        <v>2.4385485758876316E-4</v>
      </c>
      <c r="AL158" s="67">
        <f>Integrated[[#This Row],[Flu Deaths 65 to 74 years]]/Integrated[[#This Row],[Population 65 to 74 years]]</f>
        <v>5.3241221691252853E-4</v>
      </c>
      <c r="AM158" s="67">
        <f>Integrated[[#This Row],[Flu Deaths 75 to 84 years]]/Integrated[[#This Row],[Population 75 to 84 years]]</f>
        <v>1.3795423956931359E-3</v>
      </c>
      <c r="AN158" s="67">
        <f>Integrated[[#This Row],[Flu Deaths 85+ years]]/Integrated[[#This Row],[Population 85+ years]]</f>
        <v>5.9227953212893239E-3</v>
      </c>
      <c r="AO158" s="68">
        <f>Integrated[[#This Row],[Total Flu Deaths]]/Integrated[[#This Row],[Total population]]</f>
        <v>5.5189831975024266E-4</v>
      </c>
    </row>
    <row r="159" spans="1:41" x14ac:dyDescent="0.3">
      <c r="A159" s="44" t="s">
        <v>307</v>
      </c>
      <c r="B159" t="s">
        <v>243</v>
      </c>
      <c r="C159" s="45">
        <v>2017</v>
      </c>
      <c r="D159" s="51">
        <v>3565277</v>
      </c>
      <c r="E159" s="2">
        <v>1764926</v>
      </c>
      <c r="F159" s="2">
        <v>1800352</v>
      </c>
      <c r="G159" s="78">
        <f>Integrated[[#This Row],[Female Total population]]/Integrated[[#This Row],[Total population]]</f>
        <v>0.50496833766352511</v>
      </c>
      <c r="H159" s="2">
        <v>243286</v>
      </c>
      <c r="I159" s="2">
        <v>490794</v>
      </c>
      <c r="J159" s="2">
        <v>494368</v>
      </c>
      <c r="K159" s="2">
        <v>496788</v>
      </c>
      <c r="L159" s="2">
        <v>441211</v>
      </c>
      <c r="M159" s="2">
        <v>443783</v>
      </c>
      <c r="N159" s="2">
        <v>440643</v>
      </c>
      <c r="O159" s="2">
        <v>298506</v>
      </c>
      <c r="P159" s="2">
        <v>155769</v>
      </c>
      <c r="Q159" s="52">
        <v>60181</v>
      </c>
      <c r="R159" s="127">
        <f>Integrated[[#This Row],[Population 85+ years]]/Integrated[[#This Row],[Total population]]</f>
        <v>1.6879754364106912E-2</v>
      </c>
      <c r="S159" s="58">
        <v>120</v>
      </c>
      <c r="T159" s="59">
        <v>60</v>
      </c>
      <c r="U159" s="59">
        <v>60</v>
      </c>
      <c r="V159" s="59">
        <v>60</v>
      </c>
      <c r="W159" s="59">
        <v>60</v>
      </c>
      <c r="X159" s="59">
        <v>60</v>
      </c>
      <c r="Y159" s="59">
        <v>70</v>
      </c>
      <c r="Z159" s="59">
        <v>121</v>
      </c>
      <c r="AA159" s="59">
        <v>161</v>
      </c>
      <c r="AB159" s="59">
        <v>206</v>
      </c>
      <c r="AC159" s="59">
        <f>VLOOKUP($A159,'[1]Flu Deaths Updated'!$A$2:$N$460,14,FALSE)</f>
        <v>60</v>
      </c>
      <c r="AD159" s="60">
        <f t="shared" si="2"/>
        <v>1038</v>
      </c>
      <c r="AE159" s="66">
        <f>Integrated[[#This Row],[Flu Deaths &lt;5 years old]]/Integrated[[#This Row],[Population &lt;5 years]]</f>
        <v>4.9324663153654542E-4</v>
      </c>
      <c r="AF159" s="67">
        <f>Integrated[[#This Row],[Flu Deaths 5 to 14 years]]/Integrated[[#This Row],[Population 5 to 14 years]]</f>
        <v>1.2225088326263156E-4</v>
      </c>
      <c r="AG159" s="67">
        <f>Integrated[[#This Row],[Flu Deaths 15 to 24 years]]/Integrated[[#This Row],[Population 15 to 24 years]]</f>
        <v>1.2136707877532526E-4</v>
      </c>
      <c r="AH159" s="67">
        <f>Integrated[[#This Row],[Flu Deaths 25 to 34 years]]/Integrated[[#This Row],[Population 25 to 34 years]]</f>
        <v>1.20775864151308E-4</v>
      </c>
      <c r="AI159" s="67">
        <f>Integrated[[#This Row],[Flu Deaths 35 to 44 years]]/Integrated[[#This Row],[Population 35 to 44 years]]</f>
        <v>1.3598935656635941E-4</v>
      </c>
      <c r="AJ159" s="67">
        <f>Integrated[[#This Row],[Flu Deaths 45 to 54 years]]/Integrated[[#This Row],[Population 45 to 54 years]]</f>
        <v>1.3520121320555317E-4</v>
      </c>
      <c r="AK159" s="67">
        <f>Integrated[[#This Row],[Flu Deaths 55 to 64 years]]/Integrated[[#This Row],[Population 55 to 64 years]]</f>
        <v>1.5885875867765968E-4</v>
      </c>
      <c r="AL159" s="67">
        <f>Integrated[[#This Row],[Flu Deaths 65 to 74 years]]/Integrated[[#This Row],[Population 65 to 74 years]]</f>
        <v>4.053519862247325E-4</v>
      </c>
      <c r="AM159" s="67">
        <f>Integrated[[#This Row],[Flu Deaths 75 to 84 years]]/Integrated[[#This Row],[Population 75 to 84 years]]</f>
        <v>1.0335817781458442E-3</v>
      </c>
      <c r="AN159" s="67">
        <f>Integrated[[#This Row],[Flu Deaths 85+ years]]/Integrated[[#This Row],[Population 85+ years]]</f>
        <v>3.4230072614280255E-3</v>
      </c>
      <c r="AO159" s="68">
        <f>Integrated[[#This Row],[Total Flu Deaths]]/Integrated[[#This Row],[Total population]]</f>
        <v>2.9114147371999424E-4</v>
      </c>
    </row>
    <row r="160" spans="1:41" x14ac:dyDescent="0.3">
      <c r="A160" s="44" t="s">
        <v>179</v>
      </c>
      <c r="B160" t="s">
        <v>168</v>
      </c>
      <c r="C160" s="45">
        <v>2013</v>
      </c>
      <c r="D160" s="51">
        <v>1724851</v>
      </c>
      <c r="E160" s="2">
        <v>857298</v>
      </c>
      <c r="F160" s="2">
        <v>867555</v>
      </c>
      <c r="G160" s="78">
        <f>Integrated[[#This Row],[Female Total population]]/Integrated[[#This Row],[Total population]]</f>
        <v>0.50297388006268362</v>
      </c>
      <c r="H160" s="2">
        <v>123171</v>
      </c>
      <c r="I160" s="2">
        <v>239585</v>
      </c>
      <c r="J160" s="2">
        <v>245394</v>
      </c>
      <c r="K160" s="2">
        <v>236715</v>
      </c>
      <c r="L160" s="2">
        <v>210145</v>
      </c>
      <c r="M160" s="2">
        <v>236452</v>
      </c>
      <c r="N160" s="2">
        <v>204677</v>
      </c>
      <c r="O160" s="2">
        <v>118548</v>
      </c>
      <c r="P160" s="2">
        <v>75871</v>
      </c>
      <c r="Q160" s="52">
        <v>35186</v>
      </c>
      <c r="R160" s="127">
        <f>Integrated[[#This Row],[Population 85+ years]]/Integrated[[#This Row],[Total population]]</f>
        <v>2.0399443198282054E-2</v>
      </c>
      <c r="S160" s="58">
        <v>120</v>
      </c>
      <c r="T160" s="59">
        <v>60</v>
      </c>
      <c r="U160" s="59">
        <v>60</v>
      </c>
      <c r="V160" s="59">
        <v>60</v>
      </c>
      <c r="W160" s="59">
        <v>60</v>
      </c>
      <c r="X160" s="59">
        <v>60</v>
      </c>
      <c r="Y160" s="59">
        <v>60</v>
      </c>
      <c r="Z160" s="59">
        <v>60</v>
      </c>
      <c r="AA160" s="59">
        <v>66</v>
      </c>
      <c r="AB160" s="59">
        <v>207</v>
      </c>
      <c r="AC160" s="59">
        <f>VLOOKUP($A160,'[1]Flu Deaths Updated'!$A$2:$N$460,14,FALSE)</f>
        <v>60</v>
      </c>
      <c r="AD160" s="60">
        <f t="shared" si="2"/>
        <v>873</v>
      </c>
      <c r="AE160" s="66">
        <f>Integrated[[#This Row],[Flu Deaths &lt;5 years old]]/Integrated[[#This Row],[Population &lt;5 years]]</f>
        <v>9.7425530360230903E-4</v>
      </c>
      <c r="AF160" s="67">
        <f>Integrated[[#This Row],[Flu Deaths 5 to 14 years]]/Integrated[[#This Row],[Population 5 to 14 years]]</f>
        <v>2.5043304046580545E-4</v>
      </c>
      <c r="AG160" s="67">
        <f>Integrated[[#This Row],[Flu Deaths 15 to 24 years]]/Integrated[[#This Row],[Population 15 to 24 years]]</f>
        <v>2.4450475561749678E-4</v>
      </c>
      <c r="AH160" s="67">
        <f>Integrated[[#This Row],[Flu Deaths 25 to 34 years]]/Integrated[[#This Row],[Population 25 to 34 years]]</f>
        <v>2.5346936189088145E-4</v>
      </c>
      <c r="AI160" s="67">
        <f>Integrated[[#This Row],[Flu Deaths 35 to 44 years]]/Integrated[[#This Row],[Population 35 to 44 years]]</f>
        <v>2.8551714292512312E-4</v>
      </c>
      <c r="AJ160" s="67">
        <f>Integrated[[#This Row],[Flu Deaths 45 to 54 years]]/Integrated[[#This Row],[Population 45 to 54 years]]</f>
        <v>2.5375128990239032E-4</v>
      </c>
      <c r="AK160" s="67">
        <f>Integrated[[#This Row],[Flu Deaths 55 to 64 years]]/Integrated[[#This Row],[Population 55 to 64 years]]</f>
        <v>2.9314480864972613E-4</v>
      </c>
      <c r="AL160" s="67">
        <f>Integrated[[#This Row],[Flu Deaths 65 to 74 years]]/Integrated[[#This Row],[Population 65 to 74 years]]</f>
        <v>5.0612410162971955E-4</v>
      </c>
      <c r="AM160" s="67">
        <f>Integrated[[#This Row],[Flu Deaths 75 to 84 years]]/Integrated[[#This Row],[Population 75 to 84 years]]</f>
        <v>8.6989758932925619E-4</v>
      </c>
      <c r="AN160" s="67">
        <f>Integrated[[#This Row],[Flu Deaths 85+ years]]/Integrated[[#This Row],[Population 85+ years]]</f>
        <v>5.8830216563405899E-3</v>
      </c>
      <c r="AO160" s="68">
        <f>Integrated[[#This Row],[Total Flu Deaths]]/Integrated[[#This Row],[Total population]]</f>
        <v>5.0613067447565039E-4</v>
      </c>
    </row>
    <row r="161" spans="1:41" x14ac:dyDescent="0.3">
      <c r="A161" s="44" t="s">
        <v>400</v>
      </c>
      <c r="B161" t="s">
        <v>353</v>
      </c>
      <c r="C161" s="45">
        <v>2011</v>
      </c>
      <c r="D161" s="51">
        <v>3745417</v>
      </c>
      <c r="E161" s="2">
        <v>1853820</v>
      </c>
      <c r="F161" s="2">
        <v>1891597</v>
      </c>
      <c r="G161" s="78">
        <f>Integrated[[#This Row],[Female Total population]]/Integrated[[#This Row],[Total population]]</f>
        <v>0.50504309666987679</v>
      </c>
      <c r="H161" s="2">
        <v>232910</v>
      </c>
      <c r="I161" s="2">
        <v>472231</v>
      </c>
      <c r="J161" s="2">
        <v>502729</v>
      </c>
      <c r="K161" s="2">
        <v>512201</v>
      </c>
      <c r="L161" s="2">
        <v>496071</v>
      </c>
      <c r="M161" s="2">
        <v>534275</v>
      </c>
      <c r="N161" s="2">
        <v>485905</v>
      </c>
      <c r="O161" s="2">
        <v>273170</v>
      </c>
      <c r="P161" s="2">
        <v>163973</v>
      </c>
      <c r="Q161" s="52">
        <v>72594</v>
      </c>
      <c r="R161" s="127">
        <f>Integrated[[#This Row],[Population 85+ years]]/Integrated[[#This Row],[Total population]]</f>
        <v>1.9382087495197466E-2</v>
      </c>
      <c r="S161" s="58">
        <v>120</v>
      </c>
      <c r="T161" s="59">
        <v>60</v>
      </c>
      <c r="U161" s="59">
        <v>60</v>
      </c>
      <c r="V161" s="59">
        <v>60</v>
      </c>
      <c r="W161" s="59">
        <v>60</v>
      </c>
      <c r="X161" s="59">
        <v>60</v>
      </c>
      <c r="Y161" s="59">
        <v>60</v>
      </c>
      <c r="Z161" s="59">
        <v>60</v>
      </c>
      <c r="AA161" s="59">
        <v>79</v>
      </c>
      <c r="AB161" s="59">
        <v>208</v>
      </c>
      <c r="AC161" s="59">
        <f>VLOOKUP($A161,'[1]Flu Deaths Updated'!$A$2:$N$460,14,FALSE)</f>
        <v>60</v>
      </c>
      <c r="AD161" s="60">
        <f t="shared" si="2"/>
        <v>887</v>
      </c>
      <c r="AE161" s="66">
        <f>Integrated[[#This Row],[Flu Deaths &lt;5 years old]]/Integrated[[#This Row],[Population &lt;5 years]]</f>
        <v>5.1522047142673136E-4</v>
      </c>
      <c r="AF161" s="67">
        <f>Integrated[[#This Row],[Flu Deaths 5 to 14 years]]/Integrated[[#This Row],[Population 5 to 14 years]]</f>
        <v>1.2705646177400468E-4</v>
      </c>
      <c r="AG161" s="67">
        <f>Integrated[[#This Row],[Flu Deaths 15 to 24 years]]/Integrated[[#This Row],[Population 15 to 24 years]]</f>
        <v>1.1934859536648969E-4</v>
      </c>
      <c r="AH161" s="67">
        <f>Integrated[[#This Row],[Flu Deaths 25 to 34 years]]/Integrated[[#This Row],[Population 25 to 34 years]]</f>
        <v>1.1714151280454353E-4</v>
      </c>
      <c r="AI161" s="67">
        <f>Integrated[[#This Row],[Flu Deaths 35 to 44 years]]/Integrated[[#This Row],[Population 35 to 44 years]]</f>
        <v>1.2095042846689284E-4</v>
      </c>
      <c r="AJ161" s="67">
        <f>Integrated[[#This Row],[Flu Deaths 45 to 54 years]]/Integrated[[#This Row],[Population 45 to 54 years]]</f>
        <v>1.1230171728042675E-4</v>
      </c>
      <c r="AK161" s="67">
        <f>Integrated[[#This Row],[Flu Deaths 55 to 64 years]]/Integrated[[#This Row],[Population 55 to 64 years]]</f>
        <v>1.2348092734176434E-4</v>
      </c>
      <c r="AL161" s="67">
        <f>Integrated[[#This Row],[Flu Deaths 65 to 74 years]]/Integrated[[#This Row],[Population 65 to 74 years]]</f>
        <v>2.1964344547351465E-4</v>
      </c>
      <c r="AM161" s="67">
        <f>Integrated[[#This Row],[Flu Deaths 75 to 84 years]]/Integrated[[#This Row],[Population 75 to 84 years]]</f>
        <v>4.8178663560464221E-4</v>
      </c>
      <c r="AN161" s="67">
        <f>Integrated[[#This Row],[Flu Deaths 85+ years]]/Integrated[[#This Row],[Population 85+ years]]</f>
        <v>2.8652505716725901E-3</v>
      </c>
      <c r="AO161" s="68">
        <f>Integrated[[#This Row],[Total Flu Deaths]]/Integrated[[#This Row],[Total population]]</f>
        <v>2.3682276232526311E-4</v>
      </c>
    </row>
    <row r="162" spans="1:41" x14ac:dyDescent="0.3">
      <c r="A162" s="44" t="s">
        <v>367</v>
      </c>
      <c r="B162" t="s">
        <v>353</v>
      </c>
      <c r="C162" s="45">
        <v>2009</v>
      </c>
      <c r="D162" s="51">
        <v>3694697</v>
      </c>
      <c r="E162" s="2">
        <v>1830719</v>
      </c>
      <c r="F162" s="2">
        <v>1863978</v>
      </c>
      <c r="G162" s="78">
        <f>Integrated[[#This Row],[Female Total population]]/Integrated[[#This Row],[Total population]]</f>
        <v>0.50450091035881972</v>
      </c>
      <c r="H162" s="2">
        <v>236520</v>
      </c>
      <c r="I162" s="2">
        <v>468445</v>
      </c>
      <c r="J162" s="2">
        <v>505025</v>
      </c>
      <c r="K162" s="2">
        <v>499891</v>
      </c>
      <c r="L162" s="2">
        <v>500875</v>
      </c>
      <c r="M162" s="2">
        <v>547303</v>
      </c>
      <c r="N162" s="2">
        <v>450229</v>
      </c>
      <c r="O162" s="2">
        <v>250691</v>
      </c>
      <c r="P162" s="2">
        <v>164626</v>
      </c>
      <c r="Q162" s="52">
        <v>73084</v>
      </c>
      <c r="R162" s="127">
        <f>Integrated[[#This Row],[Population 85+ years]]/Integrated[[#This Row],[Total population]]</f>
        <v>1.9780783106165403E-2</v>
      </c>
      <c r="S162" s="58">
        <v>120</v>
      </c>
      <c r="T162" s="59">
        <v>60</v>
      </c>
      <c r="U162" s="59">
        <v>60</v>
      </c>
      <c r="V162" s="59">
        <v>60</v>
      </c>
      <c r="W162" s="59">
        <v>60</v>
      </c>
      <c r="X162" s="59">
        <v>60</v>
      </c>
      <c r="Y162" s="59">
        <v>60</v>
      </c>
      <c r="Z162" s="59">
        <v>65</v>
      </c>
      <c r="AA162" s="59">
        <v>113</v>
      </c>
      <c r="AB162" s="59">
        <v>211</v>
      </c>
      <c r="AC162" s="59">
        <f>VLOOKUP($A162,'[1]Flu Deaths Updated'!$A$2:$N$460,14,FALSE)</f>
        <v>60</v>
      </c>
      <c r="AD162" s="60">
        <f t="shared" si="2"/>
        <v>929</v>
      </c>
      <c r="AE162" s="66">
        <f>Integrated[[#This Row],[Flu Deaths &lt;5 years old]]/Integrated[[#This Row],[Population &lt;5 years]]</f>
        <v>5.0735667174023336E-4</v>
      </c>
      <c r="AF162" s="67">
        <f>Integrated[[#This Row],[Flu Deaths 5 to 14 years]]/Integrated[[#This Row],[Population 5 to 14 years]]</f>
        <v>1.2808333955960678E-4</v>
      </c>
      <c r="AG162" s="67">
        <f>Integrated[[#This Row],[Flu Deaths 15 to 24 years]]/Integrated[[#This Row],[Population 15 to 24 years]]</f>
        <v>1.18805999702985E-4</v>
      </c>
      <c r="AH162" s="67">
        <f>Integrated[[#This Row],[Flu Deaths 25 to 34 years]]/Integrated[[#This Row],[Population 25 to 34 years]]</f>
        <v>1.200261657041235E-4</v>
      </c>
      <c r="AI162" s="67">
        <f>Integrated[[#This Row],[Flu Deaths 35 to 44 years]]/Integrated[[#This Row],[Population 35 to 44 years]]</f>
        <v>1.197903668579985E-4</v>
      </c>
      <c r="AJ162" s="67">
        <f>Integrated[[#This Row],[Flu Deaths 45 to 54 years]]/Integrated[[#This Row],[Population 45 to 54 years]]</f>
        <v>1.0962848732786044E-4</v>
      </c>
      <c r="AK162" s="67">
        <f>Integrated[[#This Row],[Flu Deaths 55 to 64 years]]/Integrated[[#This Row],[Population 55 to 64 years]]</f>
        <v>1.3326551599297248E-4</v>
      </c>
      <c r="AL162" s="67">
        <f>Integrated[[#This Row],[Flu Deaths 65 to 74 years]]/Integrated[[#This Row],[Population 65 to 74 years]]</f>
        <v>2.5928334084590192E-4</v>
      </c>
      <c r="AM162" s="67">
        <f>Integrated[[#This Row],[Flu Deaths 75 to 84 years]]/Integrated[[#This Row],[Population 75 to 84 years]]</f>
        <v>6.8640433467374536E-4</v>
      </c>
      <c r="AN162" s="67">
        <f>Integrated[[#This Row],[Flu Deaths 85+ years]]/Integrated[[#This Row],[Population 85+ years]]</f>
        <v>2.8870888292923213E-3</v>
      </c>
      <c r="AO162" s="68">
        <f>Integrated[[#This Row],[Total Flu Deaths]]/Integrated[[#This Row],[Total population]]</f>
        <v>2.5144145785161814E-4</v>
      </c>
    </row>
    <row r="163" spans="1:41" x14ac:dyDescent="0.3">
      <c r="A163" s="44" t="s">
        <v>143</v>
      </c>
      <c r="B163" t="s">
        <v>144</v>
      </c>
      <c r="C163" s="45">
        <v>2015</v>
      </c>
      <c r="D163" s="51">
        <v>1533895</v>
      </c>
      <c r="E163" s="2">
        <v>757361</v>
      </c>
      <c r="F163" s="2">
        <v>776536</v>
      </c>
      <c r="G163" s="78">
        <f>Integrated[[#This Row],[Female Total population]]/Integrated[[#This Row],[Total population]]</f>
        <v>0.50625107976751993</v>
      </c>
      <c r="H163" s="2">
        <v>86848</v>
      </c>
      <c r="I163" s="2">
        <v>177840</v>
      </c>
      <c r="J163" s="2">
        <v>203185</v>
      </c>
      <c r="K163" s="2">
        <v>185002</v>
      </c>
      <c r="L163" s="2">
        <v>190685</v>
      </c>
      <c r="M163" s="2">
        <v>211110</v>
      </c>
      <c r="N163" s="2">
        <v>220306</v>
      </c>
      <c r="O163" s="2">
        <v>147217</v>
      </c>
      <c r="P163" s="2">
        <v>79719</v>
      </c>
      <c r="Q163" s="52">
        <v>32746</v>
      </c>
      <c r="R163" s="127">
        <f>Integrated[[#This Row],[Population 85+ years]]/Integrated[[#This Row],[Total population]]</f>
        <v>2.1348266993503468E-2</v>
      </c>
      <c r="S163" s="58">
        <v>120</v>
      </c>
      <c r="T163" s="59">
        <v>60</v>
      </c>
      <c r="U163" s="59">
        <v>60</v>
      </c>
      <c r="V163" s="59">
        <v>60</v>
      </c>
      <c r="W163" s="59">
        <v>60</v>
      </c>
      <c r="X163" s="59">
        <v>60</v>
      </c>
      <c r="Y163" s="59">
        <v>60</v>
      </c>
      <c r="Z163" s="59">
        <v>85</v>
      </c>
      <c r="AA163" s="59">
        <v>118</v>
      </c>
      <c r="AB163" s="59">
        <v>212</v>
      </c>
      <c r="AC163" s="59">
        <f>VLOOKUP($A163,'[1]Flu Deaths Updated'!$A$2:$N$460,14,FALSE)</f>
        <v>60</v>
      </c>
      <c r="AD163" s="60">
        <f t="shared" si="2"/>
        <v>955</v>
      </c>
      <c r="AE163" s="66">
        <f>Integrated[[#This Row],[Flu Deaths &lt;5 years old]]/Integrated[[#This Row],[Population &lt;5 years]]</f>
        <v>1.3817243920412675E-3</v>
      </c>
      <c r="AF163" s="67">
        <f>Integrated[[#This Row],[Flu Deaths 5 to 14 years]]/Integrated[[#This Row],[Population 5 to 14 years]]</f>
        <v>3.3738191632928474E-4</v>
      </c>
      <c r="AG163" s="67">
        <f>Integrated[[#This Row],[Flu Deaths 15 to 24 years]]/Integrated[[#This Row],[Population 15 to 24 years]]</f>
        <v>2.952973890789182E-4</v>
      </c>
      <c r="AH163" s="67">
        <f>Integrated[[#This Row],[Flu Deaths 25 to 34 years]]/Integrated[[#This Row],[Population 25 to 34 years]]</f>
        <v>3.2432081815331724E-4</v>
      </c>
      <c r="AI163" s="67">
        <f>Integrated[[#This Row],[Flu Deaths 35 to 44 years]]/Integrated[[#This Row],[Population 35 to 44 years]]</f>
        <v>3.1465505939114245E-4</v>
      </c>
      <c r="AJ163" s="67">
        <f>Integrated[[#This Row],[Flu Deaths 45 to 54 years]]/Integrated[[#This Row],[Population 45 to 54 years]]</f>
        <v>2.8421202216853773E-4</v>
      </c>
      <c r="AK163" s="67">
        <f>Integrated[[#This Row],[Flu Deaths 55 to 64 years]]/Integrated[[#This Row],[Population 55 to 64 years]]</f>
        <v>2.7234846077728249E-4</v>
      </c>
      <c r="AL163" s="67">
        <f>Integrated[[#This Row],[Flu Deaths 65 to 74 years]]/Integrated[[#This Row],[Population 65 to 74 years]]</f>
        <v>5.7737897117860035E-4</v>
      </c>
      <c r="AM163" s="67">
        <f>Integrated[[#This Row],[Flu Deaths 75 to 84 years]]/Integrated[[#This Row],[Population 75 to 84 years]]</f>
        <v>1.4801991996889073E-3</v>
      </c>
      <c r="AN163" s="67">
        <f>Integrated[[#This Row],[Flu Deaths 85+ years]]/Integrated[[#This Row],[Population 85+ years]]</f>
        <v>6.4740731692420452E-3</v>
      </c>
      <c r="AO163" s="68">
        <f>Integrated[[#This Row],[Total Flu Deaths]]/Integrated[[#This Row],[Total population]]</f>
        <v>6.2259802659243304E-4</v>
      </c>
    </row>
    <row r="164" spans="1:41" x14ac:dyDescent="0.3">
      <c r="A164" s="44" t="s">
        <v>169</v>
      </c>
      <c r="B164" t="s">
        <v>168</v>
      </c>
      <c r="C164" s="45">
        <v>2017</v>
      </c>
      <c r="D164" s="51">
        <v>1705683</v>
      </c>
      <c r="E164" s="2">
        <v>848480</v>
      </c>
      <c r="F164" s="2">
        <v>857207</v>
      </c>
      <c r="G164" s="78">
        <f>Integrated[[#This Row],[Female Total population]]/Integrated[[#This Row],[Total population]]</f>
        <v>0.50255938530195821</v>
      </c>
      <c r="H164" s="2">
        <v>119651</v>
      </c>
      <c r="I164" s="2">
        <v>238663</v>
      </c>
      <c r="J164" s="2">
        <v>241860</v>
      </c>
      <c r="K164" s="2">
        <v>234550</v>
      </c>
      <c r="L164" s="2">
        <v>209223</v>
      </c>
      <c r="M164" s="2">
        <v>210030</v>
      </c>
      <c r="N164" s="2">
        <v>210173</v>
      </c>
      <c r="O164" s="2">
        <v>135175</v>
      </c>
      <c r="P164" s="2">
        <v>72311</v>
      </c>
      <c r="Q164" s="52">
        <v>34111</v>
      </c>
      <c r="R164" s="127">
        <f>Integrated[[#This Row],[Population 85+ years]]/Integrated[[#This Row],[Total population]]</f>
        <v>1.9998440507409641E-2</v>
      </c>
      <c r="S164" s="58">
        <v>120</v>
      </c>
      <c r="T164" s="59">
        <v>60</v>
      </c>
      <c r="U164" s="59">
        <v>60</v>
      </c>
      <c r="V164" s="59">
        <v>60</v>
      </c>
      <c r="W164" s="59">
        <v>60</v>
      </c>
      <c r="X164" s="59">
        <v>60</v>
      </c>
      <c r="Y164" s="59">
        <v>60</v>
      </c>
      <c r="Z164" s="59">
        <v>60</v>
      </c>
      <c r="AA164" s="59">
        <v>78</v>
      </c>
      <c r="AB164" s="59">
        <v>215</v>
      </c>
      <c r="AC164" s="59">
        <f>VLOOKUP($A164,'[1]Flu Deaths Updated'!$A$2:$N$460,14,FALSE)</f>
        <v>60</v>
      </c>
      <c r="AD164" s="60">
        <f t="shared" si="2"/>
        <v>893</v>
      </c>
      <c r="AE164" s="66">
        <f>Integrated[[#This Row],[Flu Deaths &lt;5 years old]]/Integrated[[#This Row],[Population &lt;5 years]]</f>
        <v>1.0029168164077192E-3</v>
      </c>
      <c r="AF164" s="67">
        <f>Integrated[[#This Row],[Flu Deaths 5 to 14 years]]/Integrated[[#This Row],[Population 5 to 14 years]]</f>
        <v>2.5140051034303599E-4</v>
      </c>
      <c r="AG164" s="67">
        <f>Integrated[[#This Row],[Flu Deaths 15 to 24 years]]/Integrated[[#This Row],[Population 15 to 24 years]]</f>
        <v>2.4807740014884643E-4</v>
      </c>
      <c r="AH164" s="67">
        <f>Integrated[[#This Row],[Flu Deaths 25 to 34 years]]/Integrated[[#This Row],[Population 25 to 34 years]]</f>
        <v>2.5580899594969088E-4</v>
      </c>
      <c r="AI164" s="67">
        <f>Integrated[[#This Row],[Flu Deaths 35 to 44 years]]/Integrated[[#This Row],[Population 35 to 44 years]]</f>
        <v>2.8677535452603203E-4</v>
      </c>
      <c r="AJ164" s="67">
        <f>Integrated[[#This Row],[Flu Deaths 45 to 54 years]]/Integrated[[#This Row],[Population 45 to 54 years]]</f>
        <v>2.8567347521782604E-4</v>
      </c>
      <c r="AK164" s="67">
        <f>Integrated[[#This Row],[Flu Deaths 55 to 64 years]]/Integrated[[#This Row],[Population 55 to 64 years]]</f>
        <v>2.8547910530848399E-4</v>
      </c>
      <c r="AL164" s="67">
        <f>Integrated[[#This Row],[Flu Deaths 65 to 74 years]]/Integrated[[#This Row],[Population 65 to 74 years]]</f>
        <v>4.4386905862770485E-4</v>
      </c>
      <c r="AM164" s="67">
        <f>Integrated[[#This Row],[Flu Deaths 75 to 84 years]]/Integrated[[#This Row],[Population 75 to 84 years]]</f>
        <v>1.0786740606546722E-3</v>
      </c>
      <c r="AN164" s="67">
        <f>Integrated[[#This Row],[Flu Deaths 85+ years]]/Integrated[[#This Row],[Population 85+ years]]</f>
        <v>6.3029521268798917E-3</v>
      </c>
      <c r="AO164" s="68">
        <f>Integrated[[#This Row],[Total Flu Deaths]]/Integrated[[#This Row],[Total population]]</f>
        <v>5.2354394104883501E-4</v>
      </c>
    </row>
    <row r="165" spans="1:41" x14ac:dyDescent="0.3">
      <c r="A165" s="44" t="s">
        <v>233</v>
      </c>
      <c r="B165" t="s">
        <v>183</v>
      </c>
      <c r="C165" s="45">
        <v>2011</v>
      </c>
      <c r="D165" s="51">
        <v>2753252</v>
      </c>
      <c r="E165" s="2">
        <v>1337640</v>
      </c>
      <c r="F165" s="2">
        <v>1415615</v>
      </c>
      <c r="G165" s="78">
        <f>Integrated[[#This Row],[Female Total population]]/Integrated[[#This Row],[Total population]]</f>
        <v>0.51416107207040984</v>
      </c>
      <c r="H165" s="2">
        <v>194397</v>
      </c>
      <c r="I165" s="2">
        <v>387297</v>
      </c>
      <c r="J165" s="2">
        <v>403995</v>
      </c>
      <c r="K165" s="2">
        <v>355511</v>
      </c>
      <c r="L165" s="2">
        <v>357577</v>
      </c>
      <c r="M165" s="2">
        <v>387991</v>
      </c>
      <c r="N165" s="2">
        <v>317669</v>
      </c>
      <c r="O165" s="2">
        <v>196330</v>
      </c>
      <c r="P165" s="2">
        <v>111856</v>
      </c>
      <c r="Q165" s="52">
        <v>40469</v>
      </c>
      <c r="R165" s="127">
        <f>Integrated[[#This Row],[Population 85+ years]]/Integrated[[#This Row],[Total population]]</f>
        <v>1.4698618215840759E-2</v>
      </c>
      <c r="S165" s="58">
        <v>120</v>
      </c>
      <c r="T165" s="59">
        <v>60</v>
      </c>
      <c r="U165" s="59">
        <v>60</v>
      </c>
      <c r="V165" s="59">
        <v>60</v>
      </c>
      <c r="W165" s="59">
        <v>60</v>
      </c>
      <c r="X165" s="59">
        <v>60</v>
      </c>
      <c r="Y165" s="59">
        <v>60</v>
      </c>
      <c r="Z165" s="59">
        <v>71</v>
      </c>
      <c r="AA165" s="59">
        <v>201</v>
      </c>
      <c r="AB165" s="59">
        <v>217</v>
      </c>
      <c r="AC165" s="59">
        <f>VLOOKUP($A165,'[1]Flu Deaths Updated'!$A$2:$N$460,14,FALSE)</f>
        <v>60</v>
      </c>
      <c r="AD165" s="60">
        <f t="shared" si="2"/>
        <v>1029</v>
      </c>
      <c r="AE165" s="66">
        <f>Integrated[[#This Row],[Flu Deaths &lt;5 years old]]/Integrated[[#This Row],[Population &lt;5 years]]</f>
        <v>6.1729347675118442E-4</v>
      </c>
      <c r="AF165" s="67">
        <f>Integrated[[#This Row],[Flu Deaths 5 to 14 years]]/Integrated[[#This Row],[Population 5 to 14 years]]</f>
        <v>1.5491986769843299E-4</v>
      </c>
      <c r="AG165" s="67">
        <f>Integrated[[#This Row],[Flu Deaths 15 to 24 years]]/Integrated[[#This Row],[Population 15 to 24 years]]</f>
        <v>1.4851668956298965E-4</v>
      </c>
      <c r="AH165" s="67">
        <f>Integrated[[#This Row],[Flu Deaths 25 to 34 years]]/Integrated[[#This Row],[Population 25 to 34 years]]</f>
        <v>1.6877114913462594E-4</v>
      </c>
      <c r="AI165" s="67">
        <f>Integrated[[#This Row],[Flu Deaths 35 to 44 years]]/Integrated[[#This Row],[Population 35 to 44 years]]</f>
        <v>1.6779602714939718E-4</v>
      </c>
      <c r="AJ165" s="67">
        <f>Integrated[[#This Row],[Flu Deaths 45 to 54 years]]/Integrated[[#This Row],[Population 45 to 54 years]]</f>
        <v>1.5464276233211595E-4</v>
      </c>
      <c r="AK165" s="67">
        <f>Integrated[[#This Row],[Flu Deaths 55 to 64 years]]/Integrated[[#This Row],[Population 55 to 64 years]]</f>
        <v>1.8887584246495565E-4</v>
      </c>
      <c r="AL165" s="67">
        <f>Integrated[[#This Row],[Flu Deaths 65 to 74 years]]/Integrated[[#This Row],[Population 65 to 74 years]]</f>
        <v>3.6163602098507612E-4</v>
      </c>
      <c r="AM165" s="67">
        <f>Integrated[[#This Row],[Flu Deaths 75 to 84 years]]/Integrated[[#This Row],[Population 75 to 84 years]]</f>
        <v>1.7969532255757402E-3</v>
      </c>
      <c r="AN165" s="67">
        <f>Integrated[[#This Row],[Flu Deaths 85+ years]]/Integrated[[#This Row],[Population 85+ years]]</f>
        <v>5.362129037040698E-3</v>
      </c>
      <c r="AO165" s="68">
        <f>Integrated[[#This Row],[Total Flu Deaths]]/Integrated[[#This Row],[Total population]]</f>
        <v>3.7373985381650501E-4</v>
      </c>
    </row>
    <row r="166" spans="1:41" x14ac:dyDescent="0.3">
      <c r="A166" s="44" t="s">
        <v>248</v>
      </c>
      <c r="B166" t="s">
        <v>183</v>
      </c>
      <c r="C166" s="45">
        <v>2009</v>
      </c>
      <c r="D166" s="51">
        <v>2922240</v>
      </c>
      <c r="E166" s="2">
        <v>1416675</v>
      </c>
      <c r="F166" s="2">
        <v>1505566</v>
      </c>
      <c r="G166" s="78">
        <f>Integrated[[#This Row],[Female Total population]]/Integrated[[#This Row],[Total population]]</f>
        <v>0.51520956526500217</v>
      </c>
      <c r="H166" s="2">
        <v>214935</v>
      </c>
      <c r="I166" s="2">
        <v>416469</v>
      </c>
      <c r="J166" s="2">
        <v>446719</v>
      </c>
      <c r="K166" s="2">
        <v>380992</v>
      </c>
      <c r="L166" s="2">
        <v>384018</v>
      </c>
      <c r="M166" s="2">
        <v>403775</v>
      </c>
      <c r="N166" s="2">
        <v>311149</v>
      </c>
      <c r="O166" s="2">
        <v>194854</v>
      </c>
      <c r="P166" s="2">
        <v>124734</v>
      </c>
      <c r="Q166" s="52">
        <v>46624</v>
      </c>
      <c r="R166" s="127">
        <f>Integrated[[#This Row],[Population 85+ years]]/Integrated[[#This Row],[Total population]]</f>
        <v>1.5954883924660535E-2</v>
      </c>
      <c r="S166" s="58">
        <v>120</v>
      </c>
      <c r="T166" s="59">
        <v>60</v>
      </c>
      <c r="U166" s="59">
        <v>60</v>
      </c>
      <c r="V166" s="59">
        <v>60</v>
      </c>
      <c r="W166" s="59">
        <v>60</v>
      </c>
      <c r="X166" s="59">
        <v>60</v>
      </c>
      <c r="Y166" s="59">
        <v>60</v>
      </c>
      <c r="Z166" s="59">
        <v>76</v>
      </c>
      <c r="AA166" s="59">
        <v>164</v>
      </c>
      <c r="AB166" s="59">
        <v>219</v>
      </c>
      <c r="AC166" s="59">
        <f>VLOOKUP($A166,'[1]Flu Deaths Updated'!$A$2:$N$460,14,FALSE)</f>
        <v>60</v>
      </c>
      <c r="AD166" s="60">
        <f t="shared" si="2"/>
        <v>999</v>
      </c>
      <c r="AE166" s="66">
        <f>Integrated[[#This Row],[Flu Deaths &lt;5 years old]]/Integrated[[#This Row],[Population &lt;5 years]]</f>
        <v>5.5830832577290809E-4</v>
      </c>
      <c r="AF166" s="67">
        <f>Integrated[[#This Row],[Flu Deaths 5 to 14 years]]/Integrated[[#This Row],[Population 5 to 14 years]]</f>
        <v>1.4406834602335349E-4</v>
      </c>
      <c r="AG166" s="67">
        <f>Integrated[[#This Row],[Flu Deaths 15 to 24 years]]/Integrated[[#This Row],[Population 15 to 24 years]]</f>
        <v>1.3431262158090433E-4</v>
      </c>
      <c r="AH166" s="67">
        <f>Integrated[[#This Row],[Flu Deaths 25 to 34 years]]/Integrated[[#This Row],[Population 25 to 34 years]]</f>
        <v>1.5748362170334284E-4</v>
      </c>
      <c r="AI166" s="67">
        <f>Integrated[[#This Row],[Flu Deaths 35 to 44 years]]/Integrated[[#This Row],[Population 35 to 44 years]]</f>
        <v>1.5624267612455666E-4</v>
      </c>
      <c r="AJ166" s="67">
        <f>Integrated[[#This Row],[Flu Deaths 45 to 54 years]]/Integrated[[#This Row],[Population 45 to 54 years]]</f>
        <v>1.4859761005510494E-4</v>
      </c>
      <c r="AK166" s="67">
        <f>Integrated[[#This Row],[Flu Deaths 55 to 64 years]]/Integrated[[#This Row],[Population 55 to 64 years]]</f>
        <v>1.9283365847230747E-4</v>
      </c>
      <c r="AL166" s="67">
        <f>Integrated[[#This Row],[Flu Deaths 65 to 74 years]]/Integrated[[#This Row],[Population 65 to 74 years]]</f>
        <v>3.9003561641023536E-4</v>
      </c>
      <c r="AM166" s="67">
        <f>Integrated[[#This Row],[Flu Deaths 75 to 84 years]]/Integrated[[#This Row],[Population 75 to 84 years]]</f>
        <v>1.3147978899097279E-3</v>
      </c>
      <c r="AN166" s="67">
        <f>Integrated[[#This Row],[Flu Deaths 85+ years]]/Integrated[[#This Row],[Population 85+ years]]</f>
        <v>4.6971516815374056E-3</v>
      </c>
      <c r="AO166" s="68">
        <f>Integrated[[#This Row],[Total Flu Deaths]]/Integrated[[#This Row],[Total population]]</f>
        <v>3.4186103810775295E-4</v>
      </c>
    </row>
    <row r="167" spans="1:41" x14ac:dyDescent="0.3">
      <c r="A167" s="44" t="s">
        <v>182</v>
      </c>
      <c r="B167" t="s">
        <v>183</v>
      </c>
      <c r="C167" s="45">
        <v>2017</v>
      </c>
      <c r="D167" s="51">
        <v>2359802</v>
      </c>
      <c r="E167" s="2">
        <v>1145340</v>
      </c>
      <c r="F167" s="2">
        <v>1214467</v>
      </c>
      <c r="G167" s="78">
        <f>Integrated[[#This Row],[Female Total population]]/Integrated[[#This Row],[Total population]]</f>
        <v>0.51464783909836498</v>
      </c>
      <c r="H167" s="2">
        <v>148261</v>
      </c>
      <c r="I167" s="2">
        <v>320041</v>
      </c>
      <c r="J167" s="2">
        <v>334881</v>
      </c>
      <c r="K167" s="2">
        <v>304715</v>
      </c>
      <c r="L167" s="2">
        <v>291491</v>
      </c>
      <c r="M167" s="2">
        <v>306648</v>
      </c>
      <c r="N167" s="2">
        <v>302179</v>
      </c>
      <c r="O167" s="2">
        <v>207026</v>
      </c>
      <c r="P167" s="2">
        <v>105621</v>
      </c>
      <c r="Q167" s="52">
        <v>38979</v>
      </c>
      <c r="R167" s="127">
        <f>Integrated[[#This Row],[Population 85+ years]]/Integrated[[#This Row],[Total population]]</f>
        <v>1.6517911248486103E-2</v>
      </c>
      <c r="S167" s="58">
        <v>120</v>
      </c>
      <c r="T167" s="59">
        <v>60</v>
      </c>
      <c r="U167" s="59">
        <v>60</v>
      </c>
      <c r="V167" s="59">
        <v>60</v>
      </c>
      <c r="W167" s="59">
        <v>60</v>
      </c>
      <c r="X167" s="59">
        <v>60</v>
      </c>
      <c r="Y167" s="59">
        <v>94</v>
      </c>
      <c r="Z167" s="59">
        <v>156</v>
      </c>
      <c r="AA167" s="59">
        <v>212</v>
      </c>
      <c r="AB167" s="59">
        <v>219</v>
      </c>
      <c r="AC167" s="59">
        <f>VLOOKUP($A167,'[1]Flu Deaths Updated'!$A$2:$N$460,14,FALSE)</f>
        <v>60</v>
      </c>
      <c r="AD167" s="60">
        <f t="shared" si="2"/>
        <v>1161</v>
      </c>
      <c r="AE167" s="66">
        <f>Integrated[[#This Row],[Flu Deaths &lt;5 years old]]/Integrated[[#This Row],[Population &lt;5 years]]</f>
        <v>8.0938345215532067E-4</v>
      </c>
      <c r="AF167" s="67">
        <f>Integrated[[#This Row],[Flu Deaths 5 to 14 years]]/Integrated[[#This Row],[Population 5 to 14 years]]</f>
        <v>1.8747597964010861E-4</v>
      </c>
      <c r="AG167" s="67">
        <f>Integrated[[#This Row],[Flu Deaths 15 to 24 years]]/Integrated[[#This Row],[Population 15 to 24 years]]</f>
        <v>1.7916812240766124E-4</v>
      </c>
      <c r="AH167" s="67">
        <f>Integrated[[#This Row],[Flu Deaths 25 to 34 years]]/Integrated[[#This Row],[Population 25 to 34 years]]</f>
        <v>1.9690530495709106E-4</v>
      </c>
      <c r="AI167" s="67">
        <f>Integrated[[#This Row],[Flu Deaths 35 to 44 years]]/Integrated[[#This Row],[Population 35 to 44 years]]</f>
        <v>2.0583825915722955E-4</v>
      </c>
      <c r="AJ167" s="67">
        <f>Integrated[[#This Row],[Flu Deaths 45 to 54 years]]/Integrated[[#This Row],[Population 45 to 54 years]]</f>
        <v>1.9566408390075919E-4</v>
      </c>
      <c r="AK167" s="67">
        <f>Integrated[[#This Row],[Flu Deaths 55 to 64 years]]/Integrated[[#This Row],[Population 55 to 64 years]]</f>
        <v>3.1107389990700876E-4</v>
      </c>
      <c r="AL167" s="67">
        <f>Integrated[[#This Row],[Flu Deaths 65 to 74 years]]/Integrated[[#This Row],[Population 65 to 74 years]]</f>
        <v>7.5352854230869551E-4</v>
      </c>
      <c r="AM167" s="67">
        <f>Integrated[[#This Row],[Flu Deaths 75 to 84 years]]/Integrated[[#This Row],[Population 75 to 84 years]]</f>
        <v>2.0071766031376334E-3</v>
      </c>
      <c r="AN167" s="67">
        <f>Integrated[[#This Row],[Flu Deaths 85+ years]]/Integrated[[#This Row],[Population 85+ years]]</f>
        <v>5.6184099130300929E-3</v>
      </c>
      <c r="AO167" s="68">
        <f>Integrated[[#This Row],[Total Flu Deaths]]/Integrated[[#This Row],[Total population]]</f>
        <v>4.9199042970554305E-4</v>
      </c>
    </row>
    <row r="168" spans="1:41" x14ac:dyDescent="0.3">
      <c r="A168" s="44" t="s">
        <v>244</v>
      </c>
      <c r="B168" t="s">
        <v>183</v>
      </c>
      <c r="C168" s="45">
        <v>2010</v>
      </c>
      <c r="D168" s="51">
        <v>2821637</v>
      </c>
      <c r="E168" s="2">
        <v>1369939</v>
      </c>
      <c r="F168" s="2">
        <v>1451698</v>
      </c>
      <c r="G168" s="78">
        <f>Integrated[[#This Row],[Female Total population]]/Integrated[[#This Row],[Total population]]</f>
        <v>0.51448786644065125</v>
      </c>
      <c r="H168" s="2">
        <v>200005</v>
      </c>
      <c r="I168" s="2">
        <v>398312</v>
      </c>
      <c r="J168" s="2">
        <v>424560</v>
      </c>
      <c r="K168" s="2">
        <v>364471</v>
      </c>
      <c r="L168" s="2">
        <v>369811</v>
      </c>
      <c r="M168" s="2">
        <v>397059</v>
      </c>
      <c r="N168" s="2">
        <v>315980</v>
      </c>
      <c r="O168" s="2">
        <v>195901</v>
      </c>
      <c r="P168" s="2">
        <v>113931</v>
      </c>
      <c r="Q168" s="52">
        <v>41357</v>
      </c>
      <c r="R168" s="127">
        <f>Integrated[[#This Row],[Population 85+ years]]/Integrated[[#This Row],[Total population]]</f>
        <v>1.4657094445529316E-2</v>
      </c>
      <c r="S168" s="58">
        <v>120</v>
      </c>
      <c r="T168" s="59">
        <v>60</v>
      </c>
      <c r="U168" s="59">
        <v>60</v>
      </c>
      <c r="V168" s="59">
        <v>60</v>
      </c>
      <c r="W168" s="59">
        <v>60</v>
      </c>
      <c r="X168" s="59">
        <v>60</v>
      </c>
      <c r="Y168" s="59">
        <v>65</v>
      </c>
      <c r="Z168" s="59">
        <v>76</v>
      </c>
      <c r="AA168" s="59">
        <v>138</v>
      </c>
      <c r="AB168" s="59">
        <v>222</v>
      </c>
      <c r="AC168" s="59">
        <f>VLOOKUP($A168,'[1]Flu Deaths Updated'!$A$2:$N$460,14,FALSE)</f>
        <v>60</v>
      </c>
      <c r="AD168" s="60">
        <f t="shared" si="2"/>
        <v>981</v>
      </c>
      <c r="AE168" s="66">
        <f>Integrated[[#This Row],[Flu Deaths &lt;5 years old]]/Integrated[[#This Row],[Population &lt;5 years]]</f>
        <v>5.9998500037499066E-4</v>
      </c>
      <c r="AF168" s="67">
        <f>Integrated[[#This Row],[Flu Deaths 5 to 14 years]]/Integrated[[#This Row],[Population 5 to 14 years]]</f>
        <v>1.5063568258048967E-4</v>
      </c>
      <c r="AG168" s="67">
        <f>Integrated[[#This Row],[Flu Deaths 15 to 24 years]]/Integrated[[#This Row],[Population 15 to 24 years]]</f>
        <v>1.4132278123233464E-4</v>
      </c>
      <c r="AH168" s="67">
        <f>Integrated[[#This Row],[Flu Deaths 25 to 34 years]]/Integrated[[#This Row],[Population 25 to 34 years]]</f>
        <v>1.6462215100789912E-4</v>
      </c>
      <c r="AI168" s="67">
        <f>Integrated[[#This Row],[Flu Deaths 35 to 44 years]]/Integrated[[#This Row],[Population 35 to 44 years]]</f>
        <v>1.6224503868192132E-4</v>
      </c>
      <c r="AJ168" s="67">
        <f>Integrated[[#This Row],[Flu Deaths 45 to 54 years]]/Integrated[[#This Row],[Population 45 to 54 years]]</f>
        <v>1.5111104395064713E-4</v>
      </c>
      <c r="AK168" s="67">
        <f>Integrated[[#This Row],[Flu Deaths 55 to 64 years]]/Integrated[[#This Row],[Population 55 to 64 years]]</f>
        <v>2.0570922210266473E-4</v>
      </c>
      <c r="AL168" s="67">
        <f>Integrated[[#This Row],[Flu Deaths 65 to 74 years]]/Integrated[[#This Row],[Population 65 to 74 years]]</f>
        <v>3.8795105691139914E-4</v>
      </c>
      <c r="AM168" s="67">
        <f>Integrated[[#This Row],[Flu Deaths 75 to 84 years]]/Integrated[[#This Row],[Population 75 to 84 years]]</f>
        <v>1.2112594465070964E-3</v>
      </c>
      <c r="AN168" s="67">
        <f>Integrated[[#This Row],[Flu Deaths 85+ years]]/Integrated[[#This Row],[Population 85+ years]]</f>
        <v>5.3678941896172349E-3</v>
      </c>
      <c r="AO168" s="68">
        <f>Integrated[[#This Row],[Total Flu Deaths]]/Integrated[[#This Row],[Total population]]</f>
        <v>3.4767051892217179E-4</v>
      </c>
    </row>
    <row r="169" spans="1:41" x14ac:dyDescent="0.3">
      <c r="A169" s="44" t="s">
        <v>135</v>
      </c>
      <c r="B169" t="s">
        <v>122</v>
      </c>
      <c r="C169" s="45">
        <v>2014</v>
      </c>
      <c r="D169" s="51">
        <v>1391072</v>
      </c>
      <c r="E169" s="2">
        <v>699626</v>
      </c>
      <c r="F169" s="2">
        <v>691446</v>
      </c>
      <c r="G169" s="78">
        <f>Integrated[[#This Row],[Female Total population]]/Integrated[[#This Row],[Total population]]</f>
        <v>0.49705982149018885</v>
      </c>
      <c r="H169" s="2">
        <v>89522</v>
      </c>
      <c r="I169" s="2">
        <v>168007</v>
      </c>
      <c r="J169" s="2">
        <v>186082</v>
      </c>
      <c r="K169" s="2">
        <v>199126</v>
      </c>
      <c r="L169" s="2">
        <v>174282</v>
      </c>
      <c r="M169" s="2">
        <v>184346</v>
      </c>
      <c r="N169" s="2">
        <v>177210</v>
      </c>
      <c r="O169" s="2">
        <v>112917</v>
      </c>
      <c r="P169" s="2">
        <v>64476</v>
      </c>
      <c r="Q169" s="52">
        <v>35491</v>
      </c>
      <c r="R169" s="127">
        <f>Integrated[[#This Row],[Population 85+ years]]/Integrated[[#This Row],[Total population]]</f>
        <v>2.5513416990637437E-2</v>
      </c>
      <c r="S169" s="58">
        <v>120</v>
      </c>
      <c r="T169" s="59">
        <v>60</v>
      </c>
      <c r="U169" s="59">
        <v>60</v>
      </c>
      <c r="V169" s="59">
        <v>60</v>
      </c>
      <c r="W169" s="59">
        <v>60</v>
      </c>
      <c r="X169" s="59">
        <v>60</v>
      </c>
      <c r="Y169" s="59">
        <v>60</v>
      </c>
      <c r="Z169" s="59">
        <v>60</v>
      </c>
      <c r="AA169" s="59">
        <v>97</v>
      </c>
      <c r="AB169" s="59">
        <v>224</v>
      </c>
      <c r="AC169" s="59">
        <f>VLOOKUP($A169,'[1]Flu Deaths Updated'!$A$2:$N$460,14,FALSE)</f>
        <v>60</v>
      </c>
      <c r="AD169" s="60">
        <f t="shared" si="2"/>
        <v>921</v>
      </c>
      <c r="AE169" s="66">
        <f>Integrated[[#This Row],[Flu Deaths &lt;5 years old]]/Integrated[[#This Row],[Population &lt;5 years]]</f>
        <v>1.3404526261701034E-3</v>
      </c>
      <c r="AF169" s="67">
        <f>Integrated[[#This Row],[Flu Deaths 5 to 14 years]]/Integrated[[#This Row],[Population 5 to 14 years]]</f>
        <v>3.5712797681049002E-4</v>
      </c>
      <c r="AG169" s="67">
        <f>Integrated[[#This Row],[Flu Deaths 15 to 24 years]]/Integrated[[#This Row],[Population 15 to 24 years]]</f>
        <v>3.2243849485710601E-4</v>
      </c>
      <c r="AH169" s="67">
        <f>Integrated[[#This Row],[Flu Deaths 25 to 34 years]]/Integrated[[#This Row],[Population 25 to 34 years]]</f>
        <v>3.0131675421592359E-4</v>
      </c>
      <c r="AI169" s="67">
        <f>Integrated[[#This Row],[Flu Deaths 35 to 44 years]]/Integrated[[#This Row],[Population 35 to 44 years]]</f>
        <v>3.4426963197576341E-4</v>
      </c>
      <c r="AJ169" s="67">
        <f>Integrated[[#This Row],[Flu Deaths 45 to 54 years]]/Integrated[[#This Row],[Population 45 to 54 years]]</f>
        <v>3.2547492215724777E-4</v>
      </c>
      <c r="AK169" s="67">
        <f>Integrated[[#This Row],[Flu Deaths 55 to 64 years]]/Integrated[[#This Row],[Population 55 to 64 years]]</f>
        <v>3.3858134416793635E-4</v>
      </c>
      <c r="AL169" s="67">
        <f>Integrated[[#This Row],[Flu Deaths 65 to 74 years]]/Integrated[[#This Row],[Population 65 to 74 years]]</f>
        <v>5.3136374505167517E-4</v>
      </c>
      <c r="AM169" s="67">
        <f>Integrated[[#This Row],[Flu Deaths 75 to 84 years]]/Integrated[[#This Row],[Population 75 to 84 years]]</f>
        <v>1.5044357590421242E-3</v>
      </c>
      <c r="AN169" s="67">
        <f>Integrated[[#This Row],[Flu Deaths 85+ years]]/Integrated[[#This Row],[Population 85+ years]]</f>
        <v>6.311459243188414E-3</v>
      </c>
      <c r="AO169" s="68">
        <f>Integrated[[#This Row],[Total Flu Deaths]]/Integrated[[#This Row],[Total population]]</f>
        <v>6.6207931724598012E-4</v>
      </c>
    </row>
    <row r="170" spans="1:41" x14ac:dyDescent="0.3">
      <c r="A170" s="44" t="s">
        <v>380</v>
      </c>
      <c r="B170" t="s">
        <v>353</v>
      </c>
      <c r="C170" s="45">
        <v>2015</v>
      </c>
      <c r="D170" s="51">
        <v>3777831</v>
      </c>
      <c r="E170" s="2">
        <v>1867140</v>
      </c>
      <c r="F170" s="2">
        <v>1910692</v>
      </c>
      <c r="G170" s="78">
        <f>Integrated[[#This Row],[Female Total population]]/Integrated[[#This Row],[Total population]]</f>
        <v>0.50576428643843518</v>
      </c>
      <c r="H170" s="2">
        <v>223248</v>
      </c>
      <c r="I170" s="2">
        <v>463565</v>
      </c>
      <c r="J170" s="2">
        <v>494588</v>
      </c>
      <c r="K170" s="2">
        <v>521484</v>
      </c>
      <c r="L170" s="2">
        <v>493811</v>
      </c>
      <c r="M170" s="2">
        <v>497377</v>
      </c>
      <c r="N170" s="2">
        <v>509777</v>
      </c>
      <c r="O170" s="2">
        <v>331614</v>
      </c>
      <c r="P170" s="2">
        <v>162847</v>
      </c>
      <c r="Q170" s="52">
        <v>78428</v>
      </c>
      <c r="R170" s="127">
        <f>Integrated[[#This Row],[Population 85+ years]]/Integrated[[#This Row],[Total population]]</f>
        <v>2.0760060468559868E-2</v>
      </c>
      <c r="S170" s="58">
        <v>120</v>
      </c>
      <c r="T170" s="59">
        <v>60</v>
      </c>
      <c r="U170" s="59">
        <v>60</v>
      </c>
      <c r="V170" s="59">
        <v>60</v>
      </c>
      <c r="W170" s="59">
        <v>60</v>
      </c>
      <c r="X170" s="59">
        <v>60</v>
      </c>
      <c r="Y170" s="59">
        <v>60</v>
      </c>
      <c r="Z170" s="59">
        <v>65</v>
      </c>
      <c r="AA170" s="59">
        <v>93</v>
      </c>
      <c r="AB170" s="59">
        <v>225</v>
      </c>
      <c r="AC170" s="59">
        <f>VLOOKUP($A170,'[1]Flu Deaths Updated'!$A$2:$N$460,14,FALSE)</f>
        <v>60</v>
      </c>
      <c r="AD170" s="60">
        <f t="shared" si="2"/>
        <v>923</v>
      </c>
      <c r="AE170" s="66">
        <f>Integrated[[#This Row],[Flu Deaths &lt;5 years old]]/Integrated[[#This Row],[Population &lt;5 years]]</f>
        <v>5.3751881315846056E-4</v>
      </c>
      <c r="AF170" s="67">
        <f>Integrated[[#This Row],[Flu Deaths 5 to 14 years]]/Integrated[[#This Row],[Population 5 to 14 years]]</f>
        <v>1.2943168703418074E-4</v>
      </c>
      <c r="AG170" s="67">
        <f>Integrated[[#This Row],[Flu Deaths 15 to 24 years]]/Integrated[[#This Row],[Population 15 to 24 years]]</f>
        <v>1.2131309291774164E-4</v>
      </c>
      <c r="AH170" s="67">
        <f>Integrated[[#This Row],[Flu Deaths 25 to 34 years]]/Integrated[[#This Row],[Population 25 to 34 years]]</f>
        <v>1.1505626251236855E-4</v>
      </c>
      <c r="AI170" s="67">
        <f>Integrated[[#This Row],[Flu Deaths 35 to 44 years]]/Integrated[[#This Row],[Population 35 to 44 years]]</f>
        <v>1.2150397621762172E-4</v>
      </c>
      <c r="AJ170" s="67">
        <f>Integrated[[#This Row],[Flu Deaths 45 to 54 years]]/Integrated[[#This Row],[Population 45 to 54 years]]</f>
        <v>1.2063283987799999E-4</v>
      </c>
      <c r="AK170" s="67">
        <f>Integrated[[#This Row],[Flu Deaths 55 to 64 years]]/Integrated[[#This Row],[Population 55 to 64 years]]</f>
        <v>1.1769852307969956E-4</v>
      </c>
      <c r="AL170" s="67">
        <f>Integrated[[#This Row],[Flu Deaths 65 to 74 years]]/Integrated[[#This Row],[Population 65 to 74 years]]</f>
        <v>1.9601102486626018E-4</v>
      </c>
      <c r="AM170" s="67">
        <f>Integrated[[#This Row],[Flu Deaths 75 to 84 years]]/Integrated[[#This Row],[Population 75 to 84 years]]</f>
        <v>5.7108819935276669E-4</v>
      </c>
      <c r="AN170" s="67">
        <f>Integrated[[#This Row],[Flu Deaths 85+ years]]/Integrated[[#This Row],[Population 85+ years]]</f>
        <v>2.8688733615545468E-3</v>
      </c>
      <c r="AO170" s="68">
        <f>Integrated[[#This Row],[Total Flu Deaths]]/Integrated[[#This Row],[Total population]]</f>
        <v>2.4432008737288672E-4</v>
      </c>
    </row>
    <row r="171" spans="1:41" x14ac:dyDescent="0.3">
      <c r="A171" s="44" t="s">
        <v>389</v>
      </c>
      <c r="B171" t="s">
        <v>353</v>
      </c>
      <c r="C171" s="45">
        <v>2010</v>
      </c>
      <c r="D171" s="51">
        <v>3754561</v>
      </c>
      <c r="E171" s="2">
        <v>1858302</v>
      </c>
      <c r="F171" s="2">
        <v>1896259</v>
      </c>
      <c r="G171" s="78">
        <f>Integrated[[#This Row],[Female Total population]]/Integrated[[#This Row],[Total population]]</f>
        <v>0.50505478536638504</v>
      </c>
      <c r="H171" s="2">
        <v>233956</v>
      </c>
      <c r="I171" s="2">
        <v>476998</v>
      </c>
      <c r="J171" s="2">
        <v>508120</v>
      </c>
      <c r="K171" s="2">
        <v>508300</v>
      </c>
      <c r="L171" s="2">
        <v>502542</v>
      </c>
      <c r="M171" s="2">
        <v>545150</v>
      </c>
      <c r="N171" s="2">
        <v>475160</v>
      </c>
      <c r="O171" s="2">
        <v>266653</v>
      </c>
      <c r="P171" s="2">
        <v>166263</v>
      </c>
      <c r="Q171" s="52">
        <v>74219</v>
      </c>
      <c r="R171" s="127">
        <f>Integrated[[#This Row],[Population 85+ years]]/Integrated[[#This Row],[Total population]]</f>
        <v>1.9767690550240094E-2</v>
      </c>
      <c r="S171" s="58">
        <v>120</v>
      </c>
      <c r="T171" s="59">
        <v>60</v>
      </c>
      <c r="U171" s="59">
        <v>60</v>
      </c>
      <c r="V171" s="59">
        <v>60</v>
      </c>
      <c r="W171" s="59">
        <v>60</v>
      </c>
      <c r="X171" s="59">
        <v>60</v>
      </c>
      <c r="Y171" s="59">
        <v>60</v>
      </c>
      <c r="Z171" s="59">
        <v>60</v>
      </c>
      <c r="AA171" s="59">
        <v>79</v>
      </c>
      <c r="AB171" s="59">
        <v>227</v>
      </c>
      <c r="AC171" s="59">
        <f>VLOOKUP($A171,'[1]Flu Deaths Updated'!$A$2:$N$460,14,FALSE)</f>
        <v>60</v>
      </c>
      <c r="AD171" s="60">
        <f t="shared" si="2"/>
        <v>906</v>
      </c>
      <c r="AE171" s="66">
        <f>Integrated[[#This Row],[Flu Deaths &lt;5 years old]]/Integrated[[#This Row],[Population &lt;5 years]]</f>
        <v>5.1291695874437933E-4</v>
      </c>
      <c r="AF171" s="67">
        <f>Integrated[[#This Row],[Flu Deaths 5 to 14 years]]/Integrated[[#This Row],[Population 5 to 14 years]]</f>
        <v>1.257866909295217E-4</v>
      </c>
      <c r="AG171" s="67">
        <f>Integrated[[#This Row],[Flu Deaths 15 to 24 years]]/Integrated[[#This Row],[Population 15 to 24 years]]</f>
        <v>1.1808234275368023E-4</v>
      </c>
      <c r="AH171" s="67">
        <f>Integrated[[#This Row],[Flu Deaths 25 to 34 years]]/Integrated[[#This Row],[Population 25 to 34 years]]</f>
        <v>1.1804052724768837E-4</v>
      </c>
      <c r="AI171" s="67">
        <f>Integrated[[#This Row],[Flu Deaths 35 to 44 years]]/Integrated[[#This Row],[Population 35 to 44 years]]</f>
        <v>1.19393005957711E-4</v>
      </c>
      <c r="AJ171" s="67">
        <f>Integrated[[#This Row],[Flu Deaths 45 to 54 years]]/Integrated[[#This Row],[Population 45 to 54 years]]</f>
        <v>1.1006145097679538E-4</v>
      </c>
      <c r="AK171" s="67">
        <f>Integrated[[#This Row],[Flu Deaths 55 to 64 years]]/Integrated[[#This Row],[Population 55 to 64 years]]</f>
        <v>1.2627325532452226E-4</v>
      </c>
      <c r="AL171" s="67">
        <f>Integrated[[#This Row],[Flu Deaths 65 to 74 years]]/Integrated[[#This Row],[Population 65 to 74 years]]</f>
        <v>2.2501153184100684E-4</v>
      </c>
      <c r="AM171" s="67">
        <f>Integrated[[#This Row],[Flu Deaths 75 to 84 years]]/Integrated[[#This Row],[Population 75 to 84 years]]</f>
        <v>4.7515081527459504E-4</v>
      </c>
      <c r="AN171" s="67">
        <f>Integrated[[#This Row],[Flu Deaths 85+ years]]/Integrated[[#This Row],[Population 85+ years]]</f>
        <v>3.0585160134197443E-3</v>
      </c>
      <c r="AO171" s="68">
        <f>Integrated[[#This Row],[Total Flu Deaths]]/Integrated[[#This Row],[Total population]]</f>
        <v>2.4130650693916013E-4</v>
      </c>
    </row>
    <row r="172" spans="1:41" x14ac:dyDescent="0.3">
      <c r="A172" s="44" t="s">
        <v>338</v>
      </c>
      <c r="B172" t="s">
        <v>243</v>
      </c>
      <c r="C172" s="45">
        <v>2012</v>
      </c>
      <c r="D172" s="51">
        <v>3700201</v>
      </c>
      <c r="E172" s="2">
        <v>1830348</v>
      </c>
      <c r="F172" s="2">
        <v>1869854</v>
      </c>
      <c r="G172" s="78">
        <f>Integrated[[#This Row],[Female Total population]]/Integrated[[#This Row],[Total population]]</f>
        <v>0.50533849377371665</v>
      </c>
      <c r="H172" s="2">
        <v>257717</v>
      </c>
      <c r="I172" s="2">
        <v>506053</v>
      </c>
      <c r="J172" s="2">
        <v>531264</v>
      </c>
      <c r="K172" s="2">
        <v>497809</v>
      </c>
      <c r="L172" s="2">
        <v>457909</v>
      </c>
      <c r="M172" s="2">
        <v>512429</v>
      </c>
      <c r="N172" s="2">
        <v>435539</v>
      </c>
      <c r="O172" s="2">
        <v>277983</v>
      </c>
      <c r="P172" s="2">
        <v>161741</v>
      </c>
      <c r="Q172" s="52">
        <v>61568</v>
      </c>
      <c r="R172" s="127">
        <f>Integrated[[#This Row],[Population 85+ years]]/Integrated[[#This Row],[Total population]]</f>
        <v>1.6639096092347417E-2</v>
      </c>
      <c r="S172" s="58">
        <v>120</v>
      </c>
      <c r="T172" s="59">
        <v>60</v>
      </c>
      <c r="U172" s="59">
        <v>60</v>
      </c>
      <c r="V172" s="59">
        <v>60</v>
      </c>
      <c r="W172" s="59">
        <v>60</v>
      </c>
      <c r="X172" s="59">
        <v>60</v>
      </c>
      <c r="Y172" s="59">
        <v>78</v>
      </c>
      <c r="Z172" s="59">
        <v>78</v>
      </c>
      <c r="AA172" s="59">
        <v>132</v>
      </c>
      <c r="AB172" s="59">
        <v>229</v>
      </c>
      <c r="AC172" s="59">
        <f>VLOOKUP($A172,'[1]Flu Deaths Updated'!$A$2:$N$460,14,FALSE)</f>
        <v>60</v>
      </c>
      <c r="AD172" s="60">
        <f t="shared" si="2"/>
        <v>997</v>
      </c>
      <c r="AE172" s="66">
        <f>Integrated[[#This Row],[Flu Deaths &lt;5 years old]]/Integrated[[#This Row],[Population &lt;5 years]]</f>
        <v>4.6562702499253059E-4</v>
      </c>
      <c r="AF172" s="67">
        <f>Integrated[[#This Row],[Flu Deaths 5 to 14 years]]/Integrated[[#This Row],[Population 5 to 14 years]]</f>
        <v>1.1856465627118109E-4</v>
      </c>
      <c r="AG172" s="67">
        <f>Integrated[[#This Row],[Flu Deaths 15 to 24 years]]/Integrated[[#This Row],[Population 15 to 24 years]]</f>
        <v>1.1293820021684134E-4</v>
      </c>
      <c r="AH172" s="67">
        <f>Integrated[[#This Row],[Flu Deaths 25 to 34 years]]/Integrated[[#This Row],[Population 25 to 34 years]]</f>
        <v>1.2052815437246012E-4</v>
      </c>
      <c r="AI172" s="67">
        <f>Integrated[[#This Row],[Flu Deaths 35 to 44 years]]/Integrated[[#This Row],[Population 35 to 44 years]]</f>
        <v>1.3103040123692698E-4</v>
      </c>
      <c r="AJ172" s="67">
        <f>Integrated[[#This Row],[Flu Deaths 45 to 54 years]]/Integrated[[#This Row],[Population 45 to 54 years]]</f>
        <v>1.1708939189624319E-4</v>
      </c>
      <c r="AK172" s="67">
        <f>Integrated[[#This Row],[Flu Deaths 55 to 64 years]]/Integrated[[#This Row],[Population 55 to 64 years]]</f>
        <v>1.7908843984120826E-4</v>
      </c>
      <c r="AL172" s="67">
        <f>Integrated[[#This Row],[Flu Deaths 65 to 74 years]]/Integrated[[#This Row],[Population 65 to 74 years]]</f>
        <v>2.8059269811463291E-4</v>
      </c>
      <c r="AM172" s="67">
        <f>Integrated[[#This Row],[Flu Deaths 75 to 84 years]]/Integrated[[#This Row],[Population 75 to 84 years]]</f>
        <v>8.1611959861754282E-4</v>
      </c>
      <c r="AN172" s="67">
        <f>Integrated[[#This Row],[Flu Deaths 85+ years]]/Integrated[[#This Row],[Population 85+ years]]</f>
        <v>3.7194646569646572E-3</v>
      </c>
      <c r="AO172" s="68">
        <f>Integrated[[#This Row],[Total Flu Deaths]]/Integrated[[#This Row],[Total population]]</f>
        <v>2.694448220515588E-4</v>
      </c>
    </row>
    <row r="173" spans="1:41" x14ac:dyDescent="0.3">
      <c r="A173" s="44" t="s">
        <v>501</v>
      </c>
      <c r="B173" t="s">
        <v>448</v>
      </c>
      <c r="C173" s="45">
        <v>2016</v>
      </c>
      <c r="D173" s="51">
        <v>5225189</v>
      </c>
      <c r="E173" s="2">
        <v>2619738</v>
      </c>
      <c r="F173" s="2">
        <v>2605453</v>
      </c>
      <c r="G173" s="78">
        <f>Integrated[[#This Row],[Female Total population]]/Integrated[[#This Row],[Total population]]</f>
        <v>0.49863325517986046</v>
      </c>
      <c r="H173" s="2">
        <v>327976</v>
      </c>
      <c r="I173" s="2">
        <v>690669</v>
      </c>
      <c r="J173" s="2">
        <v>707067</v>
      </c>
      <c r="K173" s="2">
        <v>781091</v>
      </c>
      <c r="L173" s="2">
        <v>709179</v>
      </c>
      <c r="M173" s="2">
        <v>699780</v>
      </c>
      <c r="N173" s="2">
        <v>651313</v>
      </c>
      <c r="O173" s="2">
        <v>396893</v>
      </c>
      <c r="P173" s="2">
        <v>185793</v>
      </c>
      <c r="Q173" s="52">
        <v>75966</v>
      </c>
      <c r="R173" s="127">
        <f>Integrated[[#This Row],[Population 85+ years]]/Integrated[[#This Row],[Total population]]</f>
        <v>1.4538421481022027E-2</v>
      </c>
      <c r="S173" s="58">
        <v>120</v>
      </c>
      <c r="T173" s="59">
        <v>60</v>
      </c>
      <c r="U173" s="59">
        <v>60</v>
      </c>
      <c r="V173" s="59">
        <v>60</v>
      </c>
      <c r="W173" s="59">
        <v>60</v>
      </c>
      <c r="X173" s="59">
        <v>60</v>
      </c>
      <c r="Y173" s="59">
        <v>67</v>
      </c>
      <c r="Z173" s="59">
        <v>75</v>
      </c>
      <c r="AA173" s="59">
        <v>104</v>
      </c>
      <c r="AB173" s="59">
        <v>230</v>
      </c>
      <c r="AC173" s="59">
        <f>VLOOKUP($A173,'[1]Flu Deaths Updated'!$A$2:$N$460,14,FALSE)</f>
        <v>60</v>
      </c>
      <c r="AD173" s="60">
        <f t="shared" si="2"/>
        <v>956</v>
      </c>
      <c r="AE173" s="66">
        <f>Integrated[[#This Row],[Flu Deaths &lt;5 years old]]/Integrated[[#This Row],[Population &lt;5 years]]</f>
        <v>3.6588043027538603E-4</v>
      </c>
      <c r="AF173" s="67">
        <f>Integrated[[#This Row],[Flu Deaths 5 to 14 years]]/Integrated[[#This Row],[Population 5 to 14 years]]</f>
        <v>8.6872293385109221E-5</v>
      </c>
      <c r="AG173" s="67">
        <f>Integrated[[#This Row],[Flu Deaths 15 to 24 years]]/Integrated[[#This Row],[Population 15 to 24 years]]</f>
        <v>8.4857587753352936E-5</v>
      </c>
      <c r="AH173" s="67">
        <f>Integrated[[#This Row],[Flu Deaths 25 to 34 years]]/Integrated[[#This Row],[Population 25 to 34 years]]</f>
        <v>7.6815633517733528E-5</v>
      </c>
      <c r="AI173" s="67">
        <f>Integrated[[#This Row],[Flu Deaths 35 to 44 years]]/Integrated[[#This Row],[Population 35 to 44 years]]</f>
        <v>8.460487408679614E-5</v>
      </c>
      <c r="AJ173" s="67">
        <f>Integrated[[#This Row],[Flu Deaths 45 to 54 years]]/Integrated[[#This Row],[Population 45 to 54 years]]</f>
        <v>8.5741232958929956E-5</v>
      </c>
      <c r="AK173" s="67">
        <f>Integrated[[#This Row],[Flu Deaths 55 to 64 years]]/Integrated[[#This Row],[Population 55 to 64 years]]</f>
        <v>1.028691274394953E-4</v>
      </c>
      <c r="AL173" s="67">
        <f>Integrated[[#This Row],[Flu Deaths 65 to 74 years]]/Integrated[[#This Row],[Population 65 to 74 years]]</f>
        <v>1.8896780744432379E-4</v>
      </c>
      <c r="AM173" s="67">
        <f>Integrated[[#This Row],[Flu Deaths 75 to 84 years]]/Integrated[[#This Row],[Population 75 to 84 years]]</f>
        <v>5.5976274671273949E-4</v>
      </c>
      <c r="AN173" s="67">
        <f>Integrated[[#This Row],[Flu Deaths 85+ years]]/Integrated[[#This Row],[Population 85+ years]]</f>
        <v>3.0276702735434272E-3</v>
      </c>
      <c r="AO173" s="68">
        <f>Integrated[[#This Row],[Total Flu Deaths]]/Integrated[[#This Row],[Total population]]</f>
        <v>1.8295988910640361E-4</v>
      </c>
    </row>
    <row r="174" spans="1:41" x14ac:dyDescent="0.3">
      <c r="A174" s="44" t="s">
        <v>368</v>
      </c>
      <c r="B174" t="s">
        <v>353</v>
      </c>
      <c r="C174" s="45">
        <v>2013</v>
      </c>
      <c r="D174" s="51">
        <v>3766332</v>
      </c>
      <c r="E174" s="2">
        <v>1862882</v>
      </c>
      <c r="F174" s="2">
        <v>1903450</v>
      </c>
      <c r="G174" s="78">
        <f>Integrated[[#This Row],[Female Total population]]/Integrated[[#This Row],[Total population]]</f>
        <v>0.50538561125253956</v>
      </c>
      <c r="H174" s="2">
        <v>228835</v>
      </c>
      <c r="I174" s="2">
        <v>469141</v>
      </c>
      <c r="J174" s="2">
        <v>500614</v>
      </c>
      <c r="K174" s="2">
        <v>518622</v>
      </c>
      <c r="L174" s="2">
        <v>492205</v>
      </c>
      <c r="M174" s="2">
        <v>514905</v>
      </c>
      <c r="N174" s="2">
        <v>503636</v>
      </c>
      <c r="O174" s="2">
        <v>301173</v>
      </c>
      <c r="P174" s="2">
        <v>161765</v>
      </c>
      <c r="Q174" s="52">
        <v>76092</v>
      </c>
      <c r="R174" s="127">
        <f>Integrated[[#This Row],[Population 85+ years]]/Integrated[[#This Row],[Total population]]</f>
        <v>2.0203210975559244E-2</v>
      </c>
      <c r="S174" s="58">
        <v>120</v>
      </c>
      <c r="T174" s="59">
        <v>60</v>
      </c>
      <c r="U174" s="59">
        <v>60</v>
      </c>
      <c r="V174" s="59">
        <v>60</v>
      </c>
      <c r="W174" s="59">
        <v>60</v>
      </c>
      <c r="X174" s="59">
        <v>60</v>
      </c>
      <c r="Y174" s="59">
        <v>60</v>
      </c>
      <c r="Z174" s="59">
        <v>60</v>
      </c>
      <c r="AA174" s="59">
        <v>107</v>
      </c>
      <c r="AB174" s="59">
        <v>236</v>
      </c>
      <c r="AC174" s="59">
        <f>VLOOKUP($A174,'[1]Flu Deaths Updated'!$A$2:$N$460,14,FALSE)</f>
        <v>60</v>
      </c>
      <c r="AD174" s="60">
        <f t="shared" si="2"/>
        <v>943</v>
      </c>
      <c r="AE174" s="66">
        <f>Integrated[[#This Row],[Flu Deaths &lt;5 years old]]/Integrated[[#This Row],[Population &lt;5 years]]</f>
        <v>5.2439530666200534E-4</v>
      </c>
      <c r="AF174" s="67">
        <f>Integrated[[#This Row],[Flu Deaths 5 to 14 years]]/Integrated[[#This Row],[Population 5 to 14 years]]</f>
        <v>1.278933199187451E-4</v>
      </c>
      <c r="AG174" s="67">
        <f>Integrated[[#This Row],[Flu Deaths 15 to 24 years]]/Integrated[[#This Row],[Population 15 to 24 years]]</f>
        <v>1.1985282073613603E-4</v>
      </c>
      <c r="AH174" s="67">
        <f>Integrated[[#This Row],[Flu Deaths 25 to 34 years]]/Integrated[[#This Row],[Population 25 to 34 years]]</f>
        <v>1.1569119705681595E-4</v>
      </c>
      <c r="AI174" s="67">
        <f>Integrated[[#This Row],[Flu Deaths 35 to 44 years]]/Integrated[[#This Row],[Population 35 to 44 years]]</f>
        <v>1.2190042766733374E-4</v>
      </c>
      <c r="AJ174" s="67">
        <f>Integrated[[#This Row],[Flu Deaths 45 to 54 years]]/Integrated[[#This Row],[Population 45 to 54 years]]</f>
        <v>1.1652634952078539E-4</v>
      </c>
      <c r="AK174" s="67">
        <f>Integrated[[#This Row],[Flu Deaths 55 to 64 years]]/Integrated[[#This Row],[Population 55 to 64 years]]</f>
        <v>1.1913366002430326E-4</v>
      </c>
      <c r="AL174" s="67">
        <f>Integrated[[#This Row],[Flu Deaths 65 to 74 years]]/Integrated[[#This Row],[Population 65 to 74 years]]</f>
        <v>1.9922104571126894E-4</v>
      </c>
      <c r="AM174" s="67">
        <f>Integrated[[#This Row],[Flu Deaths 75 to 84 years]]/Integrated[[#This Row],[Population 75 to 84 years]]</f>
        <v>6.6145334281210401E-4</v>
      </c>
      <c r="AN174" s="67">
        <f>Integrated[[#This Row],[Flu Deaths 85+ years]]/Integrated[[#This Row],[Population 85+ years]]</f>
        <v>3.1015086999947434E-3</v>
      </c>
      <c r="AO174" s="68">
        <f>Integrated[[#This Row],[Total Flu Deaths]]/Integrated[[#This Row],[Total population]]</f>
        <v>2.5037622811796729E-4</v>
      </c>
    </row>
    <row r="175" spans="1:41" x14ac:dyDescent="0.3">
      <c r="A175" s="44" t="s">
        <v>241</v>
      </c>
      <c r="B175" t="s">
        <v>183</v>
      </c>
      <c r="C175" s="45">
        <v>2012</v>
      </c>
      <c r="D175" s="51">
        <v>2787856</v>
      </c>
      <c r="E175" s="2">
        <v>1353152</v>
      </c>
      <c r="F175" s="2">
        <v>1434709</v>
      </c>
      <c r="G175" s="78">
        <f>Integrated[[#This Row],[Female Total population]]/Integrated[[#This Row],[Total population]]</f>
        <v>0.51462808696001516</v>
      </c>
      <c r="H175" s="2">
        <v>195534</v>
      </c>
      <c r="I175" s="2">
        <v>390471</v>
      </c>
      <c r="J175" s="2">
        <v>412536</v>
      </c>
      <c r="K175" s="2">
        <v>361226</v>
      </c>
      <c r="L175" s="2">
        <v>353861</v>
      </c>
      <c r="M175" s="2">
        <v>388183</v>
      </c>
      <c r="N175" s="2">
        <v>328519</v>
      </c>
      <c r="O175" s="2">
        <v>203509</v>
      </c>
      <c r="P175" s="2">
        <v>113300</v>
      </c>
      <c r="Q175" s="52">
        <v>41661</v>
      </c>
      <c r="R175" s="127">
        <f>Integrated[[#This Row],[Population 85+ years]]/Integrated[[#This Row],[Total population]]</f>
        <v>1.4943741714062707E-2</v>
      </c>
      <c r="S175" s="58">
        <v>120</v>
      </c>
      <c r="T175" s="59">
        <v>60</v>
      </c>
      <c r="U175" s="59">
        <v>60</v>
      </c>
      <c r="V175" s="59">
        <v>60</v>
      </c>
      <c r="W175" s="59">
        <v>60</v>
      </c>
      <c r="X175" s="59">
        <v>60</v>
      </c>
      <c r="Y175" s="59">
        <v>60</v>
      </c>
      <c r="Z175" s="59">
        <v>91</v>
      </c>
      <c r="AA175" s="59">
        <v>122</v>
      </c>
      <c r="AB175" s="59">
        <v>237</v>
      </c>
      <c r="AC175" s="59">
        <f>VLOOKUP($A175,'[1]Flu Deaths Updated'!$A$2:$N$460,14,FALSE)</f>
        <v>60</v>
      </c>
      <c r="AD175" s="60">
        <f t="shared" si="2"/>
        <v>990</v>
      </c>
      <c r="AE175" s="66">
        <f>Integrated[[#This Row],[Flu Deaths &lt;5 years old]]/Integrated[[#This Row],[Population &lt;5 years]]</f>
        <v>6.1370401055570894E-4</v>
      </c>
      <c r="AF175" s="67">
        <f>Integrated[[#This Row],[Flu Deaths 5 to 14 years]]/Integrated[[#This Row],[Population 5 to 14 years]]</f>
        <v>1.5366057914672281E-4</v>
      </c>
      <c r="AG175" s="67">
        <f>Integrated[[#This Row],[Flu Deaths 15 to 24 years]]/Integrated[[#This Row],[Population 15 to 24 years]]</f>
        <v>1.4544185234743149E-4</v>
      </c>
      <c r="AH175" s="67">
        <f>Integrated[[#This Row],[Flu Deaths 25 to 34 years]]/Integrated[[#This Row],[Population 25 to 34 years]]</f>
        <v>1.6610100048169291E-4</v>
      </c>
      <c r="AI175" s="67">
        <f>Integrated[[#This Row],[Flu Deaths 35 to 44 years]]/Integrated[[#This Row],[Population 35 to 44 years]]</f>
        <v>1.6955810332305624E-4</v>
      </c>
      <c r="AJ175" s="67">
        <f>Integrated[[#This Row],[Flu Deaths 45 to 54 years]]/Integrated[[#This Row],[Population 45 to 54 years]]</f>
        <v>1.5456627415420048E-4</v>
      </c>
      <c r="AK175" s="67">
        <f>Integrated[[#This Row],[Flu Deaths 55 to 64 years]]/Integrated[[#This Row],[Population 55 to 64 years]]</f>
        <v>1.826378382985459E-4</v>
      </c>
      <c r="AL175" s="67">
        <f>Integrated[[#This Row],[Flu Deaths 65 to 74 years]]/Integrated[[#This Row],[Population 65 to 74 years]]</f>
        <v>4.471546712921787E-4</v>
      </c>
      <c r="AM175" s="67">
        <f>Integrated[[#This Row],[Flu Deaths 75 to 84 years]]/Integrated[[#This Row],[Population 75 to 84 years]]</f>
        <v>1.0767872903795234E-3</v>
      </c>
      <c r="AN175" s="67">
        <f>Integrated[[#This Row],[Flu Deaths 85+ years]]/Integrated[[#This Row],[Population 85+ years]]</f>
        <v>5.6887736732195576E-3</v>
      </c>
      <c r="AO175" s="68">
        <f>Integrated[[#This Row],[Total Flu Deaths]]/Integrated[[#This Row],[Total population]]</f>
        <v>3.5511159830349916E-4</v>
      </c>
    </row>
    <row r="176" spans="1:41" x14ac:dyDescent="0.3">
      <c r="A176" s="44" t="s">
        <v>134</v>
      </c>
      <c r="B176" t="s">
        <v>122</v>
      </c>
      <c r="C176" s="45">
        <v>2012</v>
      </c>
      <c r="D176" s="51">
        <v>1362730</v>
      </c>
      <c r="E176" s="2">
        <v>683498</v>
      </c>
      <c r="F176" s="2">
        <v>679232</v>
      </c>
      <c r="G176" s="78">
        <f>Integrated[[#This Row],[Female Total population]]/Integrated[[#This Row],[Total population]]</f>
        <v>0.49843475963690531</v>
      </c>
      <c r="H176" s="2">
        <v>88389</v>
      </c>
      <c r="I176" s="2">
        <v>163167</v>
      </c>
      <c r="J176" s="2">
        <v>182446</v>
      </c>
      <c r="K176" s="2">
        <v>188614</v>
      </c>
      <c r="L176" s="2">
        <v>176129</v>
      </c>
      <c r="M176" s="2">
        <v>191613</v>
      </c>
      <c r="N176" s="2">
        <v>174625</v>
      </c>
      <c r="O176" s="2">
        <v>102134</v>
      </c>
      <c r="P176" s="2">
        <v>63204</v>
      </c>
      <c r="Q176" s="52">
        <v>31783</v>
      </c>
      <c r="R176" s="127">
        <f>Integrated[[#This Row],[Population 85+ years]]/Integrated[[#This Row],[Total population]]</f>
        <v>2.3323035377514255E-2</v>
      </c>
      <c r="S176" s="58">
        <v>120</v>
      </c>
      <c r="T176" s="59">
        <v>60</v>
      </c>
      <c r="U176" s="59">
        <v>60</v>
      </c>
      <c r="V176" s="59">
        <v>60</v>
      </c>
      <c r="W176" s="59">
        <v>60</v>
      </c>
      <c r="X176" s="59">
        <v>60</v>
      </c>
      <c r="Y176" s="59">
        <v>60</v>
      </c>
      <c r="Z176" s="59">
        <v>60</v>
      </c>
      <c r="AA176" s="59">
        <v>76</v>
      </c>
      <c r="AB176" s="59">
        <v>239</v>
      </c>
      <c r="AC176" s="59">
        <f>VLOOKUP($A176,'[1]Flu Deaths Updated'!$A$2:$N$460,14,FALSE)</f>
        <v>60</v>
      </c>
      <c r="AD176" s="60">
        <f t="shared" si="2"/>
        <v>915</v>
      </c>
      <c r="AE176" s="66">
        <f>Integrated[[#This Row],[Flu Deaths &lt;5 years old]]/Integrated[[#This Row],[Population &lt;5 years]]</f>
        <v>1.3576349998302955E-3</v>
      </c>
      <c r="AF176" s="67">
        <f>Integrated[[#This Row],[Flu Deaths 5 to 14 years]]/Integrated[[#This Row],[Population 5 to 14 years]]</f>
        <v>3.6772141425655923E-4</v>
      </c>
      <c r="AG176" s="67">
        <f>Integrated[[#This Row],[Flu Deaths 15 to 24 years]]/Integrated[[#This Row],[Population 15 to 24 years]]</f>
        <v>3.2886443111934492E-4</v>
      </c>
      <c r="AH176" s="67">
        <f>Integrated[[#This Row],[Flu Deaths 25 to 34 years]]/Integrated[[#This Row],[Population 25 to 34 years]]</f>
        <v>3.1811000243884337E-4</v>
      </c>
      <c r="AI176" s="67">
        <f>Integrated[[#This Row],[Flu Deaths 35 to 44 years]]/Integrated[[#This Row],[Population 35 to 44 years]]</f>
        <v>3.4065940305117272E-4</v>
      </c>
      <c r="AJ176" s="67">
        <f>Integrated[[#This Row],[Flu Deaths 45 to 54 years]]/Integrated[[#This Row],[Population 45 to 54 years]]</f>
        <v>3.1313115498426513E-4</v>
      </c>
      <c r="AK176" s="67">
        <f>Integrated[[#This Row],[Flu Deaths 55 to 64 years]]/Integrated[[#This Row],[Population 55 to 64 years]]</f>
        <v>3.4359341445955619E-4</v>
      </c>
      <c r="AL176" s="67">
        <f>Integrated[[#This Row],[Flu Deaths 65 to 74 years]]/Integrated[[#This Row],[Population 65 to 74 years]]</f>
        <v>5.8746352830595105E-4</v>
      </c>
      <c r="AM176" s="67">
        <f>Integrated[[#This Row],[Flu Deaths 75 to 84 years]]/Integrated[[#This Row],[Population 75 to 84 years]]</f>
        <v>1.2024555407885577E-3</v>
      </c>
      <c r="AN176" s="67">
        <f>Integrated[[#This Row],[Flu Deaths 85+ years]]/Integrated[[#This Row],[Population 85+ years]]</f>
        <v>7.5197432589749237E-3</v>
      </c>
      <c r="AO176" s="68">
        <f>Integrated[[#This Row],[Total Flu Deaths]]/Integrated[[#This Row],[Total population]]</f>
        <v>6.7144628796606811E-4</v>
      </c>
    </row>
    <row r="177" spans="1:41" x14ac:dyDescent="0.3">
      <c r="A177" s="44" t="s">
        <v>209</v>
      </c>
      <c r="B177" t="s">
        <v>199</v>
      </c>
      <c r="C177" s="45">
        <v>2016</v>
      </c>
      <c r="D177" s="51">
        <v>2626356</v>
      </c>
      <c r="E177" s="2">
        <v>1289217</v>
      </c>
      <c r="F177" s="2">
        <v>1337146</v>
      </c>
      <c r="G177" s="78">
        <f>Integrated[[#This Row],[Female Total population]]/Integrated[[#This Row],[Total population]]</f>
        <v>0.50912595246036718</v>
      </c>
      <c r="H177" s="2">
        <v>170198</v>
      </c>
      <c r="I177" s="2">
        <v>352947</v>
      </c>
      <c r="J177" s="2">
        <v>367434</v>
      </c>
      <c r="K177" s="2">
        <v>347536</v>
      </c>
      <c r="L177" s="2">
        <v>326932</v>
      </c>
      <c r="M177" s="2">
        <v>340150</v>
      </c>
      <c r="N177" s="2">
        <v>323048</v>
      </c>
      <c r="O177" s="2">
        <v>230345</v>
      </c>
      <c r="P177" s="2">
        <v>120527</v>
      </c>
      <c r="Q177" s="52">
        <v>47469</v>
      </c>
      <c r="R177" s="127">
        <f>Integrated[[#This Row],[Population 85+ years]]/Integrated[[#This Row],[Total population]]</f>
        <v>1.8074092011897854E-2</v>
      </c>
      <c r="S177" s="58">
        <v>120</v>
      </c>
      <c r="T177" s="59">
        <v>60</v>
      </c>
      <c r="U177" s="59">
        <v>60</v>
      </c>
      <c r="V177" s="59">
        <v>60</v>
      </c>
      <c r="W177" s="59">
        <v>60</v>
      </c>
      <c r="X177" s="59">
        <v>60</v>
      </c>
      <c r="Y177" s="59">
        <v>60</v>
      </c>
      <c r="Z177" s="59">
        <v>113</v>
      </c>
      <c r="AA177" s="59">
        <v>169</v>
      </c>
      <c r="AB177" s="59">
        <v>239</v>
      </c>
      <c r="AC177" s="59">
        <f>VLOOKUP($A177,'[1]Flu Deaths Updated'!$A$2:$N$460,14,FALSE)</f>
        <v>60</v>
      </c>
      <c r="AD177" s="60">
        <f t="shared" si="2"/>
        <v>1061</v>
      </c>
      <c r="AE177" s="66">
        <f>Integrated[[#This Row],[Flu Deaths &lt;5 years old]]/Integrated[[#This Row],[Population &lt;5 years]]</f>
        <v>7.050611640559819E-4</v>
      </c>
      <c r="AF177" s="67">
        <f>Integrated[[#This Row],[Flu Deaths 5 to 14 years]]/Integrated[[#This Row],[Population 5 to 14 years]]</f>
        <v>1.6999719504628174E-4</v>
      </c>
      <c r="AG177" s="67">
        <f>Integrated[[#This Row],[Flu Deaths 15 to 24 years]]/Integrated[[#This Row],[Population 15 to 24 years]]</f>
        <v>1.6329463250542954E-4</v>
      </c>
      <c r="AH177" s="67">
        <f>Integrated[[#This Row],[Flu Deaths 25 to 34 years]]/Integrated[[#This Row],[Population 25 to 34 years]]</f>
        <v>1.7264398508355969E-4</v>
      </c>
      <c r="AI177" s="67">
        <f>Integrated[[#This Row],[Flu Deaths 35 to 44 years]]/Integrated[[#This Row],[Population 35 to 44 years]]</f>
        <v>1.8352440262806943E-4</v>
      </c>
      <c r="AJ177" s="67">
        <f>Integrated[[#This Row],[Flu Deaths 45 to 54 years]]/Integrated[[#This Row],[Population 45 to 54 years]]</f>
        <v>1.7639276789651625E-4</v>
      </c>
      <c r="AK177" s="67">
        <f>Integrated[[#This Row],[Flu Deaths 55 to 64 years]]/Integrated[[#This Row],[Population 55 to 64 years]]</f>
        <v>1.8573091305316858E-4</v>
      </c>
      <c r="AL177" s="67">
        <f>Integrated[[#This Row],[Flu Deaths 65 to 74 years]]/Integrated[[#This Row],[Population 65 to 74 years]]</f>
        <v>4.9056849508346179E-4</v>
      </c>
      <c r="AM177" s="67">
        <f>Integrated[[#This Row],[Flu Deaths 75 to 84 years]]/Integrated[[#This Row],[Population 75 to 84 years]]</f>
        <v>1.4021754461655894E-3</v>
      </c>
      <c r="AN177" s="67">
        <f>Integrated[[#This Row],[Flu Deaths 85+ years]]/Integrated[[#This Row],[Population 85+ years]]</f>
        <v>5.0348648591712489E-3</v>
      </c>
      <c r="AO177" s="68">
        <f>Integrated[[#This Row],[Total Flu Deaths]]/Integrated[[#This Row],[Total population]]</f>
        <v>4.0398179073971696E-4</v>
      </c>
    </row>
    <row r="178" spans="1:41" x14ac:dyDescent="0.3">
      <c r="A178" s="44" t="s">
        <v>214</v>
      </c>
      <c r="B178" t="s">
        <v>199</v>
      </c>
      <c r="C178" s="45">
        <v>2017</v>
      </c>
      <c r="D178" s="51">
        <v>2804554</v>
      </c>
      <c r="E178" s="2">
        <v>1378812</v>
      </c>
      <c r="F178" s="2">
        <v>1425744</v>
      </c>
      <c r="G178" s="78">
        <f>Integrated[[#This Row],[Female Total population]]/Integrated[[#This Row],[Total population]]</f>
        <v>0.50836746234873709</v>
      </c>
      <c r="H178" s="2">
        <v>181290</v>
      </c>
      <c r="I178" s="2">
        <v>376272</v>
      </c>
      <c r="J178" s="2">
        <v>388464</v>
      </c>
      <c r="K178" s="2">
        <v>370217</v>
      </c>
      <c r="L178" s="2">
        <v>349093</v>
      </c>
      <c r="M178" s="2">
        <v>356692</v>
      </c>
      <c r="N178" s="2">
        <v>347503</v>
      </c>
      <c r="O178" s="2">
        <v>254101</v>
      </c>
      <c r="P178" s="2">
        <v>129955</v>
      </c>
      <c r="Q178" s="52">
        <v>51022</v>
      </c>
      <c r="R178" s="127">
        <f>Integrated[[#This Row],[Population 85+ years]]/Integrated[[#This Row],[Total population]]</f>
        <v>1.8192553967582726E-2</v>
      </c>
      <c r="S178" s="58">
        <v>120</v>
      </c>
      <c r="T178" s="59">
        <v>60</v>
      </c>
      <c r="U178" s="59">
        <v>60</v>
      </c>
      <c r="V178" s="59">
        <v>60</v>
      </c>
      <c r="W178" s="59">
        <v>60</v>
      </c>
      <c r="X178" s="59">
        <v>60</v>
      </c>
      <c r="Y178" s="59">
        <v>66</v>
      </c>
      <c r="Z178" s="59">
        <v>119</v>
      </c>
      <c r="AA178" s="59">
        <v>220</v>
      </c>
      <c r="AB178" s="59">
        <v>240</v>
      </c>
      <c r="AC178" s="59">
        <f>VLOOKUP($A178,'[1]Flu Deaths Updated'!$A$2:$N$460,14,FALSE)</f>
        <v>60</v>
      </c>
      <c r="AD178" s="60">
        <f t="shared" si="2"/>
        <v>1125</v>
      </c>
      <c r="AE178" s="66">
        <f>Integrated[[#This Row],[Flu Deaths &lt;5 years old]]/Integrated[[#This Row],[Population &lt;5 years]]</f>
        <v>6.6192288598378288E-4</v>
      </c>
      <c r="AF178" s="67">
        <f>Integrated[[#This Row],[Flu Deaths 5 to 14 years]]/Integrated[[#This Row],[Population 5 to 14 years]]</f>
        <v>1.5945911468299528E-4</v>
      </c>
      <c r="AG178" s="67">
        <f>Integrated[[#This Row],[Flu Deaths 15 to 24 years]]/Integrated[[#This Row],[Population 15 to 24 years]]</f>
        <v>1.5445446682318053E-4</v>
      </c>
      <c r="AH178" s="67">
        <f>Integrated[[#This Row],[Flu Deaths 25 to 34 years]]/Integrated[[#This Row],[Population 25 to 34 years]]</f>
        <v>1.6206711199107552E-4</v>
      </c>
      <c r="AI178" s="67">
        <f>Integrated[[#This Row],[Flu Deaths 35 to 44 years]]/Integrated[[#This Row],[Population 35 to 44 years]]</f>
        <v>1.7187397054653058E-4</v>
      </c>
      <c r="AJ178" s="67">
        <f>Integrated[[#This Row],[Flu Deaths 45 to 54 years]]/Integrated[[#This Row],[Population 45 to 54 years]]</f>
        <v>1.6821235127224609E-4</v>
      </c>
      <c r="AK178" s="67">
        <f>Integrated[[#This Row],[Flu Deaths 55 to 64 years]]/Integrated[[#This Row],[Population 55 to 64 years]]</f>
        <v>1.8992641790142818E-4</v>
      </c>
      <c r="AL178" s="67">
        <f>Integrated[[#This Row],[Flu Deaths 65 to 74 years]]/Integrated[[#This Row],[Population 65 to 74 years]]</f>
        <v>4.6831771618372224E-4</v>
      </c>
      <c r="AM178" s="67">
        <f>Integrated[[#This Row],[Flu Deaths 75 to 84 years]]/Integrated[[#This Row],[Population 75 to 84 years]]</f>
        <v>1.6928936939709901E-3</v>
      </c>
      <c r="AN178" s="67">
        <f>Integrated[[#This Row],[Flu Deaths 85+ years]]/Integrated[[#This Row],[Population 85+ years]]</f>
        <v>4.703853239778919E-3</v>
      </c>
      <c r="AO178" s="68">
        <f>Integrated[[#This Row],[Total Flu Deaths]]/Integrated[[#This Row],[Total population]]</f>
        <v>4.0113329962625075E-4</v>
      </c>
    </row>
    <row r="179" spans="1:41" x14ac:dyDescent="0.3">
      <c r="A179" s="44" t="s">
        <v>195</v>
      </c>
      <c r="B179" t="s">
        <v>183</v>
      </c>
      <c r="C179" s="45">
        <v>2014</v>
      </c>
      <c r="D179" s="51">
        <v>2684563</v>
      </c>
      <c r="E179" s="2">
        <v>1305102</v>
      </c>
      <c r="F179" s="2">
        <v>1379469</v>
      </c>
      <c r="G179" s="78">
        <f>Integrated[[#This Row],[Female Total population]]/Integrated[[#This Row],[Total population]]</f>
        <v>0.51385234766328824</v>
      </c>
      <c r="H179" s="2">
        <v>179481</v>
      </c>
      <c r="I179" s="2">
        <v>373028</v>
      </c>
      <c r="J179" s="2">
        <v>383767</v>
      </c>
      <c r="K179" s="2">
        <v>349226</v>
      </c>
      <c r="L179" s="2">
        <v>336636</v>
      </c>
      <c r="M179" s="2">
        <v>365351</v>
      </c>
      <c r="N179" s="2">
        <v>329444</v>
      </c>
      <c r="O179" s="2">
        <v>210270</v>
      </c>
      <c r="P179" s="2">
        <v>115103</v>
      </c>
      <c r="Q179" s="52">
        <v>42920</v>
      </c>
      <c r="R179" s="127">
        <f>Integrated[[#This Row],[Population 85+ years]]/Integrated[[#This Row],[Total population]]</f>
        <v>1.5987704516526525E-2</v>
      </c>
      <c r="S179" s="58">
        <v>120</v>
      </c>
      <c r="T179" s="59">
        <v>60</v>
      </c>
      <c r="U179" s="59">
        <v>60</v>
      </c>
      <c r="V179" s="59">
        <v>60</v>
      </c>
      <c r="W179" s="59">
        <v>67</v>
      </c>
      <c r="X179" s="59">
        <v>60</v>
      </c>
      <c r="Y179" s="59">
        <v>110</v>
      </c>
      <c r="Z179" s="59">
        <v>117</v>
      </c>
      <c r="AA179" s="59">
        <v>197</v>
      </c>
      <c r="AB179" s="59">
        <v>241</v>
      </c>
      <c r="AC179" s="59">
        <f>VLOOKUP($A179,'[1]Flu Deaths Updated'!$A$2:$N$460,14,FALSE)</f>
        <v>60</v>
      </c>
      <c r="AD179" s="60">
        <f t="shared" si="2"/>
        <v>1152</v>
      </c>
      <c r="AE179" s="66">
        <f>Integrated[[#This Row],[Flu Deaths &lt;5 years old]]/Integrated[[#This Row],[Population &lt;5 years]]</f>
        <v>6.6859444732311497E-4</v>
      </c>
      <c r="AF179" s="67">
        <f>Integrated[[#This Row],[Flu Deaths 5 to 14 years]]/Integrated[[#This Row],[Population 5 to 14 years]]</f>
        <v>1.608458346290359E-4</v>
      </c>
      <c r="AG179" s="67">
        <f>Integrated[[#This Row],[Flu Deaths 15 to 24 years]]/Integrated[[#This Row],[Population 15 to 24 years]]</f>
        <v>1.5634486550432944E-4</v>
      </c>
      <c r="AH179" s="67">
        <f>Integrated[[#This Row],[Flu Deaths 25 to 34 years]]/Integrated[[#This Row],[Population 25 to 34 years]]</f>
        <v>1.7180851368454812E-4</v>
      </c>
      <c r="AI179" s="67">
        <f>Integrated[[#This Row],[Flu Deaths 35 to 44 years]]/Integrated[[#This Row],[Population 35 to 44 years]]</f>
        <v>1.7823405696360461E-4</v>
      </c>
      <c r="AJ179" s="67">
        <f>Integrated[[#This Row],[Flu Deaths 45 to 54 years]]/Integrated[[#This Row],[Population 45 to 54 years]]</f>
        <v>1.8338529249954154E-4</v>
      </c>
      <c r="AK179" s="67">
        <f>Integrated[[#This Row],[Flu Deaths 55 to 64 years]]/Integrated[[#This Row],[Population 55 to 64 years]]</f>
        <v>3.3389589733004698E-4</v>
      </c>
      <c r="AL179" s="67">
        <f>Integrated[[#This Row],[Flu Deaths 65 to 74 years]]/Integrated[[#This Row],[Population 65 to 74 years]]</f>
        <v>5.564274504208874E-4</v>
      </c>
      <c r="AM179" s="67">
        <f>Integrated[[#This Row],[Flu Deaths 75 to 84 years]]/Integrated[[#This Row],[Population 75 to 84 years]]</f>
        <v>1.7115105601070346E-3</v>
      </c>
      <c r="AN179" s="67">
        <f>Integrated[[#This Row],[Flu Deaths 85+ years]]/Integrated[[#This Row],[Population 85+ years]]</f>
        <v>5.6150978564771664E-3</v>
      </c>
      <c r="AO179" s="68">
        <f>Integrated[[#This Row],[Total Flu Deaths]]/Integrated[[#This Row],[Total population]]</f>
        <v>4.2912012122643423E-4</v>
      </c>
    </row>
    <row r="180" spans="1:41" x14ac:dyDescent="0.3">
      <c r="A180" s="44" t="s">
        <v>421</v>
      </c>
      <c r="B180" t="s">
        <v>329</v>
      </c>
      <c r="C180" s="45">
        <v>2016</v>
      </c>
      <c r="D180" s="51">
        <v>4731552</v>
      </c>
      <c r="E180" s="2">
        <v>2300339</v>
      </c>
      <c r="F180" s="2">
        <v>2431213</v>
      </c>
      <c r="G180" s="78">
        <f>Integrated[[#This Row],[Female Total population]]/Integrated[[#This Row],[Total population]]</f>
        <v>0.5138299230358242</v>
      </c>
      <c r="H180" s="2">
        <v>285265</v>
      </c>
      <c r="I180" s="2">
        <v>597393</v>
      </c>
      <c r="J180" s="2">
        <v>640744</v>
      </c>
      <c r="K180" s="2">
        <v>614030</v>
      </c>
      <c r="L180" s="2">
        <v>585213</v>
      </c>
      <c r="M180" s="2">
        <v>636489</v>
      </c>
      <c r="N180" s="2">
        <v>620886</v>
      </c>
      <c r="O180" s="2">
        <v>459653</v>
      </c>
      <c r="P180" s="2">
        <v>209554</v>
      </c>
      <c r="Q180" s="52">
        <v>79076</v>
      </c>
      <c r="R180" s="127">
        <f>Integrated[[#This Row],[Population 85+ years]]/Integrated[[#This Row],[Total population]]</f>
        <v>1.6712486727399382E-2</v>
      </c>
      <c r="S180" s="58">
        <v>120</v>
      </c>
      <c r="T180" s="59">
        <v>60</v>
      </c>
      <c r="U180" s="59">
        <v>60</v>
      </c>
      <c r="V180" s="59">
        <v>60</v>
      </c>
      <c r="W180" s="59">
        <v>67</v>
      </c>
      <c r="X180" s="59">
        <v>60</v>
      </c>
      <c r="Y180" s="59">
        <v>82</v>
      </c>
      <c r="Z180" s="59">
        <v>109</v>
      </c>
      <c r="AA180" s="59">
        <v>161</v>
      </c>
      <c r="AB180" s="59">
        <v>244</v>
      </c>
      <c r="AC180" s="59">
        <f>VLOOKUP($A180,'[1]Flu Deaths Updated'!$A$2:$N$460,14,FALSE)</f>
        <v>60</v>
      </c>
      <c r="AD180" s="60">
        <f t="shared" si="2"/>
        <v>1083</v>
      </c>
      <c r="AE180" s="66">
        <f>Integrated[[#This Row],[Flu Deaths &lt;5 years old]]/Integrated[[#This Row],[Population &lt;5 years]]</f>
        <v>4.2066149019332903E-4</v>
      </c>
      <c r="AF180" s="67">
        <f>Integrated[[#This Row],[Flu Deaths 5 to 14 years]]/Integrated[[#This Row],[Population 5 to 14 years]]</f>
        <v>1.0043639614123367E-4</v>
      </c>
      <c r="AG180" s="67">
        <f>Integrated[[#This Row],[Flu Deaths 15 to 24 years]]/Integrated[[#This Row],[Population 15 to 24 years]]</f>
        <v>9.3641142172224792E-5</v>
      </c>
      <c r="AH180" s="67">
        <f>Integrated[[#This Row],[Flu Deaths 25 to 34 years]]/Integrated[[#This Row],[Population 25 to 34 years]]</f>
        <v>9.7715095353647215E-5</v>
      </c>
      <c r="AI180" s="67">
        <f>Integrated[[#This Row],[Flu Deaths 35 to 44 years]]/Integrated[[#This Row],[Population 35 to 44 years]]</f>
        <v>1.0252677230341772E-4</v>
      </c>
      <c r="AJ180" s="67">
        <f>Integrated[[#This Row],[Flu Deaths 45 to 54 years]]/Integrated[[#This Row],[Population 45 to 54 years]]</f>
        <v>1.052649770852285E-4</v>
      </c>
      <c r="AK180" s="67">
        <f>Integrated[[#This Row],[Flu Deaths 55 to 64 years]]/Integrated[[#This Row],[Population 55 to 64 years]]</f>
        <v>1.3206933317871559E-4</v>
      </c>
      <c r="AL180" s="67">
        <f>Integrated[[#This Row],[Flu Deaths 65 to 74 years]]/Integrated[[#This Row],[Population 65 to 74 years]]</f>
        <v>2.3713540431586437E-4</v>
      </c>
      <c r="AM180" s="67">
        <f>Integrated[[#This Row],[Flu Deaths 75 to 84 years]]/Integrated[[#This Row],[Population 75 to 84 years]]</f>
        <v>7.6829838609618524E-4</v>
      </c>
      <c r="AN180" s="67">
        <f>Integrated[[#This Row],[Flu Deaths 85+ years]]/Integrated[[#This Row],[Population 85+ years]]</f>
        <v>3.0856391319743033E-3</v>
      </c>
      <c r="AO180" s="68">
        <f>Integrated[[#This Row],[Total Flu Deaths]]/Integrated[[#This Row],[Total population]]</f>
        <v>2.2888895651997483E-4</v>
      </c>
    </row>
    <row r="181" spans="1:41" x14ac:dyDescent="0.3">
      <c r="A181" s="44" t="s">
        <v>494</v>
      </c>
      <c r="B181" t="s">
        <v>448</v>
      </c>
      <c r="C181" s="45">
        <v>2017</v>
      </c>
      <c r="D181" s="51">
        <v>5296497</v>
      </c>
      <c r="E181" s="2">
        <v>2655599</v>
      </c>
      <c r="F181" s="2">
        <v>2640904</v>
      </c>
      <c r="G181" s="78">
        <f>Integrated[[#This Row],[Female Total population]]/Integrated[[#This Row],[Total population]]</f>
        <v>0.49861332877182785</v>
      </c>
      <c r="H181" s="2">
        <v>327010</v>
      </c>
      <c r="I181" s="2">
        <v>690927</v>
      </c>
      <c r="J181" s="2">
        <v>720282</v>
      </c>
      <c r="K181" s="2">
        <v>796680</v>
      </c>
      <c r="L181" s="2">
        <v>711353</v>
      </c>
      <c r="M181" s="2">
        <v>692321</v>
      </c>
      <c r="N181" s="2">
        <v>658769</v>
      </c>
      <c r="O181" s="2">
        <v>420608</v>
      </c>
      <c r="P181" s="2">
        <v>195643</v>
      </c>
      <c r="Q181" s="52">
        <v>82959</v>
      </c>
      <c r="R181" s="127">
        <f>Integrated[[#This Row],[Population 85+ years]]/Integrated[[#This Row],[Total population]]</f>
        <v>1.5662993861792048E-2</v>
      </c>
      <c r="S181" s="58">
        <v>120</v>
      </c>
      <c r="T181" s="59">
        <v>60</v>
      </c>
      <c r="U181" s="59">
        <v>60</v>
      </c>
      <c r="V181" s="59">
        <v>60</v>
      </c>
      <c r="W181" s="59">
        <v>60</v>
      </c>
      <c r="X181" s="59">
        <v>60</v>
      </c>
      <c r="Y181" s="59">
        <v>82</v>
      </c>
      <c r="Z181" s="59">
        <v>83</v>
      </c>
      <c r="AA181" s="59">
        <v>105</v>
      </c>
      <c r="AB181" s="59">
        <v>246</v>
      </c>
      <c r="AC181" s="59">
        <f>VLOOKUP($A181,'[1]Flu Deaths Updated'!$A$2:$N$460,14,FALSE)</f>
        <v>60</v>
      </c>
      <c r="AD181" s="60">
        <f t="shared" si="2"/>
        <v>996</v>
      </c>
      <c r="AE181" s="66">
        <f>Integrated[[#This Row],[Flu Deaths &lt;5 years old]]/Integrated[[#This Row],[Population &lt;5 years]]</f>
        <v>3.6696125500749213E-4</v>
      </c>
      <c r="AF181" s="67">
        <f>Integrated[[#This Row],[Flu Deaths 5 to 14 years]]/Integrated[[#This Row],[Population 5 to 14 years]]</f>
        <v>8.6839854282724517E-5</v>
      </c>
      <c r="AG181" s="67">
        <f>Integrated[[#This Row],[Flu Deaths 15 to 24 years]]/Integrated[[#This Row],[Population 15 to 24 years]]</f>
        <v>8.3300707223004326E-5</v>
      </c>
      <c r="AH181" s="67">
        <f>Integrated[[#This Row],[Flu Deaths 25 to 34 years]]/Integrated[[#This Row],[Population 25 to 34 years]]</f>
        <v>7.5312547070341922E-5</v>
      </c>
      <c r="AI181" s="67">
        <f>Integrated[[#This Row],[Flu Deaths 35 to 44 years]]/Integrated[[#This Row],[Population 35 to 44 years]]</f>
        <v>8.4346309075803439E-5</v>
      </c>
      <c r="AJ181" s="67">
        <f>Integrated[[#This Row],[Flu Deaths 45 to 54 years]]/Integrated[[#This Row],[Population 45 to 54 years]]</f>
        <v>8.6665000772762928E-5</v>
      </c>
      <c r="AK181" s="67">
        <f>Integrated[[#This Row],[Flu Deaths 55 to 64 years]]/Integrated[[#This Row],[Population 55 to 64 years]]</f>
        <v>1.2447458820922052E-4</v>
      </c>
      <c r="AL181" s="67">
        <f>Integrated[[#This Row],[Flu Deaths 65 to 74 years]]/Integrated[[#This Row],[Population 65 to 74 years]]</f>
        <v>1.9733338405356055E-4</v>
      </c>
      <c r="AM181" s="67">
        <f>Integrated[[#This Row],[Flu Deaths 75 to 84 years]]/Integrated[[#This Row],[Population 75 to 84 years]]</f>
        <v>5.3669183155032377E-4</v>
      </c>
      <c r="AN181" s="67">
        <f>Integrated[[#This Row],[Flu Deaths 85+ years]]/Integrated[[#This Row],[Population 85+ years]]</f>
        <v>2.9653202184211479E-3</v>
      </c>
      <c r="AO181" s="68">
        <f>Integrated[[#This Row],[Total Flu Deaths]]/Integrated[[#This Row],[Total population]]</f>
        <v>1.8804881792626335E-4</v>
      </c>
    </row>
    <row r="182" spans="1:41" x14ac:dyDescent="0.3">
      <c r="A182" s="44" t="s">
        <v>398</v>
      </c>
      <c r="B182" t="s">
        <v>329</v>
      </c>
      <c r="C182" s="45">
        <v>2017</v>
      </c>
      <c r="D182" s="51">
        <v>4735974</v>
      </c>
      <c r="E182" s="2">
        <v>2297176</v>
      </c>
      <c r="F182" s="2">
        <v>2438798</v>
      </c>
      <c r="G182" s="78">
        <f>Integrated[[#This Row],[Female Total population]]/Integrated[[#This Row],[Total population]]</f>
        <v>0.51495172904243136</v>
      </c>
      <c r="H182" s="2">
        <v>282543</v>
      </c>
      <c r="I182" s="2">
        <v>598168</v>
      </c>
      <c r="J182" s="2">
        <v>642660</v>
      </c>
      <c r="K182" s="2">
        <v>620220</v>
      </c>
      <c r="L182" s="2">
        <v>579298</v>
      </c>
      <c r="M182" s="2">
        <v>628142</v>
      </c>
      <c r="N182" s="2">
        <v>619803</v>
      </c>
      <c r="O182" s="2">
        <v>469627</v>
      </c>
      <c r="P182" s="2">
        <v>214631</v>
      </c>
      <c r="Q182" s="52">
        <v>80894</v>
      </c>
      <c r="R182" s="127">
        <f>Integrated[[#This Row],[Population 85+ years]]/Integrated[[#This Row],[Total population]]</f>
        <v>1.7080752554807101E-2</v>
      </c>
      <c r="S182" s="58">
        <v>120</v>
      </c>
      <c r="T182" s="59">
        <v>60</v>
      </c>
      <c r="U182" s="59">
        <v>60</v>
      </c>
      <c r="V182" s="59">
        <v>60</v>
      </c>
      <c r="W182" s="59">
        <v>60</v>
      </c>
      <c r="X182" s="59">
        <v>60</v>
      </c>
      <c r="Y182" s="59">
        <v>76</v>
      </c>
      <c r="Z182" s="59">
        <v>111</v>
      </c>
      <c r="AA182" s="59">
        <v>207</v>
      </c>
      <c r="AB182" s="59">
        <v>251</v>
      </c>
      <c r="AC182" s="59">
        <f>VLOOKUP($A182,'[1]Flu Deaths Updated'!$A$2:$N$460,14,FALSE)</f>
        <v>60</v>
      </c>
      <c r="AD182" s="60">
        <f t="shared" si="2"/>
        <v>1125</v>
      </c>
      <c r="AE182" s="66">
        <f>Integrated[[#This Row],[Flu Deaths &lt;5 years old]]/Integrated[[#This Row],[Population &lt;5 years]]</f>
        <v>4.2471411431180386E-4</v>
      </c>
      <c r="AF182" s="67">
        <f>Integrated[[#This Row],[Flu Deaths 5 to 14 years]]/Integrated[[#This Row],[Population 5 to 14 years]]</f>
        <v>1.0030626847307111E-4</v>
      </c>
      <c r="AG182" s="67">
        <f>Integrated[[#This Row],[Flu Deaths 15 to 24 years]]/Integrated[[#This Row],[Population 15 to 24 years]]</f>
        <v>9.3361964335729626E-5</v>
      </c>
      <c r="AH182" s="67">
        <f>Integrated[[#This Row],[Flu Deaths 25 to 34 years]]/Integrated[[#This Row],[Population 25 to 34 years]]</f>
        <v>9.6739866498984228E-5</v>
      </c>
      <c r="AI182" s="67">
        <f>Integrated[[#This Row],[Flu Deaths 35 to 44 years]]/Integrated[[#This Row],[Population 35 to 44 years]]</f>
        <v>1.0357363567628405E-4</v>
      </c>
      <c r="AJ182" s="67">
        <f>Integrated[[#This Row],[Flu Deaths 45 to 54 years]]/Integrated[[#This Row],[Population 45 to 54 years]]</f>
        <v>9.5519802847126919E-5</v>
      </c>
      <c r="AK182" s="67">
        <f>Integrated[[#This Row],[Flu Deaths 55 to 64 years]]/Integrated[[#This Row],[Population 55 to 64 years]]</f>
        <v>1.2261960655240455E-4</v>
      </c>
      <c r="AL182" s="67">
        <f>Integrated[[#This Row],[Flu Deaths 65 to 74 years]]/Integrated[[#This Row],[Population 65 to 74 years]]</f>
        <v>2.3635779033147583E-4</v>
      </c>
      <c r="AM182" s="67">
        <f>Integrated[[#This Row],[Flu Deaths 75 to 84 years]]/Integrated[[#This Row],[Population 75 to 84 years]]</f>
        <v>9.6444595608276534E-4</v>
      </c>
      <c r="AN182" s="67">
        <f>Integrated[[#This Row],[Flu Deaths 85+ years]]/Integrated[[#This Row],[Population 85+ years]]</f>
        <v>3.1028259203401982E-3</v>
      </c>
      <c r="AO182" s="68">
        <f>Integrated[[#This Row],[Total Flu Deaths]]/Integrated[[#This Row],[Total population]]</f>
        <v>2.3754353381162988E-4</v>
      </c>
    </row>
    <row r="183" spans="1:41" x14ac:dyDescent="0.3">
      <c r="A183" s="44" t="s">
        <v>133</v>
      </c>
      <c r="B183" t="s">
        <v>122</v>
      </c>
      <c r="C183" s="45">
        <v>2013</v>
      </c>
      <c r="D183" s="51">
        <v>1376298</v>
      </c>
      <c r="E183" s="2">
        <v>691426</v>
      </c>
      <c r="F183" s="2">
        <v>684872</v>
      </c>
      <c r="G183" s="78">
        <f>Integrated[[#This Row],[Female Total population]]/Integrated[[#This Row],[Total population]]</f>
        <v>0.49761897496036467</v>
      </c>
      <c r="H183" s="2">
        <v>88926</v>
      </c>
      <c r="I183" s="2">
        <v>165874</v>
      </c>
      <c r="J183" s="2">
        <v>182632</v>
      </c>
      <c r="K183" s="2">
        <v>192639</v>
      </c>
      <c r="L183" s="2">
        <v>174201</v>
      </c>
      <c r="M183" s="2">
        <v>188489</v>
      </c>
      <c r="N183" s="2">
        <v>177118</v>
      </c>
      <c r="O183" s="2">
        <v>106881</v>
      </c>
      <c r="P183" s="2">
        <v>62759</v>
      </c>
      <c r="Q183" s="52">
        <v>32581</v>
      </c>
      <c r="R183" s="127">
        <f>Integrated[[#This Row],[Population 85+ years]]/Integrated[[#This Row],[Total population]]</f>
        <v>2.3672925485614307E-2</v>
      </c>
      <c r="S183" s="58">
        <v>120</v>
      </c>
      <c r="T183" s="59">
        <v>60</v>
      </c>
      <c r="U183" s="59">
        <v>60</v>
      </c>
      <c r="V183" s="59">
        <v>60</v>
      </c>
      <c r="W183" s="59">
        <v>60</v>
      </c>
      <c r="X183" s="59">
        <v>60</v>
      </c>
      <c r="Y183" s="59">
        <v>60</v>
      </c>
      <c r="Z183" s="59">
        <v>60</v>
      </c>
      <c r="AA183" s="59">
        <v>97</v>
      </c>
      <c r="AB183" s="59">
        <v>252</v>
      </c>
      <c r="AC183" s="59">
        <f>VLOOKUP($A183,'[1]Flu Deaths Updated'!$A$2:$N$460,14,FALSE)</f>
        <v>60</v>
      </c>
      <c r="AD183" s="60">
        <f t="shared" si="2"/>
        <v>949</v>
      </c>
      <c r="AE183" s="66">
        <f>Integrated[[#This Row],[Flu Deaths &lt;5 years old]]/Integrated[[#This Row],[Population &lt;5 years]]</f>
        <v>1.3494366102152352E-3</v>
      </c>
      <c r="AF183" s="67">
        <f>Integrated[[#This Row],[Flu Deaths 5 to 14 years]]/Integrated[[#This Row],[Population 5 to 14 years]]</f>
        <v>3.6172034194629658E-4</v>
      </c>
      <c r="AG183" s="67">
        <f>Integrated[[#This Row],[Flu Deaths 15 to 24 years]]/Integrated[[#This Row],[Population 15 to 24 years]]</f>
        <v>3.2852950194927504E-4</v>
      </c>
      <c r="AH183" s="67">
        <f>Integrated[[#This Row],[Flu Deaths 25 to 34 years]]/Integrated[[#This Row],[Population 25 to 34 years]]</f>
        <v>3.1146341083581209E-4</v>
      </c>
      <c r="AI183" s="67">
        <f>Integrated[[#This Row],[Flu Deaths 35 to 44 years]]/Integrated[[#This Row],[Population 35 to 44 years]]</f>
        <v>3.4442971050682833E-4</v>
      </c>
      <c r="AJ183" s="67">
        <f>Integrated[[#This Row],[Flu Deaths 45 to 54 years]]/Integrated[[#This Row],[Population 45 to 54 years]]</f>
        <v>3.1832096302702014E-4</v>
      </c>
      <c r="AK183" s="67">
        <f>Integrated[[#This Row],[Flu Deaths 55 to 64 years]]/Integrated[[#This Row],[Population 55 to 64 years]]</f>
        <v>3.3875721270565384E-4</v>
      </c>
      <c r="AL183" s="67">
        <f>Integrated[[#This Row],[Flu Deaths 65 to 74 years]]/Integrated[[#This Row],[Population 65 to 74 years]]</f>
        <v>5.6137199315126171E-4</v>
      </c>
      <c r="AM183" s="67">
        <f>Integrated[[#This Row],[Flu Deaths 75 to 84 years]]/Integrated[[#This Row],[Population 75 to 84 years]]</f>
        <v>1.5455950540958269E-3</v>
      </c>
      <c r="AN183" s="67">
        <f>Integrated[[#This Row],[Flu Deaths 85+ years]]/Integrated[[#This Row],[Population 85+ years]]</f>
        <v>7.7345692274638595E-3</v>
      </c>
      <c r="AO183" s="68">
        <f>Integrated[[#This Row],[Total Flu Deaths]]/Integrated[[#This Row],[Total population]]</f>
        <v>6.8953090101126358E-4</v>
      </c>
    </row>
    <row r="184" spans="1:41" x14ac:dyDescent="0.3">
      <c r="A184" s="44" t="s">
        <v>383</v>
      </c>
      <c r="B184" t="s">
        <v>306</v>
      </c>
      <c r="C184" s="45">
        <v>2016</v>
      </c>
      <c r="D184" s="51">
        <v>4484261</v>
      </c>
      <c r="E184" s="2">
        <v>2188112</v>
      </c>
      <c r="F184" s="2">
        <v>2296151</v>
      </c>
      <c r="G184" s="78">
        <f>Integrated[[#This Row],[Female Total population]]/Integrated[[#This Row],[Total population]]</f>
        <v>0.51204668952141719</v>
      </c>
      <c r="H184" s="2">
        <v>294692</v>
      </c>
      <c r="I184" s="2">
        <v>593459</v>
      </c>
      <c r="J184" s="2">
        <v>620391</v>
      </c>
      <c r="K184" s="2">
        <v>633676</v>
      </c>
      <c r="L184" s="2">
        <v>545270</v>
      </c>
      <c r="M184" s="2">
        <v>587823</v>
      </c>
      <c r="N184" s="2">
        <v>574108</v>
      </c>
      <c r="O184" s="2">
        <v>371726</v>
      </c>
      <c r="P184" s="2">
        <v>188208</v>
      </c>
      <c r="Q184" s="52">
        <v>73678</v>
      </c>
      <c r="R184" s="127">
        <f>Integrated[[#This Row],[Population 85+ years]]/Integrated[[#This Row],[Total population]]</f>
        <v>1.6430354968187625E-2</v>
      </c>
      <c r="S184" s="58">
        <v>120</v>
      </c>
      <c r="T184" s="59">
        <v>60</v>
      </c>
      <c r="U184" s="59">
        <v>60</v>
      </c>
      <c r="V184" s="59">
        <v>60</v>
      </c>
      <c r="W184" s="59">
        <v>60</v>
      </c>
      <c r="X184" s="59">
        <v>60</v>
      </c>
      <c r="Y184" s="59">
        <v>76</v>
      </c>
      <c r="Z184" s="59">
        <v>106</v>
      </c>
      <c r="AA184" s="59">
        <v>180</v>
      </c>
      <c r="AB184" s="59">
        <v>253</v>
      </c>
      <c r="AC184" s="59">
        <f>VLOOKUP($A184,'[1]Flu Deaths Updated'!$A$2:$N$460,14,FALSE)</f>
        <v>60</v>
      </c>
      <c r="AD184" s="60">
        <f t="shared" si="2"/>
        <v>1095</v>
      </c>
      <c r="AE184" s="66">
        <f>Integrated[[#This Row],[Flu Deaths &lt;5 years old]]/Integrated[[#This Row],[Population &lt;5 years]]</f>
        <v>4.0720481044616074E-4</v>
      </c>
      <c r="AF184" s="67">
        <f>Integrated[[#This Row],[Flu Deaths 5 to 14 years]]/Integrated[[#This Row],[Population 5 to 14 years]]</f>
        <v>1.0110218229060474E-4</v>
      </c>
      <c r="AG184" s="67">
        <f>Integrated[[#This Row],[Flu Deaths 15 to 24 years]]/Integrated[[#This Row],[Population 15 to 24 years]]</f>
        <v>9.6713201835616573E-5</v>
      </c>
      <c r="AH184" s="67">
        <f>Integrated[[#This Row],[Flu Deaths 25 to 34 years]]/Integrated[[#This Row],[Population 25 to 34 years]]</f>
        <v>9.468561220560665E-5</v>
      </c>
      <c r="AI184" s="67">
        <f>Integrated[[#This Row],[Flu Deaths 35 to 44 years]]/Integrated[[#This Row],[Population 35 to 44 years]]</f>
        <v>1.1003722926256717E-4</v>
      </c>
      <c r="AJ184" s="67">
        <f>Integrated[[#This Row],[Flu Deaths 45 to 54 years]]/Integrated[[#This Row],[Population 45 to 54 years]]</f>
        <v>1.0207154194374837E-4</v>
      </c>
      <c r="AK184" s="67">
        <f>Integrated[[#This Row],[Flu Deaths 55 to 64 years]]/Integrated[[#This Row],[Population 55 to 64 years]]</f>
        <v>1.3237927358615453E-4</v>
      </c>
      <c r="AL184" s="67">
        <f>Integrated[[#This Row],[Flu Deaths 65 to 74 years]]/Integrated[[#This Row],[Population 65 to 74 years]]</f>
        <v>2.8515627101682422E-4</v>
      </c>
      <c r="AM184" s="67">
        <f>Integrated[[#This Row],[Flu Deaths 75 to 84 years]]/Integrated[[#This Row],[Population 75 to 84 years]]</f>
        <v>9.5638867635807194E-4</v>
      </c>
      <c r="AN184" s="67">
        <f>Integrated[[#This Row],[Flu Deaths 85+ years]]/Integrated[[#This Row],[Population 85+ years]]</f>
        <v>3.4338608539862645E-3</v>
      </c>
      <c r="AO184" s="68">
        <f>Integrated[[#This Row],[Total Flu Deaths]]/Integrated[[#This Row],[Total population]]</f>
        <v>2.441873923038824E-4</v>
      </c>
    </row>
    <row r="185" spans="1:41" x14ac:dyDescent="0.3">
      <c r="A185" s="44" t="s">
        <v>474</v>
      </c>
      <c r="B185" t="s">
        <v>448</v>
      </c>
      <c r="C185" s="45">
        <v>2012</v>
      </c>
      <c r="D185" s="51">
        <v>4917956</v>
      </c>
      <c r="E185" s="2">
        <v>2463599</v>
      </c>
      <c r="F185" s="2">
        <v>2454360</v>
      </c>
      <c r="G185" s="78">
        <f>Integrated[[#This Row],[Female Total population]]/Integrated[[#This Row],[Total population]]</f>
        <v>0.49906099200562187</v>
      </c>
      <c r="H185" s="2">
        <v>332797</v>
      </c>
      <c r="I185" s="2">
        <v>665232</v>
      </c>
      <c r="J185" s="2">
        <v>677263</v>
      </c>
      <c r="K185" s="2">
        <v>713059</v>
      </c>
      <c r="L185" s="2">
        <v>685201</v>
      </c>
      <c r="M185" s="2">
        <v>715829</v>
      </c>
      <c r="N185" s="2">
        <v>583521</v>
      </c>
      <c r="O185" s="2">
        <v>308518</v>
      </c>
      <c r="P185" s="2">
        <v>167986</v>
      </c>
      <c r="Q185" s="52">
        <v>70433</v>
      </c>
      <c r="R185" s="127">
        <f>Integrated[[#This Row],[Population 85+ years]]/Integrated[[#This Row],[Total population]]</f>
        <v>1.432160027458562E-2</v>
      </c>
      <c r="S185" s="58">
        <v>120</v>
      </c>
      <c r="T185" s="59">
        <v>60</v>
      </c>
      <c r="U185" s="59">
        <v>60</v>
      </c>
      <c r="V185" s="59">
        <v>60</v>
      </c>
      <c r="W185" s="59">
        <v>60</v>
      </c>
      <c r="X185" s="59">
        <v>60</v>
      </c>
      <c r="Y185" s="59">
        <v>60</v>
      </c>
      <c r="Z185" s="59">
        <v>65</v>
      </c>
      <c r="AA185" s="59">
        <v>131</v>
      </c>
      <c r="AB185" s="59">
        <v>254</v>
      </c>
      <c r="AC185" s="59">
        <f>VLOOKUP($A185,'[1]Flu Deaths Updated'!$A$2:$N$460,14,FALSE)</f>
        <v>60</v>
      </c>
      <c r="AD185" s="60">
        <f t="shared" si="2"/>
        <v>990</v>
      </c>
      <c r="AE185" s="66">
        <f>Integrated[[#This Row],[Flu Deaths &lt;5 years old]]/Integrated[[#This Row],[Population &lt;5 years]]</f>
        <v>3.6058017349916013E-4</v>
      </c>
      <c r="AF185" s="67">
        <f>Integrated[[#This Row],[Flu Deaths 5 to 14 years]]/Integrated[[#This Row],[Population 5 to 14 years]]</f>
        <v>9.0194097698246626E-5</v>
      </c>
      <c r="AG185" s="67">
        <f>Integrated[[#This Row],[Flu Deaths 15 to 24 years]]/Integrated[[#This Row],[Population 15 to 24 years]]</f>
        <v>8.8591876420238513E-5</v>
      </c>
      <c r="AH185" s="67">
        <f>Integrated[[#This Row],[Flu Deaths 25 to 34 years]]/Integrated[[#This Row],[Population 25 to 34 years]]</f>
        <v>8.4144509781098058E-5</v>
      </c>
      <c r="AI185" s="67">
        <f>Integrated[[#This Row],[Flu Deaths 35 to 44 years]]/Integrated[[#This Row],[Population 35 to 44 years]]</f>
        <v>8.7565546460089818E-5</v>
      </c>
      <c r="AJ185" s="67">
        <f>Integrated[[#This Row],[Flu Deaths 45 to 54 years]]/Integrated[[#This Row],[Population 45 to 54 years]]</f>
        <v>8.3818900882752718E-5</v>
      </c>
      <c r="AK185" s="67">
        <f>Integrated[[#This Row],[Flu Deaths 55 to 64 years]]/Integrated[[#This Row],[Population 55 to 64 years]]</f>
        <v>1.0282406288719686E-4</v>
      </c>
      <c r="AL185" s="67">
        <f>Integrated[[#This Row],[Flu Deaths 65 to 74 years]]/Integrated[[#This Row],[Population 65 to 74 years]]</f>
        <v>2.1068462780129523E-4</v>
      </c>
      <c r="AM185" s="67">
        <f>Integrated[[#This Row],[Flu Deaths 75 to 84 years]]/Integrated[[#This Row],[Population 75 to 84 years]]</f>
        <v>7.798268903360994E-4</v>
      </c>
      <c r="AN185" s="67">
        <f>Integrated[[#This Row],[Flu Deaths 85+ years]]/Integrated[[#This Row],[Population 85+ years]]</f>
        <v>3.60626410915338E-3</v>
      </c>
      <c r="AO185" s="68">
        <f>Integrated[[#This Row],[Total Flu Deaths]]/Integrated[[#This Row],[Total population]]</f>
        <v>2.0130314301307291E-4</v>
      </c>
    </row>
    <row r="186" spans="1:41" x14ac:dyDescent="0.3">
      <c r="A186" s="44" t="s">
        <v>386</v>
      </c>
      <c r="B186" t="s">
        <v>329</v>
      </c>
      <c r="C186" s="45">
        <v>2014</v>
      </c>
      <c r="D186" s="51">
        <v>4629937</v>
      </c>
      <c r="E186" s="2">
        <v>2249559</v>
      </c>
      <c r="F186" s="2">
        <v>2380379</v>
      </c>
      <c r="G186" s="78">
        <f>Integrated[[#This Row],[Female Total population]]/Integrated[[#This Row],[Total population]]</f>
        <v>0.51412773003174772</v>
      </c>
      <c r="H186" s="2">
        <v>289456</v>
      </c>
      <c r="I186" s="2">
        <v>591630</v>
      </c>
      <c r="J186" s="2">
        <v>650724</v>
      </c>
      <c r="K186" s="2">
        <v>595099</v>
      </c>
      <c r="L186" s="2">
        <v>583682</v>
      </c>
      <c r="M186" s="2">
        <v>640421</v>
      </c>
      <c r="N186" s="2">
        <v>598289</v>
      </c>
      <c r="O186" s="2">
        <v>407746</v>
      </c>
      <c r="P186" s="2">
        <v>200056</v>
      </c>
      <c r="Q186" s="52">
        <v>73805</v>
      </c>
      <c r="R186" s="127">
        <f>Integrated[[#This Row],[Population 85+ years]]/Integrated[[#This Row],[Total population]]</f>
        <v>1.594082165696855E-2</v>
      </c>
      <c r="S186" s="58">
        <v>120</v>
      </c>
      <c r="T186" s="59">
        <v>60</v>
      </c>
      <c r="U186" s="59">
        <v>60</v>
      </c>
      <c r="V186" s="59">
        <v>60</v>
      </c>
      <c r="W186" s="59">
        <v>66</v>
      </c>
      <c r="X186" s="59">
        <v>60</v>
      </c>
      <c r="Y186" s="59">
        <v>92</v>
      </c>
      <c r="Z186" s="59">
        <v>118</v>
      </c>
      <c r="AA186" s="59">
        <v>175</v>
      </c>
      <c r="AB186" s="59">
        <v>256</v>
      </c>
      <c r="AC186" s="59">
        <f>VLOOKUP($A186,'[1]Flu Deaths Updated'!$A$2:$N$460,14,FALSE)</f>
        <v>60</v>
      </c>
      <c r="AD186" s="60">
        <f t="shared" si="2"/>
        <v>1127</v>
      </c>
      <c r="AE186" s="66">
        <f>Integrated[[#This Row],[Flu Deaths &lt;5 years old]]/Integrated[[#This Row],[Population &lt;5 years]]</f>
        <v>4.1457078105135148E-4</v>
      </c>
      <c r="AF186" s="67">
        <f>Integrated[[#This Row],[Flu Deaths 5 to 14 years]]/Integrated[[#This Row],[Population 5 to 14 years]]</f>
        <v>1.0141473556107703E-4</v>
      </c>
      <c r="AG186" s="67">
        <f>Integrated[[#This Row],[Flu Deaths 15 to 24 years]]/Integrated[[#This Row],[Population 15 to 24 years]]</f>
        <v>9.2204990134066059E-5</v>
      </c>
      <c r="AH186" s="67">
        <f>Integrated[[#This Row],[Flu Deaths 25 to 34 years]]/Integrated[[#This Row],[Population 25 to 34 years]]</f>
        <v>1.0082356044960587E-4</v>
      </c>
      <c r="AI186" s="67">
        <f>Integrated[[#This Row],[Flu Deaths 35 to 44 years]]/Integrated[[#This Row],[Population 35 to 44 years]]</f>
        <v>1.0279570039850466E-4</v>
      </c>
      <c r="AJ186" s="67">
        <f>Integrated[[#This Row],[Flu Deaths 45 to 54 years]]/Integrated[[#This Row],[Population 45 to 54 years]]</f>
        <v>1.0305720768057262E-4</v>
      </c>
      <c r="AK186" s="67">
        <f>Integrated[[#This Row],[Flu Deaths 55 to 64 years]]/Integrated[[#This Row],[Population 55 to 64 years]]</f>
        <v>1.5377183936191372E-4</v>
      </c>
      <c r="AL186" s="67">
        <f>Integrated[[#This Row],[Flu Deaths 65 to 74 years]]/Integrated[[#This Row],[Population 65 to 74 years]]</f>
        <v>2.8939584937681792E-4</v>
      </c>
      <c r="AM186" s="67">
        <f>Integrated[[#This Row],[Flu Deaths 75 to 84 years]]/Integrated[[#This Row],[Population 75 to 84 years]]</f>
        <v>8.7475506858079735E-4</v>
      </c>
      <c r="AN186" s="67">
        <f>Integrated[[#This Row],[Flu Deaths 85+ years]]/Integrated[[#This Row],[Population 85+ years]]</f>
        <v>3.4685996883679969E-3</v>
      </c>
      <c r="AO186" s="68">
        <f>Integrated[[#This Row],[Total Flu Deaths]]/Integrated[[#This Row],[Total population]]</f>
        <v>2.4341583913560811E-4</v>
      </c>
    </row>
    <row r="187" spans="1:41" x14ac:dyDescent="0.3">
      <c r="A187" s="44" t="s">
        <v>282</v>
      </c>
      <c r="B187" t="s">
        <v>243</v>
      </c>
      <c r="C187" s="45">
        <v>2015</v>
      </c>
      <c r="D187" s="51">
        <v>3657767</v>
      </c>
      <c r="E187" s="2">
        <v>1810473</v>
      </c>
      <c r="F187" s="2">
        <v>1847301</v>
      </c>
      <c r="G187" s="78">
        <f>Integrated[[#This Row],[Female Total population]]/Integrated[[#This Row],[Total population]]</f>
        <v>0.50503517583268698</v>
      </c>
      <c r="H187" s="2">
        <v>252147</v>
      </c>
      <c r="I187" s="2">
        <v>500542</v>
      </c>
      <c r="J187" s="2">
        <v>516840</v>
      </c>
      <c r="K187" s="2">
        <v>501789</v>
      </c>
      <c r="L187" s="2">
        <v>446605</v>
      </c>
      <c r="M187" s="2">
        <v>474455</v>
      </c>
      <c r="N187" s="2">
        <v>447013</v>
      </c>
      <c r="O187" s="2">
        <v>294180</v>
      </c>
      <c r="P187" s="2">
        <v>160941</v>
      </c>
      <c r="Q187" s="52">
        <v>62985</v>
      </c>
      <c r="R187" s="127">
        <f>Integrated[[#This Row],[Population 85+ years]]/Integrated[[#This Row],[Total population]]</f>
        <v>1.721952218388979E-2</v>
      </c>
      <c r="S187" s="58">
        <v>120</v>
      </c>
      <c r="T187" s="59">
        <v>60</v>
      </c>
      <c r="U187" s="59">
        <v>60</v>
      </c>
      <c r="V187" s="59">
        <v>60</v>
      </c>
      <c r="W187" s="59">
        <v>60</v>
      </c>
      <c r="X187" s="59">
        <v>60</v>
      </c>
      <c r="Y187" s="59">
        <v>76</v>
      </c>
      <c r="Z187" s="59">
        <v>108</v>
      </c>
      <c r="AA187" s="59">
        <v>211</v>
      </c>
      <c r="AB187" s="59">
        <v>256</v>
      </c>
      <c r="AC187" s="59">
        <f>VLOOKUP($A187,'[1]Flu Deaths Updated'!$A$2:$N$460,14,FALSE)</f>
        <v>60</v>
      </c>
      <c r="AD187" s="60">
        <f t="shared" si="2"/>
        <v>1131</v>
      </c>
      <c r="AE187" s="66">
        <f>Integrated[[#This Row],[Flu Deaths &lt;5 years old]]/Integrated[[#This Row],[Population &lt;5 years]]</f>
        <v>4.7591286035526895E-4</v>
      </c>
      <c r="AF187" s="67">
        <f>Integrated[[#This Row],[Flu Deaths 5 to 14 years]]/Integrated[[#This Row],[Population 5 to 14 years]]</f>
        <v>1.1987006085403423E-4</v>
      </c>
      <c r="AG187" s="67">
        <f>Integrated[[#This Row],[Flu Deaths 15 to 24 years]]/Integrated[[#This Row],[Population 15 to 24 years]]</f>
        <v>1.1609008590666357E-4</v>
      </c>
      <c r="AH187" s="67">
        <f>Integrated[[#This Row],[Flu Deaths 25 to 34 years]]/Integrated[[#This Row],[Population 25 to 34 years]]</f>
        <v>1.1957217077297429E-4</v>
      </c>
      <c r="AI187" s="67">
        <f>Integrated[[#This Row],[Flu Deaths 35 to 44 years]]/Integrated[[#This Row],[Population 35 to 44 years]]</f>
        <v>1.3434690610270822E-4</v>
      </c>
      <c r="AJ187" s="67">
        <f>Integrated[[#This Row],[Flu Deaths 45 to 54 years]]/Integrated[[#This Row],[Population 45 to 54 years]]</f>
        <v>1.2646088670158394E-4</v>
      </c>
      <c r="AK187" s="67">
        <f>Integrated[[#This Row],[Flu Deaths 55 to 64 years]]/Integrated[[#This Row],[Population 55 to 64 years]]</f>
        <v>1.7001742678624559E-4</v>
      </c>
      <c r="AL187" s="67">
        <f>Integrated[[#This Row],[Flu Deaths 65 to 74 years]]/Integrated[[#This Row],[Population 65 to 74 years]]</f>
        <v>3.671221700999388E-4</v>
      </c>
      <c r="AM187" s="67">
        <f>Integrated[[#This Row],[Flu Deaths 75 to 84 years]]/Integrated[[#This Row],[Population 75 to 84 years]]</f>
        <v>1.3110394492391621E-3</v>
      </c>
      <c r="AN187" s="67">
        <f>Integrated[[#This Row],[Flu Deaths 85+ years]]/Integrated[[#This Row],[Population 85+ years]]</f>
        <v>4.0644597920139712E-3</v>
      </c>
      <c r="AO187" s="68">
        <f>Integrated[[#This Row],[Total Flu Deaths]]/Integrated[[#This Row],[Total population]]</f>
        <v>3.0920504231133364E-4</v>
      </c>
    </row>
    <row r="188" spans="1:41" x14ac:dyDescent="0.3">
      <c r="A188" s="44" t="s">
        <v>279</v>
      </c>
      <c r="B188" t="s">
        <v>243</v>
      </c>
      <c r="C188" s="45">
        <v>2014</v>
      </c>
      <c r="D188" s="51">
        <v>3585355</v>
      </c>
      <c r="E188" s="2">
        <v>1774242</v>
      </c>
      <c r="F188" s="2">
        <v>1811117</v>
      </c>
      <c r="G188" s="78">
        <f>Integrated[[#This Row],[Female Total population]]/Integrated[[#This Row],[Total population]]</f>
        <v>0.50514300536488022</v>
      </c>
      <c r="H188" s="2">
        <v>249125</v>
      </c>
      <c r="I188" s="2">
        <v>489701</v>
      </c>
      <c r="J188" s="2">
        <v>513030</v>
      </c>
      <c r="K188" s="2">
        <v>493364</v>
      </c>
      <c r="L188" s="2">
        <v>438848</v>
      </c>
      <c r="M188" s="2">
        <v>473909</v>
      </c>
      <c r="N188" s="2">
        <v>431974</v>
      </c>
      <c r="O188" s="2">
        <v>278705</v>
      </c>
      <c r="P188" s="2">
        <v>155919</v>
      </c>
      <c r="Q188" s="52">
        <v>60898</v>
      </c>
      <c r="R188" s="127">
        <f>Integrated[[#This Row],[Population 85+ years]]/Integrated[[#This Row],[Total population]]</f>
        <v>1.6985207880391203E-2</v>
      </c>
      <c r="S188" s="58">
        <v>120</v>
      </c>
      <c r="T188" s="59">
        <v>60</v>
      </c>
      <c r="U188" s="59">
        <v>60</v>
      </c>
      <c r="V188" s="59">
        <v>60</v>
      </c>
      <c r="W188" s="59">
        <v>70</v>
      </c>
      <c r="X188" s="59">
        <v>60</v>
      </c>
      <c r="Y188" s="59">
        <v>100</v>
      </c>
      <c r="Z188" s="59">
        <v>118</v>
      </c>
      <c r="AA188" s="59">
        <v>153</v>
      </c>
      <c r="AB188" s="59">
        <v>257</v>
      </c>
      <c r="AC188" s="59">
        <f>VLOOKUP($A188,'[1]Flu Deaths Updated'!$A$2:$N$460,14,FALSE)</f>
        <v>60</v>
      </c>
      <c r="AD188" s="60">
        <f t="shared" si="2"/>
        <v>1118</v>
      </c>
      <c r="AE188" s="66">
        <f>Integrated[[#This Row],[Flu Deaths &lt;5 years old]]/Integrated[[#This Row],[Population &lt;5 years]]</f>
        <v>4.8168590065228299E-4</v>
      </c>
      <c r="AF188" s="67">
        <f>Integrated[[#This Row],[Flu Deaths 5 to 14 years]]/Integrated[[#This Row],[Population 5 to 14 years]]</f>
        <v>1.225237440805716E-4</v>
      </c>
      <c r="AG188" s="67">
        <f>Integrated[[#This Row],[Flu Deaths 15 to 24 years]]/Integrated[[#This Row],[Population 15 to 24 years]]</f>
        <v>1.1695222501608094E-4</v>
      </c>
      <c r="AH188" s="67">
        <f>Integrated[[#This Row],[Flu Deaths 25 to 34 years]]/Integrated[[#This Row],[Population 25 to 34 years]]</f>
        <v>1.2161406182858903E-4</v>
      </c>
      <c r="AI188" s="67">
        <f>Integrated[[#This Row],[Flu Deaths 35 to 44 years]]/Integrated[[#This Row],[Population 35 to 44 years]]</f>
        <v>1.3672159836663263E-4</v>
      </c>
      <c r="AJ188" s="67">
        <f>Integrated[[#This Row],[Flu Deaths 45 to 54 years]]/Integrated[[#This Row],[Population 45 to 54 years]]</f>
        <v>1.477076822765552E-4</v>
      </c>
      <c r="AK188" s="67">
        <f>Integrated[[#This Row],[Flu Deaths 55 to 64 years]]/Integrated[[#This Row],[Population 55 to 64 years]]</f>
        <v>2.3149541407584717E-4</v>
      </c>
      <c r="AL188" s="67">
        <f>Integrated[[#This Row],[Flu Deaths 65 to 74 years]]/Integrated[[#This Row],[Population 65 to 74 years]]</f>
        <v>4.2338673507830859E-4</v>
      </c>
      <c r="AM188" s="67">
        <f>Integrated[[#This Row],[Flu Deaths 75 to 84 years]]/Integrated[[#This Row],[Population 75 to 84 years]]</f>
        <v>9.8127874088469011E-4</v>
      </c>
      <c r="AN188" s="67">
        <f>Integrated[[#This Row],[Flu Deaths 85+ years]]/Integrated[[#This Row],[Population 85+ years]]</f>
        <v>4.2201714342014517E-3</v>
      </c>
      <c r="AO188" s="68">
        <f>Integrated[[#This Row],[Total Flu Deaths]]/Integrated[[#This Row],[Total population]]</f>
        <v>3.1182407320892909E-4</v>
      </c>
    </row>
    <row r="189" spans="1:41" x14ac:dyDescent="0.3">
      <c r="A189" s="44" t="s">
        <v>469</v>
      </c>
      <c r="B189" t="s">
        <v>448</v>
      </c>
      <c r="C189" s="45">
        <v>2010</v>
      </c>
      <c r="D189" s="51">
        <v>4846649</v>
      </c>
      <c r="E189" s="2">
        <v>2427420</v>
      </c>
      <c r="F189" s="2">
        <v>2419232</v>
      </c>
      <c r="G189" s="78">
        <f>Integrated[[#This Row],[Female Total population]]/Integrated[[#This Row],[Total population]]</f>
        <v>0.49915560214903121</v>
      </c>
      <c r="H189" s="2">
        <v>337348</v>
      </c>
      <c r="I189" s="2">
        <v>654343</v>
      </c>
      <c r="J189" s="2">
        <v>681539</v>
      </c>
      <c r="K189" s="2">
        <v>696144</v>
      </c>
      <c r="L189" s="2">
        <v>697521</v>
      </c>
      <c r="M189" s="2">
        <v>724224</v>
      </c>
      <c r="N189" s="2">
        <v>544385</v>
      </c>
      <c r="O189" s="2">
        <v>279681</v>
      </c>
      <c r="P189" s="2">
        <v>165016</v>
      </c>
      <c r="Q189" s="52">
        <v>65818</v>
      </c>
      <c r="R189" s="127">
        <f>Integrated[[#This Row],[Population 85+ years]]/Integrated[[#This Row],[Total population]]</f>
        <v>1.3580104521701488E-2</v>
      </c>
      <c r="S189" s="58">
        <v>120</v>
      </c>
      <c r="T189" s="59">
        <v>60</v>
      </c>
      <c r="U189" s="59">
        <v>60</v>
      </c>
      <c r="V189" s="59">
        <v>60</v>
      </c>
      <c r="W189" s="59">
        <v>60</v>
      </c>
      <c r="X189" s="59">
        <v>60</v>
      </c>
      <c r="Y189" s="59">
        <v>60</v>
      </c>
      <c r="Z189" s="59">
        <v>60</v>
      </c>
      <c r="AA189" s="59">
        <v>135</v>
      </c>
      <c r="AB189" s="59">
        <v>260</v>
      </c>
      <c r="AC189" s="59">
        <f>VLOOKUP($A189,'[1]Flu Deaths Updated'!$A$2:$N$460,14,FALSE)</f>
        <v>60</v>
      </c>
      <c r="AD189" s="60">
        <f t="shared" si="2"/>
        <v>995</v>
      </c>
      <c r="AE189" s="66">
        <f>Integrated[[#This Row],[Flu Deaths &lt;5 years old]]/Integrated[[#This Row],[Population &lt;5 years]]</f>
        <v>3.5571575939386034E-4</v>
      </c>
      <c r="AF189" s="67">
        <f>Integrated[[#This Row],[Flu Deaths 5 to 14 years]]/Integrated[[#This Row],[Population 5 to 14 years]]</f>
        <v>9.1695028448382575E-5</v>
      </c>
      <c r="AG189" s="67">
        <f>Integrated[[#This Row],[Flu Deaths 15 to 24 years]]/Integrated[[#This Row],[Population 15 to 24 years]]</f>
        <v>8.8036047827050245E-5</v>
      </c>
      <c r="AH189" s="67">
        <f>Integrated[[#This Row],[Flu Deaths 25 to 34 years]]/Integrated[[#This Row],[Population 25 to 34 years]]</f>
        <v>8.6189064331517623E-5</v>
      </c>
      <c r="AI189" s="67">
        <f>Integrated[[#This Row],[Flu Deaths 35 to 44 years]]/Integrated[[#This Row],[Population 35 to 44 years]]</f>
        <v>8.6018915559531539E-5</v>
      </c>
      <c r="AJ189" s="67">
        <f>Integrated[[#This Row],[Flu Deaths 45 to 54 years]]/Integrated[[#This Row],[Population 45 to 54 years]]</f>
        <v>8.2847295864262995E-5</v>
      </c>
      <c r="AK189" s="67">
        <f>Integrated[[#This Row],[Flu Deaths 55 to 64 years]]/Integrated[[#This Row],[Population 55 to 64 years]]</f>
        <v>1.1021611543301157E-4</v>
      </c>
      <c r="AL189" s="67">
        <f>Integrated[[#This Row],[Flu Deaths 65 to 74 years]]/Integrated[[#This Row],[Population 65 to 74 years]]</f>
        <v>2.1453012539285828E-4</v>
      </c>
      <c r="AM189" s="67">
        <f>Integrated[[#This Row],[Flu Deaths 75 to 84 years]]/Integrated[[#This Row],[Population 75 to 84 years]]</f>
        <v>8.1810248703156061E-4</v>
      </c>
      <c r="AN189" s="67">
        <f>Integrated[[#This Row],[Flu Deaths 85+ years]]/Integrated[[#This Row],[Population 85+ years]]</f>
        <v>3.9502871554893794E-3</v>
      </c>
      <c r="AO189" s="68">
        <f>Integrated[[#This Row],[Total Flu Deaths]]/Integrated[[#This Row],[Total population]]</f>
        <v>2.0529648423065091E-4</v>
      </c>
    </row>
    <row r="190" spans="1:41" x14ac:dyDescent="0.3">
      <c r="A190" s="44" t="s">
        <v>200</v>
      </c>
      <c r="B190" t="s">
        <v>199</v>
      </c>
      <c r="C190" s="45">
        <v>2014</v>
      </c>
      <c r="D190" s="51">
        <v>2604519</v>
      </c>
      <c r="E190" s="2">
        <v>1280674</v>
      </c>
      <c r="F190" s="2">
        <v>1323849</v>
      </c>
      <c r="G190" s="78">
        <f>Integrated[[#This Row],[Female Total population]]/Integrated[[#This Row],[Total population]]</f>
        <v>0.50828924649810581</v>
      </c>
      <c r="H190" s="2">
        <v>173893</v>
      </c>
      <c r="I190" s="2">
        <v>355377</v>
      </c>
      <c r="J190" s="2">
        <v>363029</v>
      </c>
      <c r="K190" s="2">
        <v>342952</v>
      </c>
      <c r="L190" s="2">
        <v>326743</v>
      </c>
      <c r="M190" s="2">
        <v>348294</v>
      </c>
      <c r="N190" s="2">
        <v>316465</v>
      </c>
      <c r="O190" s="2">
        <v>216030</v>
      </c>
      <c r="P190" s="2">
        <v>117911</v>
      </c>
      <c r="Q190" s="52">
        <v>44535</v>
      </c>
      <c r="R190" s="127">
        <f>Integrated[[#This Row],[Population 85+ years]]/Integrated[[#This Row],[Total population]]</f>
        <v>1.7099126556573401E-2</v>
      </c>
      <c r="S190" s="58">
        <v>120</v>
      </c>
      <c r="T190" s="59">
        <v>60</v>
      </c>
      <c r="U190" s="59">
        <v>60</v>
      </c>
      <c r="V190" s="59">
        <v>60</v>
      </c>
      <c r="W190" s="59">
        <v>65</v>
      </c>
      <c r="X190" s="59">
        <v>60</v>
      </c>
      <c r="Y190" s="59">
        <v>83</v>
      </c>
      <c r="Z190" s="59">
        <v>95</v>
      </c>
      <c r="AA190" s="59">
        <v>180</v>
      </c>
      <c r="AB190" s="59">
        <v>260</v>
      </c>
      <c r="AC190" s="59">
        <f>VLOOKUP($A190,'[1]Flu Deaths Updated'!$A$2:$N$460,14,FALSE)</f>
        <v>60</v>
      </c>
      <c r="AD190" s="60">
        <f t="shared" si="2"/>
        <v>1103</v>
      </c>
      <c r="AE190" s="66">
        <f>Integrated[[#This Row],[Flu Deaths &lt;5 years old]]/Integrated[[#This Row],[Population &lt;5 years]]</f>
        <v>6.9007953166602448E-4</v>
      </c>
      <c r="AF190" s="67">
        <f>Integrated[[#This Row],[Flu Deaths 5 to 14 years]]/Integrated[[#This Row],[Population 5 to 14 years]]</f>
        <v>1.6883478671945567E-4</v>
      </c>
      <c r="AG190" s="67">
        <f>Integrated[[#This Row],[Flu Deaths 15 to 24 years]]/Integrated[[#This Row],[Population 15 to 24 years]]</f>
        <v>1.6527605232639816E-4</v>
      </c>
      <c r="AH190" s="67">
        <f>Integrated[[#This Row],[Flu Deaths 25 to 34 years]]/Integrated[[#This Row],[Population 25 to 34 years]]</f>
        <v>1.749515967249061E-4</v>
      </c>
      <c r="AI190" s="67">
        <f>Integrated[[#This Row],[Flu Deaths 35 to 44 years]]/Integrated[[#This Row],[Population 35 to 44 years]]</f>
        <v>1.8363055979776153E-4</v>
      </c>
      <c r="AJ190" s="67">
        <f>Integrated[[#This Row],[Flu Deaths 45 to 54 years]]/Integrated[[#This Row],[Population 45 to 54 years]]</f>
        <v>1.8662394413914682E-4</v>
      </c>
      <c r="AK190" s="67">
        <f>Integrated[[#This Row],[Flu Deaths 55 to 64 years]]/Integrated[[#This Row],[Population 55 to 64 years]]</f>
        <v>2.6227228919469767E-4</v>
      </c>
      <c r="AL190" s="67">
        <f>Integrated[[#This Row],[Flu Deaths 65 to 74 years]]/Integrated[[#This Row],[Population 65 to 74 years]]</f>
        <v>4.3975373790677223E-4</v>
      </c>
      <c r="AM190" s="67">
        <f>Integrated[[#This Row],[Flu Deaths 75 to 84 years]]/Integrated[[#This Row],[Population 75 to 84 years]]</f>
        <v>1.5265751286987644E-3</v>
      </c>
      <c r="AN190" s="67">
        <f>Integrated[[#This Row],[Flu Deaths 85+ years]]/Integrated[[#This Row],[Population 85+ years]]</f>
        <v>5.8381048613450094E-3</v>
      </c>
      <c r="AO190" s="68">
        <f>Integrated[[#This Row],[Total Flu Deaths]]/Integrated[[#This Row],[Total population]]</f>
        <v>4.2349470286068177E-4</v>
      </c>
    </row>
    <row r="191" spans="1:41" x14ac:dyDescent="0.3">
      <c r="A191" s="44" t="s">
        <v>234</v>
      </c>
      <c r="B191" t="s">
        <v>199</v>
      </c>
      <c r="C191" s="45">
        <v>2010</v>
      </c>
      <c r="D191" s="51">
        <v>2850866</v>
      </c>
      <c r="E191" s="2">
        <v>1399104</v>
      </c>
      <c r="F191" s="2">
        <v>1451767</v>
      </c>
      <c r="G191" s="78">
        <f>Integrated[[#This Row],[Female Total population]]/Integrated[[#This Row],[Total population]]</f>
        <v>0.5092371931897185</v>
      </c>
      <c r="H191" s="2">
        <v>193786</v>
      </c>
      <c r="I191" s="2">
        <v>386730</v>
      </c>
      <c r="J191" s="2">
        <v>398793</v>
      </c>
      <c r="K191" s="2">
        <v>367065</v>
      </c>
      <c r="L191" s="2">
        <v>372593</v>
      </c>
      <c r="M191" s="2">
        <v>397544</v>
      </c>
      <c r="N191" s="2">
        <v>334454</v>
      </c>
      <c r="O191" s="2">
        <v>220949</v>
      </c>
      <c r="P191" s="2">
        <v>130935</v>
      </c>
      <c r="Q191" s="52">
        <v>48881</v>
      </c>
      <c r="R191" s="127">
        <f>Integrated[[#This Row],[Population 85+ years]]/Integrated[[#This Row],[Total population]]</f>
        <v>1.7146018087135628E-2</v>
      </c>
      <c r="S191" s="58">
        <v>120</v>
      </c>
      <c r="T191" s="59">
        <v>60</v>
      </c>
      <c r="U191" s="59">
        <v>60</v>
      </c>
      <c r="V191" s="59">
        <v>60</v>
      </c>
      <c r="W191" s="59">
        <v>60</v>
      </c>
      <c r="X191" s="59">
        <v>60</v>
      </c>
      <c r="Y191" s="59">
        <v>60</v>
      </c>
      <c r="Z191" s="59">
        <v>76</v>
      </c>
      <c r="AA191" s="59">
        <v>183</v>
      </c>
      <c r="AB191" s="59">
        <v>263</v>
      </c>
      <c r="AC191" s="59">
        <f>VLOOKUP($A191,'[1]Flu Deaths Updated'!$A$2:$N$460,14,FALSE)</f>
        <v>60</v>
      </c>
      <c r="AD191" s="60">
        <f t="shared" si="2"/>
        <v>1062</v>
      </c>
      <c r="AE191" s="66">
        <f>Integrated[[#This Row],[Flu Deaths &lt;5 years old]]/Integrated[[#This Row],[Population &lt;5 years]]</f>
        <v>6.1923977996346485E-4</v>
      </c>
      <c r="AF191" s="67">
        <f>Integrated[[#This Row],[Flu Deaths 5 to 14 years]]/Integrated[[#This Row],[Population 5 to 14 years]]</f>
        <v>1.5514700178419051E-4</v>
      </c>
      <c r="AG191" s="67">
        <f>Integrated[[#This Row],[Flu Deaths 15 to 24 years]]/Integrated[[#This Row],[Population 15 to 24 years]]</f>
        <v>1.5045399492970036E-4</v>
      </c>
      <c r="AH191" s="67">
        <f>Integrated[[#This Row],[Flu Deaths 25 to 34 years]]/Integrated[[#This Row],[Population 25 to 34 years]]</f>
        <v>1.6345878795308733E-4</v>
      </c>
      <c r="AI191" s="67">
        <f>Integrated[[#This Row],[Flu Deaths 35 to 44 years]]/Integrated[[#This Row],[Population 35 to 44 years]]</f>
        <v>1.6103362113619956E-4</v>
      </c>
      <c r="AJ191" s="67">
        <f>Integrated[[#This Row],[Flu Deaths 45 to 54 years]]/Integrated[[#This Row],[Population 45 to 54 years]]</f>
        <v>1.5092668987583765E-4</v>
      </c>
      <c r="AK191" s="67">
        <f>Integrated[[#This Row],[Flu Deaths 55 to 64 years]]/Integrated[[#This Row],[Population 55 to 64 years]]</f>
        <v>1.7939686773068943E-4</v>
      </c>
      <c r="AL191" s="67">
        <f>Integrated[[#This Row],[Flu Deaths 65 to 74 years]]/Integrated[[#This Row],[Population 65 to 74 years]]</f>
        <v>3.4397078058737537E-4</v>
      </c>
      <c r="AM191" s="67">
        <f>Integrated[[#This Row],[Flu Deaths 75 to 84 years]]/Integrated[[#This Row],[Population 75 to 84 years]]</f>
        <v>1.3976400504066904E-3</v>
      </c>
      <c r="AN191" s="67">
        <f>Integrated[[#This Row],[Flu Deaths 85+ years]]/Integrated[[#This Row],[Population 85+ years]]</f>
        <v>5.3804136576583944E-3</v>
      </c>
      <c r="AO191" s="68">
        <f>Integrated[[#This Row],[Total Flu Deaths]]/Integrated[[#This Row],[Total population]]</f>
        <v>3.7251838564141562E-4</v>
      </c>
    </row>
    <row r="192" spans="1:41" x14ac:dyDescent="0.3">
      <c r="A192" s="44" t="s">
        <v>192</v>
      </c>
      <c r="B192" t="s">
        <v>183</v>
      </c>
      <c r="C192" s="45">
        <v>2016</v>
      </c>
      <c r="D192" s="51">
        <v>2734347</v>
      </c>
      <c r="E192" s="2">
        <v>1329287</v>
      </c>
      <c r="F192" s="2">
        <v>1405064</v>
      </c>
      <c r="G192" s="78">
        <f>Integrated[[#This Row],[Female Total population]]/Integrated[[#This Row],[Total population]]</f>
        <v>0.5138572390409849</v>
      </c>
      <c r="H192" s="2">
        <v>175553</v>
      </c>
      <c r="I192" s="2">
        <v>378062</v>
      </c>
      <c r="J192" s="2">
        <v>395422</v>
      </c>
      <c r="K192" s="2">
        <v>358376</v>
      </c>
      <c r="L192" s="2">
        <v>340421</v>
      </c>
      <c r="M192" s="2">
        <v>358111</v>
      </c>
      <c r="N192" s="2">
        <v>341441</v>
      </c>
      <c r="O192" s="2">
        <v>227094</v>
      </c>
      <c r="P192" s="2">
        <v>115887</v>
      </c>
      <c r="Q192" s="52">
        <v>44624</v>
      </c>
      <c r="R192" s="127">
        <f>Integrated[[#This Row],[Population 85+ years]]/Integrated[[#This Row],[Total population]]</f>
        <v>1.6319801400480626E-2</v>
      </c>
      <c r="S192" s="58">
        <v>120</v>
      </c>
      <c r="T192" s="59">
        <v>60</v>
      </c>
      <c r="U192" s="59">
        <v>60</v>
      </c>
      <c r="V192" s="59">
        <v>60</v>
      </c>
      <c r="W192" s="59">
        <v>60</v>
      </c>
      <c r="X192" s="59">
        <v>60</v>
      </c>
      <c r="Y192" s="59">
        <v>90</v>
      </c>
      <c r="Z192" s="59">
        <v>147</v>
      </c>
      <c r="AA192" s="59">
        <v>206</v>
      </c>
      <c r="AB192" s="59">
        <v>263</v>
      </c>
      <c r="AC192" s="59">
        <f>VLOOKUP($A192,'[1]Flu Deaths Updated'!$A$2:$N$460,14,FALSE)</f>
        <v>60</v>
      </c>
      <c r="AD192" s="60">
        <f t="shared" si="2"/>
        <v>1186</v>
      </c>
      <c r="AE192" s="66">
        <f>Integrated[[#This Row],[Flu Deaths &lt;5 years old]]/Integrated[[#This Row],[Population &lt;5 years]]</f>
        <v>6.8355425427079003E-4</v>
      </c>
      <c r="AF192" s="67">
        <f>Integrated[[#This Row],[Flu Deaths 5 to 14 years]]/Integrated[[#This Row],[Population 5 to 14 years]]</f>
        <v>1.5870412789436653E-4</v>
      </c>
      <c r="AG192" s="67">
        <f>Integrated[[#This Row],[Flu Deaths 15 to 24 years]]/Integrated[[#This Row],[Population 15 to 24 years]]</f>
        <v>1.517366256809181E-4</v>
      </c>
      <c r="AH192" s="67">
        <f>Integrated[[#This Row],[Flu Deaths 25 to 34 years]]/Integrated[[#This Row],[Population 25 to 34 years]]</f>
        <v>1.6742192557537335E-4</v>
      </c>
      <c r="AI192" s="67">
        <f>Integrated[[#This Row],[Flu Deaths 35 to 44 years]]/Integrated[[#This Row],[Population 35 to 44 years]]</f>
        <v>1.762523463593609E-4</v>
      </c>
      <c r="AJ192" s="67">
        <f>Integrated[[#This Row],[Flu Deaths 45 to 54 years]]/Integrated[[#This Row],[Population 45 to 54 years]]</f>
        <v>1.6754581679981906E-4</v>
      </c>
      <c r="AK192" s="67">
        <f>Integrated[[#This Row],[Flu Deaths 55 to 64 years]]/Integrated[[#This Row],[Population 55 to 64 years]]</f>
        <v>2.6358873128886105E-4</v>
      </c>
      <c r="AL192" s="67">
        <f>Integrated[[#This Row],[Flu Deaths 65 to 74 years]]/Integrated[[#This Row],[Population 65 to 74 years]]</f>
        <v>6.4730904383206958E-4</v>
      </c>
      <c r="AM192" s="67">
        <f>Integrated[[#This Row],[Flu Deaths 75 to 84 years]]/Integrated[[#This Row],[Population 75 to 84 years]]</f>
        <v>1.7775936904053087E-3</v>
      </c>
      <c r="AN192" s="67">
        <f>Integrated[[#This Row],[Flu Deaths 85+ years]]/Integrated[[#This Row],[Population 85+ years]]</f>
        <v>5.8936894944424528E-3</v>
      </c>
      <c r="AO192" s="68">
        <f>Integrated[[#This Row],[Total Flu Deaths]]/Integrated[[#This Row],[Total population]]</f>
        <v>4.3374158437096684E-4</v>
      </c>
    </row>
    <row r="193" spans="1:41" x14ac:dyDescent="0.3">
      <c r="A193" s="44" t="s">
        <v>352</v>
      </c>
      <c r="B193" t="s">
        <v>353</v>
      </c>
      <c r="C193" s="45">
        <v>2017</v>
      </c>
      <c r="D193" s="51">
        <v>3917871</v>
      </c>
      <c r="E193" s="2">
        <v>1940582</v>
      </c>
      <c r="F193" s="2">
        <v>1977290</v>
      </c>
      <c r="G193" s="78">
        <f>Integrated[[#This Row],[Female Total population]]/Integrated[[#This Row],[Total population]]</f>
        <v>0.50468481478843996</v>
      </c>
      <c r="H193" s="2">
        <v>226429</v>
      </c>
      <c r="I193" s="2">
        <v>473361</v>
      </c>
      <c r="J193" s="2">
        <v>498732</v>
      </c>
      <c r="K193" s="2">
        <v>547404</v>
      </c>
      <c r="L193" s="2">
        <v>516595</v>
      </c>
      <c r="M193" s="2">
        <v>501635</v>
      </c>
      <c r="N193" s="2">
        <v>523798</v>
      </c>
      <c r="O193" s="2">
        <v>377200</v>
      </c>
      <c r="P193" s="2">
        <v>172430</v>
      </c>
      <c r="Q193" s="52">
        <v>80304</v>
      </c>
      <c r="R193" s="127">
        <f>Integrated[[#This Row],[Population 85+ years]]/Integrated[[#This Row],[Total population]]</f>
        <v>2.0496846373961777E-2</v>
      </c>
      <c r="S193" s="58">
        <v>120</v>
      </c>
      <c r="T193" s="59">
        <v>60</v>
      </c>
      <c r="U193" s="59">
        <v>60</v>
      </c>
      <c r="V193" s="59">
        <v>60</v>
      </c>
      <c r="W193" s="59">
        <v>60</v>
      </c>
      <c r="X193" s="59">
        <v>60</v>
      </c>
      <c r="Y193" s="59">
        <v>71</v>
      </c>
      <c r="Z193" s="59">
        <v>85</v>
      </c>
      <c r="AA193" s="59">
        <v>125</v>
      </c>
      <c r="AB193" s="59">
        <v>264</v>
      </c>
      <c r="AC193" s="59">
        <f>VLOOKUP($A193,'[1]Flu Deaths Updated'!$A$2:$N$460,14,FALSE)</f>
        <v>60</v>
      </c>
      <c r="AD193" s="60">
        <f t="shared" si="2"/>
        <v>1025</v>
      </c>
      <c r="AE193" s="66">
        <f>Integrated[[#This Row],[Flu Deaths &lt;5 years old]]/Integrated[[#This Row],[Population &lt;5 years]]</f>
        <v>5.2996745116570755E-4</v>
      </c>
      <c r="AF193" s="67">
        <f>Integrated[[#This Row],[Flu Deaths 5 to 14 years]]/Integrated[[#This Row],[Population 5 to 14 years]]</f>
        <v>1.2675315456913433E-4</v>
      </c>
      <c r="AG193" s="67">
        <f>Integrated[[#This Row],[Flu Deaths 15 to 24 years]]/Integrated[[#This Row],[Population 15 to 24 years]]</f>
        <v>1.2030509371766801E-4</v>
      </c>
      <c r="AH193" s="67">
        <f>Integrated[[#This Row],[Flu Deaths 25 to 34 years]]/Integrated[[#This Row],[Population 25 to 34 years]]</f>
        <v>1.0960826007847952E-4</v>
      </c>
      <c r="AI193" s="67">
        <f>Integrated[[#This Row],[Flu Deaths 35 to 44 years]]/Integrated[[#This Row],[Population 35 to 44 years]]</f>
        <v>1.1614514271334411E-4</v>
      </c>
      <c r="AJ193" s="67">
        <f>Integrated[[#This Row],[Flu Deaths 45 to 54 years]]/Integrated[[#This Row],[Population 45 to 54 years]]</f>
        <v>1.196088789657819E-4</v>
      </c>
      <c r="AK193" s="67">
        <f>Integrated[[#This Row],[Flu Deaths 55 to 64 years]]/Integrated[[#This Row],[Population 55 to 64 years]]</f>
        <v>1.3554843661105998E-4</v>
      </c>
      <c r="AL193" s="67">
        <f>Integrated[[#This Row],[Flu Deaths 65 to 74 years]]/Integrated[[#This Row],[Population 65 to 74 years]]</f>
        <v>2.2534464475079533E-4</v>
      </c>
      <c r="AM193" s="67">
        <f>Integrated[[#This Row],[Flu Deaths 75 to 84 years]]/Integrated[[#This Row],[Population 75 to 84 years]]</f>
        <v>7.249318564054979E-4</v>
      </c>
      <c r="AN193" s="67">
        <f>Integrated[[#This Row],[Flu Deaths 85+ years]]/Integrated[[#This Row],[Population 85+ years]]</f>
        <v>3.2875074716078902E-3</v>
      </c>
      <c r="AO193" s="68">
        <f>Integrated[[#This Row],[Total Flu Deaths]]/Integrated[[#This Row],[Total population]]</f>
        <v>2.6162168177563787E-4</v>
      </c>
    </row>
    <row r="194" spans="1:41" x14ac:dyDescent="0.3">
      <c r="A194" s="44" t="s">
        <v>447</v>
      </c>
      <c r="B194" t="s">
        <v>448</v>
      </c>
      <c r="C194" s="45">
        <v>2009</v>
      </c>
      <c r="D194" s="51">
        <v>4843211</v>
      </c>
      <c r="E194" s="2">
        <v>2438079</v>
      </c>
      <c r="F194" s="2">
        <v>2405132</v>
      </c>
      <c r="G194" s="78">
        <f>Integrated[[#This Row],[Female Total population]]/Integrated[[#This Row],[Total population]]</f>
        <v>0.49659864086037137</v>
      </c>
      <c r="H194" s="2">
        <v>352190</v>
      </c>
      <c r="I194" s="2">
        <v>645226</v>
      </c>
      <c r="J194" s="2">
        <v>688336</v>
      </c>
      <c r="K194" s="2">
        <v>699799</v>
      </c>
      <c r="L194" s="2">
        <v>711223</v>
      </c>
      <c r="M194" s="2">
        <v>727150</v>
      </c>
      <c r="N194" s="2">
        <v>519012</v>
      </c>
      <c r="O194" s="2">
        <v>269222</v>
      </c>
      <c r="P194" s="2">
        <v>164107</v>
      </c>
      <c r="Q194" s="52">
        <v>63182</v>
      </c>
      <c r="R194" s="127">
        <f>Integrated[[#This Row],[Population 85+ years]]/Integrated[[#This Row],[Total population]]</f>
        <v>1.3045477473519118E-2</v>
      </c>
      <c r="S194" s="58">
        <v>120</v>
      </c>
      <c r="T194" s="59">
        <v>60</v>
      </c>
      <c r="U194" s="59">
        <v>60</v>
      </c>
      <c r="V194" s="59">
        <v>60</v>
      </c>
      <c r="W194" s="59">
        <v>66</v>
      </c>
      <c r="X194" s="59">
        <v>60</v>
      </c>
      <c r="Y194" s="59">
        <v>78</v>
      </c>
      <c r="Z194" s="59">
        <v>65</v>
      </c>
      <c r="AA194" s="59">
        <v>150</v>
      </c>
      <c r="AB194" s="59">
        <v>266</v>
      </c>
      <c r="AC194" s="59">
        <f>VLOOKUP($A194,'[1]Flu Deaths Updated'!$A$2:$N$460,14,FALSE)</f>
        <v>60</v>
      </c>
      <c r="AD194" s="60">
        <f t="shared" ref="AD194:AD257" si="3">SUM(S194:AC194)</f>
        <v>1045</v>
      </c>
      <c r="AE194" s="66">
        <f>Integrated[[#This Row],[Flu Deaths &lt;5 years old]]/Integrated[[#This Row],[Population &lt;5 years]]</f>
        <v>3.4072517675118547E-4</v>
      </c>
      <c r="AF194" s="67">
        <f>Integrated[[#This Row],[Flu Deaths 5 to 14 years]]/Integrated[[#This Row],[Population 5 to 14 years]]</f>
        <v>9.299067303549454E-5</v>
      </c>
      <c r="AG194" s="67">
        <f>Integrated[[#This Row],[Flu Deaths 15 to 24 years]]/Integrated[[#This Row],[Population 15 to 24 years]]</f>
        <v>8.7166732525975681E-5</v>
      </c>
      <c r="AH194" s="67">
        <f>Integrated[[#This Row],[Flu Deaths 25 to 34 years]]/Integrated[[#This Row],[Population 25 to 34 years]]</f>
        <v>8.5738905028443882E-5</v>
      </c>
      <c r="AI194" s="67">
        <f>Integrated[[#This Row],[Flu Deaths 35 to 44 years]]/Integrated[[#This Row],[Population 35 to 44 years]]</f>
        <v>8.4361726209641698E-5</v>
      </c>
      <c r="AJ194" s="67">
        <f>Integrated[[#This Row],[Flu Deaths 45 to 54 years]]/Integrated[[#This Row],[Population 45 to 54 years]]</f>
        <v>9.0765316647184211E-5</v>
      </c>
      <c r="AK194" s="67">
        <f>Integrated[[#This Row],[Flu Deaths 55 to 64 years]]/Integrated[[#This Row],[Population 55 to 64 years]]</f>
        <v>1.5028554253080853E-4</v>
      </c>
      <c r="AL194" s="67">
        <f>Integrated[[#This Row],[Flu Deaths 65 to 74 years]]/Integrated[[#This Row],[Population 65 to 74 years]]</f>
        <v>2.4143643535818024E-4</v>
      </c>
      <c r="AM194" s="67">
        <f>Integrated[[#This Row],[Flu Deaths 75 to 84 years]]/Integrated[[#This Row],[Population 75 to 84 years]]</f>
        <v>9.1403779241592371E-4</v>
      </c>
      <c r="AN194" s="67">
        <f>Integrated[[#This Row],[Flu Deaths 85+ years]]/Integrated[[#This Row],[Population 85+ years]]</f>
        <v>4.2100598271659646E-3</v>
      </c>
      <c r="AO194" s="68">
        <f>Integrated[[#This Row],[Total Flu Deaths]]/Integrated[[#This Row],[Total population]]</f>
        <v>2.1576594536145544E-4</v>
      </c>
    </row>
    <row r="195" spans="1:41" x14ac:dyDescent="0.3">
      <c r="A195" s="44" t="s">
        <v>215</v>
      </c>
      <c r="B195" t="s">
        <v>199</v>
      </c>
      <c r="C195" s="45">
        <v>2015</v>
      </c>
      <c r="D195" s="51">
        <v>2739882</v>
      </c>
      <c r="E195" s="2">
        <v>1346510</v>
      </c>
      <c r="F195" s="2">
        <v>1393376</v>
      </c>
      <c r="G195" s="78">
        <f>Integrated[[#This Row],[Female Total population]]/Integrated[[#This Row],[Total population]]</f>
        <v>0.50855328806131062</v>
      </c>
      <c r="H195" s="2">
        <v>178465</v>
      </c>
      <c r="I195" s="2">
        <v>368124</v>
      </c>
      <c r="J195" s="2">
        <v>369873</v>
      </c>
      <c r="K195" s="2">
        <v>360128</v>
      </c>
      <c r="L195" s="2">
        <v>340492</v>
      </c>
      <c r="M195" s="2">
        <v>361197</v>
      </c>
      <c r="N195" s="2">
        <v>341458</v>
      </c>
      <c r="O195" s="2">
        <v>241449</v>
      </c>
      <c r="P195" s="2">
        <v>129016</v>
      </c>
      <c r="Q195" s="52">
        <v>49972</v>
      </c>
      <c r="R195" s="127">
        <f>Integrated[[#This Row],[Population 85+ years]]/Integrated[[#This Row],[Total population]]</f>
        <v>1.8238741668436816E-2</v>
      </c>
      <c r="S195" s="58">
        <v>120</v>
      </c>
      <c r="T195" s="59">
        <v>60</v>
      </c>
      <c r="U195" s="59">
        <v>60</v>
      </c>
      <c r="V195" s="59">
        <v>60</v>
      </c>
      <c r="W195" s="59">
        <v>60</v>
      </c>
      <c r="X195" s="59">
        <v>60</v>
      </c>
      <c r="Y195" s="59">
        <v>60</v>
      </c>
      <c r="Z195" s="59">
        <v>105</v>
      </c>
      <c r="AA195" s="59">
        <v>183</v>
      </c>
      <c r="AB195" s="59">
        <v>268</v>
      </c>
      <c r="AC195" s="59">
        <f>VLOOKUP($A195,'[1]Flu Deaths Updated'!$A$2:$N$460,14,FALSE)</f>
        <v>60</v>
      </c>
      <c r="AD195" s="60">
        <f t="shared" si="3"/>
        <v>1096</v>
      </c>
      <c r="AE195" s="66">
        <f>Integrated[[#This Row],[Flu Deaths &lt;5 years old]]/Integrated[[#This Row],[Population &lt;5 years]]</f>
        <v>6.7240075084750513E-4</v>
      </c>
      <c r="AF195" s="67">
        <f>Integrated[[#This Row],[Flu Deaths 5 to 14 years]]/Integrated[[#This Row],[Population 5 to 14 years]]</f>
        <v>1.6298855820321413E-4</v>
      </c>
      <c r="AG195" s="67">
        <f>Integrated[[#This Row],[Flu Deaths 15 to 24 years]]/Integrated[[#This Row],[Population 15 to 24 years]]</f>
        <v>1.6221784234047903E-4</v>
      </c>
      <c r="AH195" s="67">
        <f>Integrated[[#This Row],[Flu Deaths 25 to 34 years]]/Integrated[[#This Row],[Population 25 to 34 years]]</f>
        <v>1.6660742846987738E-4</v>
      </c>
      <c r="AI195" s="67">
        <f>Integrated[[#This Row],[Flu Deaths 35 to 44 years]]/Integrated[[#This Row],[Population 35 to 44 years]]</f>
        <v>1.7621559390528998E-4</v>
      </c>
      <c r="AJ195" s="67">
        <f>Integrated[[#This Row],[Flu Deaths 45 to 54 years]]/Integrated[[#This Row],[Population 45 to 54 years]]</f>
        <v>1.6611433649781144E-4</v>
      </c>
      <c r="AK195" s="67">
        <f>Integrated[[#This Row],[Flu Deaths 55 to 64 years]]/Integrated[[#This Row],[Population 55 to 64 years]]</f>
        <v>1.757170720850002E-4</v>
      </c>
      <c r="AL195" s="67">
        <f>Integrated[[#This Row],[Flu Deaths 65 to 74 years]]/Integrated[[#This Row],[Population 65 to 74 years]]</f>
        <v>4.3487444553508194E-4</v>
      </c>
      <c r="AM195" s="67">
        <f>Integrated[[#This Row],[Flu Deaths 75 to 84 years]]/Integrated[[#This Row],[Population 75 to 84 years]]</f>
        <v>1.4184287220189743E-3</v>
      </c>
      <c r="AN195" s="67">
        <f>Integrated[[#This Row],[Flu Deaths 85+ years]]/Integrated[[#This Row],[Population 85+ years]]</f>
        <v>5.363003281837829E-3</v>
      </c>
      <c r="AO195" s="68">
        <f>Integrated[[#This Row],[Total Flu Deaths]]/Integrated[[#This Row],[Total population]]</f>
        <v>4.0001722701926582E-4</v>
      </c>
    </row>
    <row r="196" spans="1:41" x14ac:dyDescent="0.3">
      <c r="A196" s="44" t="s">
        <v>512</v>
      </c>
      <c r="B196" t="s">
        <v>445</v>
      </c>
      <c r="C196" s="45">
        <v>2011</v>
      </c>
      <c r="D196" s="51">
        <v>6257657</v>
      </c>
      <c r="E196" s="2">
        <v>3112908</v>
      </c>
      <c r="F196" s="2">
        <v>3144750</v>
      </c>
      <c r="G196" s="78">
        <f>Integrated[[#This Row],[Female Total population]]/Integrated[[#This Row],[Total population]]</f>
        <v>0.50254432289912987</v>
      </c>
      <c r="H196" s="2">
        <v>453697</v>
      </c>
      <c r="I196" s="2">
        <v>872493</v>
      </c>
      <c r="J196" s="2">
        <v>886429</v>
      </c>
      <c r="K196" s="2">
        <v>851847</v>
      </c>
      <c r="L196" s="2">
        <v>819568</v>
      </c>
      <c r="M196" s="2">
        <v>818786</v>
      </c>
      <c r="N196" s="2">
        <v>697261</v>
      </c>
      <c r="O196" s="2">
        <v>476288</v>
      </c>
      <c r="P196" s="2">
        <v>280366</v>
      </c>
      <c r="Q196" s="52">
        <v>96550</v>
      </c>
      <c r="R196" s="127">
        <f>Integrated[[#This Row],[Population 85+ years]]/Integrated[[#This Row],[Total population]]</f>
        <v>1.542909750406582E-2</v>
      </c>
      <c r="S196" s="58">
        <v>120</v>
      </c>
      <c r="T196" s="59">
        <v>60</v>
      </c>
      <c r="U196" s="59">
        <v>60</v>
      </c>
      <c r="V196" s="59">
        <v>60</v>
      </c>
      <c r="W196" s="59">
        <v>65</v>
      </c>
      <c r="X196" s="59">
        <v>60</v>
      </c>
      <c r="Y196" s="59">
        <v>60</v>
      </c>
      <c r="Z196" s="59">
        <v>95</v>
      </c>
      <c r="AA196" s="59">
        <v>198</v>
      </c>
      <c r="AB196" s="59">
        <v>269</v>
      </c>
      <c r="AC196" s="59">
        <f>VLOOKUP($A196,'[1]Flu Deaths Updated'!$A$2:$N$460,14,FALSE)</f>
        <v>60</v>
      </c>
      <c r="AD196" s="60">
        <f t="shared" si="3"/>
        <v>1107</v>
      </c>
      <c r="AE196" s="66">
        <f>Integrated[[#This Row],[Flu Deaths &lt;5 years old]]/Integrated[[#This Row],[Population &lt;5 years]]</f>
        <v>2.6449370394778893E-4</v>
      </c>
      <c r="AF196" s="67">
        <f>Integrated[[#This Row],[Flu Deaths 5 to 14 years]]/Integrated[[#This Row],[Population 5 to 14 years]]</f>
        <v>6.8768460033490241E-5</v>
      </c>
      <c r="AG196" s="67">
        <f>Integrated[[#This Row],[Flu Deaths 15 to 24 years]]/Integrated[[#This Row],[Population 15 to 24 years]]</f>
        <v>6.7687316186631975E-5</v>
      </c>
      <c r="AH196" s="67">
        <f>Integrated[[#This Row],[Flu Deaths 25 to 34 years]]/Integrated[[#This Row],[Population 25 to 34 years]]</f>
        <v>7.0435183783003287E-5</v>
      </c>
      <c r="AI196" s="67">
        <f>Integrated[[#This Row],[Flu Deaths 35 to 44 years]]/Integrated[[#This Row],[Population 35 to 44 years]]</f>
        <v>7.3209300509536726E-5</v>
      </c>
      <c r="AJ196" s="67">
        <f>Integrated[[#This Row],[Flu Deaths 45 to 54 years]]/Integrated[[#This Row],[Population 45 to 54 years]]</f>
        <v>7.938582242490712E-5</v>
      </c>
      <c r="AK196" s="67">
        <f>Integrated[[#This Row],[Flu Deaths 55 to 64 years]]/Integrated[[#This Row],[Population 55 to 64 years]]</f>
        <v>8.6050990948869936E-5</v>
      </c>
      <c r="AL196" s="67">
        <f>Integrated[[#This Row],[Flu Deaths 65 to 74 years]]/Integrated[[#This Row],[Population 65 to 74 years]]</f>
        <v>1.9945915076592313E-4</v>
      </c>
      <c r="AM196" s="67">
        <f>Integrated[[#This Row],[Flu Deaths 75 to 84 years]]/Integrated[[#This Row],[Population 75 to 84 years]]</f>
        <v>7.0621972707104281E-4</v>
      </c>
      <c r="AN196" s="67">
        <f>Integrated[[#This Row],[Flu Deaths 85+ years]]/Integrated[[#This Row],[Population 85+ years]]</f>
        <v>2.7861211807353702E-3</v>
      </c>
      <c r="AO196" s="68">
        <f>Integrated[[#This Row],[Total Flu Deaths]]/Integrated[[#This Row],[Total population]]</f>
        <v>1.7690327226308505E-4</v>
      </c>
    </row>
    <row r="197" spans="1:41" x14ac:dyDescent="0.3">
      <c r="A197" s="44" t="s">
        <v>510</v>
      </c>
      <c r="B197" t="s">
        <v>445</v>
      </c>
      <c r="C197" s="45">
        <v>2014</v>
      </c>
      <c r="D197" s="51">
        <v>6523723</v>
      </c>
      <c r="E197" s="2">
        <v>3238469</v>
      </c>
      <c r="F197" s="2">
        <v>3285255</v>
      </c>
      <c r="G197" s="78">
        <f>Integrated[[#This Row],[Female Total population]]/Integrated[[#This Row],[Total population]]</f>
        <v>0.50358591252265006</v>
      </c>
      <c r="H197" s="2">
        <v>438566</v>
      </c>
      <c r="I197" s="2">
        <v>904329</v>
      </c>
      <c r="J197" s="2">
        <v>920304</v>
      </c>
      <c r="K197" s="2">
        <v>871091</v>
      </c>
      <c r="L197" s="2">
        <v>823724</v>
      </c>
      <c r="M197" s="2">
        <v>837300</v>
      </c>
      <c r="N197" s="2">
        <v>760033</v>
      </c>
      <c r="O197" s="2">
        <v>553231</v>
      </c>
      <c r="P197" s="2">
        <v>298433</v>
      </c>
      <c r="Q197" s="52">
        <v>112942</v>
      </c>
      <c r="R197" s="127">
        <f>Integrated[[#This Row],[Population 85+ years]]/Integrated[[#This Row],[Total population]]</f>
        <v>1.7312506984125474E-2</v>
      </c>
      <c r="S197" s="58">
        <v>120</v>
      </c>
      <c r="T197" s="59">
        <v>60</v>
      </c>
      <c r="U197" s="59">
        <v>60</v>
      </c>
      <c r="V197" s="59">
        <v>65</v>
      </c>
      <c r="W197" s="59">
        <v>70</v>
      </c>
      <c r="X197" s="59">
        <v>60</v>
      </c>
      <c r="Y197" s="59">
        <v>83</v>
      </c>
      <c r="Z197" s="59">
        <v>134</v>
      </c>
      <c r="AA197" s="59">
        <v>184</v>
      </c>
      <c r="AB197" s="59">
        <v>270</v>
      </c>
      <c r="AC197" s="59">
        <f>VLOOKUP($A197,'[1]Flu Deaths Updated'!$A$2:$N$460,14,FALSE)</f>
        <v>60</v>
      </c>
      <c r="AD197" s="60">
        <f t="shared" si="3"/>
        <v>1166</v>
      </c>
      <c r="AE197" s="66">
        <f>Integrated[[#This Row],[Flu Deaths &lt;5 years old]]/Integrated[[#This Row],[Population &lt;5 years]]</f>
        <v>2.7361902199440907E-4</v>
      </c>
      <c r="AF197" s="67">
        <f>Integrated[[#This Row],[Flu Deaths 5 to 14 years]]/Integrated[[#This Row],[Population 5 to 14 years]]</f>
        <v>6.6347535023205054E-5</v>
      </c>
      <c r="AG197" s="67">
        <f>Integrated[[#This Row],[Flu Deaths 15 to 24 years]]/Integrated[[#This Row],[Population 15 to 24 years]]</f>
        <v>6.5195848328378453E-5</v>
      </c>
      <c r="AH197" s="67">
        <f>Integrated[[#This Row],[Flu Deaths 25 to 34 years]]/Integrated[[#This Row],[Population 25 to 34 years]]</f>
        <v>6.887914121486733E-5</v>
      </c>
      <c r="AI197" s="67">
        <f>Integrated[[#This Row],[Flu Deaths 35 to 44 years]]/Integrated[[#This Row],[Population 35 to 44 years]]</f>
        <v>7.8909926140309137E-5</v>
      </c>
      <c r="AJ197" s="67">
        <f>Integrated[[#This Row],[Flu Deaths 45 to 54 years]]/Integrated[[#This Row],[Population 45 to 54 years]]</f>
        <v>8.3602054221903745E-5</v>
      </c>
      <c r="AK197" s="67">
        <f>Integrated[[#This Row],[Flu Deaths 55 to 64 years]]/Integrated[[#This Row],[Population 55 to 64 years]]</f>
        <v>1.0920578448567364E-4</v>
      </c>
      <c r="AL197" s="67">
        <f>Integrated[[#This Row],[Flu Deaths 65 to 74 years]]/Integrated[[#This Row],[Population 65 to 74 years]]</f>
        <v>2.4221346959949822E-4</v>
      </c>
      <c r="AM197" s="67">
        <f>Integrated[[#This Row],[Flu Deaths 75 to 84 years]]/Integrated[[#This Row],[Population 75 to 84 years]]</f>
        <v>6.1655379934524672E-4</v>
      </c>
      <c r="AN197" s="67">
        <f>Integrated[[#This Row],[Flu Deaths 85+ years]]/Integrated[[#This Row],[Population 85+ years]]</f>
        <v>2.39060756848648E-3</v>
      </c>
      <c r="AO197" s="68">
        <f>Integrated[[#This Row],[Total Flu Deaths]]/Integrated[[#This Row],[Total population]]</f>
        <v>1.7873229749331784E-4</v>
      </c>
    </row>
    <row r="198" spans="1:41" x14ac:dyDescent="0.3">
      <c r="A198" s="44" t="s">
        <v>336</v>
      </c>
      <c r="B198" t="s">
        <v>306</v>
      </c>
      <c r="C198" s="45">
        <v>2017</v>
      </c>
      <c r="D198" s="51">
        <v>4336750</v>
      </c>
      <c r="E198" s="2">
        <v>2119181</v>
      </c>
      <c r="F198" s="2">
        <v>2217571</v>
      </c>
      <c r="G198" s="78">
        <f>Integrated[[#This Row],[Female Total population]]/Integrated[[#This Row],[Total population]]</f>
        <v>0.51134397878595728</v>
      </c>
      <c r="H198" s="2">
        <v>288985</v>
      </c>
      <c r="I198" s="2">
        <v>572662</v>
      </c>
      <c r="J198" s="2">
        <v>601593</v>
      </c>
      <c r="K198" s="2">
        <v>626972</v>
      </c>
      <c r="L198" s="2">
        <v>531522</v>
      </c>
      <c r="M198" s="2">
        <v>556808</v>
      </c>
      <c r="N198" s="2">
        <v>550663</v>
      </c>
      <c r="O198" s="2">
        <v>359872</v>
      </c>
      <c r="P198" s="2">
        <v>177991</v>
      </c>
      <c r="Q198" s="52">
        <v>69698</v>
      </c>
      <c r="R198" s="127">
        <f>Integrated[[#This Row],[Population 85+ years]]/Integrated[[#This Row],[Total population]]</f>
        <v>1.6071482100651409E-2</v>
      </c>
      <c r="S198" s="58">
        <v>120</v>
      </c>
      <c r="T198" s="59">
        <v>60</v>
      </c>
      <c r="U198" s="59">
        <v>60</v>
      </c>
      <c r="V198" s="59">
        <v>60</v>
      </c>
      <c r="W198" s="59">
        <v>60</v>
      </c>
      <c r="X198" s="59">
        <v>60</v>
      </c>
      <c r="Y198" s="59">
        <v>93</v>
      </c>
      <c r="Z198" s="59">
        <v>136</v>
      </c>
      <c r="AA198" s="59">
        <v>193</v>
      </c>
      <c r="AB198" s="59">
        <v>271</v>
      </c>
      <c r="AC198" s="59">
        <f>VLOOKUP($A198,'[1]Flu Deaths Updated'!$A$2:$N$460,14,FALSE)</f>
        <v>60</v>
      </c>
      <c r="AD198" s="60">
        <f t="shared" si="3"/>
        <v>1173</v>
      </c>
      <c r="AE198" s="66">
        <f>Integrated[[#This Row],[Flu Deaths &lt;5 years old]]/Integrated[[#This Row],[Population &lt;5 years]]</f>
        <v>4.1524646607955432E-4</v>
      </c>
      <c r="AF198" s="67">
        <f>Integrated[[#This Row],[Flu Deaths 5 to 14 years]]/Integrated[[#This Row],[Population 5 to 14 years]]</f>
        <v>1.047738456541555E-4</v>
      </c>
      <c r="AG198" s="67">
        <f>Integrated[[#This Row],[Flu Deaths 15 to 24 years]]/Integrated[[#This Row],[Population 15 to 24 years]]</f>
        <v>9.9735203035939576E-5</v>
      </c>
      <c r="AH198" s="67">
        <f>Integrated[[#This Row],[Flu Deaths 25 to 34 years]]/Integrated[[#This Row],[Population 25 to 34 years]]</f>
        <v>9.5698053501591779E-5</v>
      </c>
      <c r="AI198" s="67">
        <f>Integrated[[#This Row],[Flu Deaths 35 to 44 years]]/Integrated[[#This Row],[Population 35 to 44 years]]</f>
        <v>1.1288338017993611E-4</v>
      </c>
      <c r="AJ198" s="67">
        <f>Integrated[[#This Row],[Flu Deaths 45 to 54 years]]/Integrated[[#This Row],[Population 45 to 54 years]]</f>
        <v>1.0775707245585552E-4</v>
      </c>
      <c r="AK198" s="67">
        <f>Integrated[[#This Row],[Flu Deaths 55 to 64 years]]/Integrated[[#This Row],[Population 55 to 64 years]]</f>
        <v>1.6888732309960902E-4</v>
      </c>
      <c r="AL198" s="67">
        <f>Integrated[[#This Row],[Flu Deaths 65 to 74 years]]/Integrated[[#This Row],[Population 65 to 74 years]]</f>
        <v>3.7791214654099234E-4</v>
      </c>
      <c r="AM198" s="67">
        <f>Integrated[[#This Row],[Flu Deaths 75 to 84 years]]/Integrated[[#This Row],[Population 75 to 84 years]]</f>
        <v>1.0843244883168249E-3</v>
      </c>
      <c r="AN198" s="67">
        <f>Integrated[[#This Row],[Flu Deaths 85+ years]]/Integrated[[#This Row],[Population 85+ years]]</f>
        <v>3.8882033917759479E-3</v>
      </c>
      <c r="AO198" s="68">
        <f>Integrated[[#This Row],[Total Flu Deaths]]/Integrated[[#This Row],[Total population]]</f>
        <v>2.7047904536807519E-4</v>
      </c>
    </row>
    <row r="199" spans="1:41" x14ac:dyDescent="0.3">
      <c r="A199" s="44" t="s">
        <v>236</v>
      </c>
      <c r="B199" t="s">
        <v>194</v>
      </c>
      <c r="C199" s="45">
        <v>2016</v>
      </c>
      <c r="D199" s="51">
        <v>2741881</v>
      </c>
      <c r="E199" s="2">
        <v>1365043</v>
      </c>
      <c r="F199" s="2">
        <v>1376847</v>
      </c>
      <c r="G199" s="78">
        <f>Integrated[[#This Row],[Female Total population]]/Integrated[[#This Row],[Total population]]</f>
        <v>0.50215417809890361</v>
      </c>
      <c r="H199" s="2">
        <v>188049</v>
      </c>
      <c r="I199" s="2">
        <v>381695</v>
      </c>
      <c r="J199" s="2">
        <v>399121</v>
      </c>
      <c r="K199" s="2">
        <v>367805</v>
      </c>
      <c r="L199" s="2">
        <v>330888</v>
      </c>
      <c r="M199" s="2">
        <v>350421</v>
      </c>
      <c r="N199" s="2">
        <v>341113</v>
      </c>
      <c r="O199" s="2">
        <v>211695</v>
      </c>
      <c r="P199" s="2">
        <v>117830</v>
      </c>
      <c r="Q199" s="52">
        <v>55861</v>
      </c>
      <c r="R199" s="127">
        <f>Integrated[[#This Row],[Population 85+ years]]/Integrated[[#This Row],[Total population]]</f>
        <v>2.0373240122383139E-2</v>
      </c>
      <c r="S199" s="58">
        <v>120</v>
      </c>
      <c r="T199" s="59">
        <v>60</v>
      </c>
      <c r="U199" s="59">
        <v>60</v>
      </c>
      <c r="V199" s="59">
        <v>60</v>
      </c>
      <c r="W199" s="59">
        <v>60</v>
      </c>
      <c r="X199" s="59">
        <v>60</v>
      </c>
      <c r="Y199" s="59">
        <v>60</v>
      </c>
      <c r="Z199" s="59">
        <v>79</v>
      </c>
      <c r="AA199" s="59">
        <v>108</v>
      </c>
      <c r="AB199" s="59">
        <v>272</v>
      </c>
      <c r="AC199" s="59">
        <f>VLOOKUP($A199,'[1]Flu Deaths Updated'!$A$2:$N$460,14,FALSE)</f>
        <v>60</v>
      </c>
      <c r="AD199" s="60">
        <f t="shared" si="3"/>
        <v>999</v>
      </c>
      <c r="AE199" s="66">
        <f>Integrated[[#This Row],[Flu Deaths &lt;5 years old]]/Integrated[[#This Row],[Population &lt;5 years]]</f>
        <v>6.3813155081920135E-4</v>
      </c>
      <c r="AF199" s="67">
        <f>Integrated[[#This Row],[Flu Deaths 5 to 14 years]]/Integrated[[#This Row],[Population 5 to 14 years]]</f>
        <v>1.5719357078295497E-4</v>
      </c>
      <c r="AG199" s="67">
        <f>Integrated[[#This Row],[Flu Deaths 15 to 24 years]]/Integrated[[#This Row],[Population 15 to 24 years]]</f>
        <v>1.5033035094620429E-4</v>
      </c>
      <c r="AH199" s="67">
        <f>Integrated[[#This Row],[Flu Deaths 25 to 34 years]]/Integrated[[#This Row],[Population 25 to 34 years]]</f>
        <v>1.631299193866315E-4</v>
      </c>
      <c r="AI199" s="67">
        <f>Integrated[[#This Row],[Flu Deaths 35 to 44 years]]/Integrated[[#This Row],[Population 35 to 44 years]]</f>
        <v>1.8133023863059405E-4</v>
      </c>
      <c r="AJ199" s="67">
        <f>Integrated[[#This Row],[Flu Deaths 45 to 54 years]]/Integrated[[#This Row],[Population 45 to 54 years]]</f>
        <v>1.7122261508300017E-4</v>
      </c>
      <c r="AK199" s="67">
        <f>Integrated[[#This Row],[Flu Deaths 55 to 64 years]]/Integrated[[#This Row],[Population 55 to 64 years]]</f>
        <v>1.7589479146206682E-4</v>
      </c>
      <c r="AL199" s="67">
        <f>Integrated[[#This Row],[Flu Deaths 65 to 74 years]]/Integrated[[#This Row],[Population 65 to 74 years]]</f>
        <v>3.7317839344339733E-4</v>
      </c>
      <c r="AM199" s="67">
        <f>Integrated[[#This Row],[Flu Deaths 75 to 84 years]]/Integrated[[#This Row],[Population 75 to 84 years]]</f>
        <v>9.1657472630060253E-4</v>
      </c>
      <c r="AN199" s="67">
        <f>Integrated[[#This Row],[Flu Deaths 85+ years]]/Integrated[[#This Row],[Population 85+ years]]</f>
        <v>4.8692289790730568E-3</v>
      </c>
      <c r="AO199" s="68">
        <f>Integrated[[#This Row],[Total Flu Deaths]]/Integrated[[#This Row],[Total population]]</f>
        <v>3.643484162879425E-4</v>
      </c>
    </row>
    <row r="200" spans="1:41" x14ac:dyDescent="0.3">
      <c r="A200" s="44" t="s">
        <v>466</v>
      </c>
      <c r="B200" t="s">
        <v>448</v>
      </c>
      <c r="C200" s="45">
        <v>2011</v>
      </c>
      <c r="D200" s="51">
        <v>4941466</v>
      </c>
      <c r="E200" s="2">
        <v>2475594</v>
      </c>
      <c r="F200" s="2">
        <v>2465876</v>
      </c>
      <c r="G200" s="78">
        <f>Integrated[[#This Row],[Female Total population]]/Integrated[[#This Row],[Total population]]</f>
        <v>0.49901709330793736</v>
      </c>
      <c r="H200" s="2">
        <v>341741</v>
      </c>
      <c r="I200" s="2">
        <v>668253</v>
      </c>
      <c r="J200" s="2">
        <v>688569</v>
      </c>
      <c r="K200" s="2">
        <v>710876</v>
      </c>
      <c r="L200" s="2">
        <v>699334</v>
      </c>
      <c r="M200" s="2">
        <v>730091</v>
      </c>
      <c r="N200" s="2">
        <v>568647</v>
      </c>
      <c r="O200" s="2">
        <v>295955</v>
      </c>
      <c r="P200" s="2">
        <v>167846</v>
      </c>
      <c r="Q200" s="52">
        <v>68236</v>
      </c>
      <c r="R200" s="127">
        <f>Integrated[[#This Row],[Population 85+ years]]/Integrated[[#This Row],[Total population]]</f>
        <v>1.3808857533371676E-2</v>
      </c>
      <c r="S200" s="58">
        <v>120</v>
      </c>
      <c r="T200" s="59">
        <v>60</v>
      </c>
      <c r="U200" s="59">
        <v>60</v>
      </c>
      <c r="V200" s="59">
        <v>60</v>
      </c>
      <c r="W200" s="59">
        <v>60</v>
      </c>
      <c r="X200" s="59">
        <v>60</v>
      </c>
      <c r="Y200" s="59">
        <v>60</v>
      </c>
      <c r="Z200" s="59">
        <v>70</v>
      </c>
      <c r="AA200" s="59">
        <v>136</v>
      </c>
      <c r="AB200" s="59">
        <v>272</v>
      </c>
      <c r="AC200" s="59">
        <f>VLOOKUP($A200,'[1]Flu Deaths Updated'!$A$2:$N$460,14,FALSE)</f>
        <v>60</v>
      </c>
      <c r="AD200" s="60">
        <f t="shared" si="3"/>
        <v>1018</v>
      </c>
      <c r="AE200" s="66">
        <f>Integrated[[#This Row],[Flu Deaths &lt;5 years old]]/Integrated[[#This Row],[Population &lt;5 years]]</f>
        <v>3.5114311715597486E-4</v>
      </c>
      <c r="AF200" s="67">
        <f>Integrated[[#This Row],[Flu Deaths 5 to 14 years]]/Integrated[[#This Row],[Population 5 to 14 years]]</f>
        <v>8.9786353372150969E-5</v>
      </c>
      <c r="AG200" s="67">
        <f>Integrated[[#This Row],[Flu Deaths 15 to 24 years]]/Integrated[[#This Row],[Population 15 to 24 years]]</f>
        <v>8.7137236791084112E-5</v>
      </c>
      <c r="AH200" s="67">
        <f>Integrated[[#This Row],[Flu Deaths 25 to 34 years]]/Integrated[[#This Row],[Population 25 to 34 years]]</f>
        <v>8.4402905710700594E-5</v>
      </c>
      <c r="AI200" s="67">
        <f>Integrated[[#This Row],[Flu Deaths 35 to 44 years]]/Integrated[[#This Row],[Population 35 to 44 years]]</f>
        <v>8.5795914398556345E-5</v>
      </c>
      <c r="AJ200" s="67">
        <f>Integrated[[#This Row],[Flu Deaths 45 to 54 years]]/Integrated[[#This Row],[Population 45 to 54 years]]</f>
        <v>8.2181536274245271E-5</v>
      </c>
      <c r="AK200" s="67">
        <f>Integrated[[#This Row],[Flu Deaths 55 to 64 years]]/Integrated[[#This Row],[Population 55 to 64 years]]</f>
        <v>1.0551361389403267E-4</v>
      </c>
      <c r="AL200" s="67">
        <f>Integrated[[#This Row],[Flu Deaths 65 to 74 years]]/Integrated[[#This Row],[Population 65 to 74 years]]</f>
        <v>2.3652244429051713E-4</v>
      </c>
      <c r="AM200" s="67">
        <f>Integrated[[#This Row],[Flu Deaths 75 to 84 years]]/Integrated[[#This Row],[Population 75 to 84 years]]</f>
        <v>8.1026655386485234E-4</v>
      </c>
      <c r="AN200" s="67">
        <f>Integrated[[#This Row],[Flu Deaths 85+ years]]/Integrated[[#This Row],[Population 85+ years]]</f>
        <v>3.9861656603552374E-3</v>
      </c>
      <c r="AO200" s="68">
        <f>Integrated[[#This Row],[Total Flu Deaths]]/Integrated[[#This Row],[Total population]]</f>
        <v>2.060117382169583E-4</v>
      </c>
    </row>
    <row r="201" spans="1:41" x14ac:dyDescent="0.3">
      <c r="A201" s="44" t="s">
        <v>519</v>
      </c>
      <c r="B201" t="s">
        <v>445</v>
      </c>
      <c r="C201" s="45">
        <v>2012</v>
      </c>
      <c r="D201" s="51">
        <v>6410186</v>
      </c>
      <c r="E201" s="2">
        <v>3188406</v>
      </c>
      <c r="F201" s="2">
        <v>3221781</v>
      </c>
      <c r="G201" s="78">
        <f>Integrated[[#This Row],[Female Total population]]/Integrated[[#This Row],[Total population]]</f>
        <v>0.50260335659526889</v>
      </c>
      <c r="H201" s="2">
        <v>456189</v>
      </c>
      <c r="I201" s="2">
        <v>900665</v>
      </c>
      <c r="J201" s="2">
        <v>907160</v>
      </c>
      <c r="K201" s="2">
        <v>865580</v>
      </c>
      <c r="L201" s="2">
        <v>826082</v>
      </c>
      <c r="M201" s="2">
        <v>833242</v>
      </c>
      <c r="N201" s="2">
        <v>725242</v>
      </c>
      <c r="O201" s="2">
        <v>499918</v>
      </c>
      <c r="P201" s="2">
        <v>283417</v>
      </c>
      <c r="Q201" s="52">
        <v>103884</v>
      </c>
      <c r="R201" s="127">
        <f>Integrated[[#This Row],[Population 85+ years]]/Integrated[[#This Row],[Total population]]</f>
        <v>1.6206082007604771E-2</v>
      </c>
      <c r="S201" s="58">
        <v>120</v>
      </c>
      <c r="T201" s="59">
        <v>60</v>
      </c>
      <c r="U201" s="59">
        <v>60</v>
      </c>
      <c r="V201" s="59">
        <v>60</v>
      </c>
      <c r="W201" s="59">
        <v>60</v>
      </c>
      <c r="X201" s="59">
        <v>60</v>
      </c>
      <c r="Y201" s="59">
        <v>66</v>
      </c>
      <c r="Z201" s="59">
        <v>80</v>
      </c>
      <c r="AA201" s="59">
        <v>204</v>
      </c>
      <c r="AB201" s="59">
        <v>273</v>
      </c>
      <c r="AC201" s="59">
        <f>VLOOKUP($A201,'[1]Flu Deaths Updated'!$A$2:$N$460,14,FALSE)</f>
        <v>60</v>
      </c>
      <c r="AD201" s="60">
        <f t="shared" si="3"/>
        <v>1103</v>
      </c>
      <c r="AE201" s="66">
        <f>Integrated[[#This Row],[Flu Deaths &lt;5 years old]]/Integrated[[#This Row],[Population &lt;5 years]]</f>
        <v>2.6304886790343477E-4</v>
      </c>
      <c r="AF201" s="67">
        <f>Integrated[[#This Row],[Flu Deaths 5 to 14 years]]/Integrated[[#This Row],[Population 5 to 14 years]]</f>
        <v>6.6617443777653178E-5</v>
      </c>
      <c r="AG201" s="67">
        <f>Integrated[[#This Row],[Flu Deaths 15 to 24 years]]/Integrated[[#This Row],[Population 15 to 24 years]]</f>
        <v>6.614048238458486E-5</v>
      </c>
      <c r="AH201" s="67">
        <f>Integrated[[#This Row],[Flu Deaths 25 to 34 years]]/Integrated[[#This Row],[Population 25 to 34 years]]</f>
        <v>6.9317682940918228E-5</v>
      </c>
      <c r="AI201" s="67">
        <f>Integrated[[#This Row],[Flu Deaths 35 to 44 years]]/Integrated[[#This Row],[Population 35 to 44 years]]</f>
        <v>7.2632014739456853E-5</v>
      </c>
      <c r="AJ201" s="67">
        <f>Integrated[[#This Row],[Flu Deaths 45 to 54 years]]/Integrated[[#This Row],[Population 45 to 54 years]]</f>
        <v>7.2007892064970317E-5</v>
      </c>
      <c r="AK201" s="67">
        <f>Integrated[[#This Row],[Flu Deaths 55 to 64 years]]/Integrated[[#This Row],[Population 55 to 64 years]]</f>
        <v>9.1004106215580451E-5</v>
      </c>
      <c r="AL201" s="67">
        <f>Integrated[[#This Row],[Flu Deaths 65 to 74 years]]/Integrated[[#This Row],[Population 65 to 74 years]]</f>
        <v>1.6002624430406587E-4</v>
      </c>
      <c r="AM201" s="67">
        <f>Integrated[[#This Row],[Flu Deaths 75 to 84 years]]/Integrated[[#This Row],[Population 75 to 84 years]]</f>
        <v>7.1978745099976363E-4</v>
      </c>
      <c r="AN201" s="67">
        <f>Integrated[[#This Row],[Flu Deaths 85+ years]]/Integrated[[#This Row],[Population 85+ years]]</f>
        <v>2.6279311539794386E-3</v>
      </c>
      <c r="AO201" s="68">
        <f>Integrated[[#This Row],[Total Flu Deaths]]/Integrated[[#This Row],[Total population]]</f>
        <v>1.7206989001567193E-4</v>
      </c>
    </row>
    <row r="202" spans="1:41" x14ac:dyDescent="0.3">
      <c r="A202" s="44" t="s">
        <v>491</v>
      </c>
      <c r="B202" t="s">
        <v>423</v>
      </c>
      <c r="C202" s="45">
        <v>2016</v>
      </c>
      <c r="D202" s="51">
        <v>5195428</v>
      </c>
      <c r="E202" s="2">
        <v>2581124</v>
      </c>
      <c r="F202" s="2">
        <v>2614307</v>
      </c>
      <c r="G202" s="78">
        <f>Integrated[[#This Row],[Female Total population]]/Integrated[[#This Row],[Total population]]</f>
        <v>0.50319376959896278</v>
      </c>
      <c r="H202" s="2">
        <v>333828</v>
      </c>
      <c r="I202" s="2">
        <v>687144</v>
      </c>
      <c r="J202" s="2">
        <v>684759</v>
      </c>
      <c r="K202" s="2">
        <v>717139</v>
      </c>
      <c r="L202" s="2">
        <v>644379</v>
      </c>
      <c r="M202" s="2">
        <v>723904</v>
      </c>
      <c r="N202" s="2">
        <v>673829</v>
      </c>
      <c r="O202" s="2">
        <v>406374</v>
      </c>
      <c r="P202" s="2">
        <v>217650</v>
      </c>
      <c r="Q202" s="52">
        <v>106341</v>
      </c>
      <c r="R202" s="127">
        <f>Integrated[[#This Row],[Population 85+ years]]/Integrated[[#This Row],[Total population]]</f>
        <v>2.0468188568872479E-2</v>
      </c>
      <c r="S202" s="58">
        <v>120</v>
      </c>
      <c r="T202" s="59">
        <v>60</v>
      </c>
      <c r="U202" s="59">
        <v>60</v>
      </c>
      <c r="V202" s="59">
        <v>60</v>
      </c>
      <c r="W202" s="59">
        <v>60</v>
      </c>
      <c r="X202" s="59">
        <v>60</v>
      </c>
      <c r="Y202" s="59">
        <v>60</v>
      </c>
      <c r="Z202" s="59">
        <v>68</v>
      </c>
      <c r="AA202" s="59">
        <v>96</v>
      </c>
      <c r="AB202" s="59">
        <v>275</v>
      </c>
      <c r="AC202" s="59">
        <f>VLOOKUP($A202,'[1]Flu Deaths Updated'!$A$2:$N$460,14,FALSE)</f>
        <v>60</v>
      </c>
      <c r="AD202" s="60">
        <f t="shared" si="3"/>
        <v>979</v>
      </c>
      <c r="AE202" s="66">
        <f>Integrated[[#This Row],[Flu Deaths &lt;5 years old]]/Integrated[[#This Row],[Population &lt;5 years]]</f>
        <v>3.5946655163737013E-4</v>
      </c>
      <c r="AF202" s="67">
        <f>Integrated[[#This Row],[Flu Deaths 5 to 14 years]]/Integrated[[#This Row],[Population 5 to 14 years]]</f>
        <v>8.7317942090740804E-5</v>
      </c>
      <c r="AG202" s="67">
        <f>Integrated[[#This Row],[Flu Deaths 15 to 24 years]]/Integrated[[#This Row],[Population 15 to 24 years]]</f>
        <v>8.7622068494170943E-5</v>
      </c>
      <c r="AH202" s="67">
        <f>Integrated[[#This Row],[Flu Deaths 25 to 34 years]]/Integrated[[#This Row],[Population 25 to 34 years]]</f>
        <v>8.3665788640695872E-5</v>
      </c>
      <c r="AI202" s="67">
        <f>Integrated[[#This Row],[Flu Deaths 35 to 44 years]]/Integrated[[#This Row],[Population 35 to 44 years]]</f>
        <v>9.3112904051808023E-5</v>
      </c>
      <c r="AJ202" s="67">
        <f>Integrated[[#This Row],[Flu Deaths 45 to 54 years]]/Integrated[[#This Row],[Population 45 to 54 years]]</f>
        <v>8.2883918309610116E-5</v>
      </c>
      <c r="AK202" s="67">
        <f>Integrated[[#This Row],[Flu Deaths 55 to 64 years]]/Integrated[[#This Row],[Population 55 to 64 years]]</f>
        <v>8.904336263354649E-5</v>
      </c>
      <c r="AL202" s="67">
        <f>Integrated[[#This Row],[Flu Deaths 65 to 74 years]]/Integrated[[#This Row],[Population 65 to 74 years]]</f>
        <v>1.6733354003947102E-4</v>
      </c>
      <c r="AM202" s="67">
        <f>Integrated[[#This Row],[Flu Deaths 75 to 84 years]]/Integrated[[#This Row],[Population 75 to 84 years]]</f>
        <v>4.4107512060647828E-4</v>
      </c>
      <c r="AN202" s="67">
        <f>Integrated[[#This Row],[Flu Deaths 85+ years]]/Integrated[[#This Row],[Population 85+ years]]</f>
        <v>2.586020443667071E-3</v>
      </c>
      <c r="AO202" s="68">
        <f>Integrated[[#This Row],[Total Flu Deaths]]/Integrated[[#This Row],[Total population]]</f>
        <v>1.8843490853881527E-4</v>
      </c>
    </row>
    <row r="203" spans="1:41" x14ac:dyDescent="0.3">
      <c r="A203" s="44" t="s">
        <v>477</v>
      </c>
      <c r="B203" t="s">
        <v>448</v>
      </c>
      <c r="C203" s="45">
        <v>2013</v>
      </c>
      <c r="D203" s="51">
        <v>5066888</v>
      </c>
      <c r="E203" s="2">
        <v>2538611</v>
      </c>
      <c r="F203" s="2">
        <v>2528279</v>
      </c>
      <c r="G203" s="78">
        <f>Integrated[[#This Row],[Female Total population]]/Integrated[[#This Row],[Total population]]</f>
        <v>0.49898063663534697</v>
      </c>
      <c r="H203" s="2">
        <v>336855</v>
      </c>
      <c r="I203" s="2">
        <v>683097</v>
      </c>
      <c r="J203" s="2">
        <v>693708</v>
      </c>
      <c r="K203" s="2">
        <v>738782</v>
      </c>
      <c r="L203" s="2">
        <v>697868</v>
      </c>
      <c r="M203" s="2">
        <v>724129</v>
      </c>
      <c r="N203" s="2">
        <v>613342</v>
      </c>
      <c r="O203" s="2">
        <v>333773</v>
      </c>
      <c r="P203" s="2">
        <v>172582</v>
      </c>
      <c r="Q203" s="52">
        <v>72045</v>
      </c>
      <c r="R203" s="127">
        <f>Integrated[[#This Row],[Population 85+ years]]/Integrated[[#This Row],[Total population]]</f>
        <v>1.4218786758262665E-2</v>
      </c>
      <c r="S203" s="58">
        <v>120</v>
      </c>
      <c r="T203" s="59">
        <v>60</v>
      </c>
      <c r="U203" s="59">
        <v>60</v>
      </c>
      <c r="V203" s="59">
        <v>60</v>
      </c>
      <c r="W203" s="59">
        <v>60</v>
      </c>
      <c r="X203" s="59">
        <v>60</v>
      </c>
      <c r="Y203" s="59">
        <v>72</v>
      </c>
      <c r="Z203" s="59">
        <v>66</v>
      </c>
      <c r="AA203" s="59">
        <v>114</v>
      </c>
      <c r="AB203" s="59">
        <v>280</v>
      </c>
      <c r="AC203" s="59">
        <f>VLOOKUP($A203,'[1]Flu Deaths Updated'!$A$2:$N$460,14,FALSE)</f>
        <v>60</v>
      </c>
      <c r="AD203" s="60">
        <f t="shared" si="3"/>
        <v>1012</v>
      </c>
      <c r="AE203" s="66">
        <f>Integrated[[#This Row],[Flu Deaths &lt;5 years old]]/Integrated[[#This Row],[Population &lt;5 years]]</f>
        <v>3.5623636282673552E-4</v>
      </c>
      <c r="AF203" s="67">
        <f>Integrated[[#This Row],[Flu Deaths 5 to 14 years]]/Integrated[[#This Row],[Population 5 to 14 years]]</f>
        <v>8.7835256193483503E-5</v>
      </c>
      <c r="AG203" s="67">
        <f>Integrated[[#This Row],[Flu Deaths 15 to 24 years]]/Integrated[[#This Row],[Population 15 to 24 years]]</f>
        <v>8.6491722742133579E-5</v>
      </c>
      <c r="AH203" s="67">
        <f>Integrated[[#This Row],[Flu Deaths 25 to 34 years]]/Integrated[[#This Row],[Population 25 to 34 years]]</f>
        <v>8.1214756179766155E-5</v>
      </c>
      <c r="AI203" s="67">
        <f>Integrated[[#This Row],[Flu Deaths 35 to 44 years]]/Integrated[[#This Row],[Population 35 to 44 years]]</f>
        <v>8.5976144485776674E-5</v>
      </c>
      <c r="AJ203" s="67">
        <f>Integrated[[#This Row],[Flu Deaths 45 to 54 years]]/Integrated[[#This Row],[Population 45 to 54 years]]</f>
        <v>8.2858164774508408E-5</v>
      </c>
      <c r="AK203" s="67">
        <f>Integrated[[#This Row],[Flu Deaths 55 to 64 years]]/Integrated[[#This Row],[Population 55 to 64 years]]</f>
        <v>1.1738964558109505E-4</v>
      </c>
      <c r="AL203" s="67">
        <f>Integrated[[#This Row],[Flu Deaths 65 to 74 years]]/Integrated[[#This Row],[Population 65 to 74 years]]</f>
        <v>1.9773918201891705E-4</v>
      </c>
      <c r="AM203" s="67">
        <f>Integrated[[#This Row],[Flu Deaths 75 to 84 years]]/Integrated[[#This Row],[Population 75 to 84 years]]</f>
        <v>6.6055556199371888E-4</v>
      </c>
      <c r="AN203" s="67">
        <f>Integrated[[#This Row],[Flu Deaths 85+ years]]/Integrated[[#This Row],[Population 85+ years]]</f>
        <v>3.8864598514817129E-3</v>
      </c>
      <c r="AO203" s="68">
        <f>Integrated[[#This Row],[Total Flu Deaths]]/Integrated[[#This Row],[Total population]]</f>
        <v>1.9972811714014598E-4</v>
      </c>
    </row>
    <row r="204" spans="1:41" x14ac:dyDescent="0.3">
      <c r="A204" s="44" t="s">
        <v>371</v>
      </c>
      <c r="B204" t="s">
        <v>329</v>
      </c>
      <c r="C204" s="45">
        <v>2013</v>
      </c>
      <c r="D204" s="51">
        <v>4550723</v>
      </c>
      <c r="E204" s="2">
        <v>2213100</v>
      </c>
      <c r="F204" s="2">
        <v>2337624</v>
      </c>
      <c r="G204" s="78">
        <f>Integrated[[#This Row],[Female Total population]]/Integrated[[#This Row],[Total population]]</f>
        <v>0.51368189186641333</v>
      </c>
      <c r="H204" s="2">
        <v>290461</v>
      </c>
      <c r="I204" s="2">
        <v>584151</v>
      </c>
      <c r="J204" s="2">
        <v>646094</v>
      </c>
      <c r="K204" s="2">
        <v>584768</v>
      </c>
      <c r="L204" s="2">
        <v>582420</v>
      </c>
      <c r="M204" s="2">
        <v>637432</v>
      </c>
      <c r="N204" s="2">
        <v>580923</v>
      </c>
      <c r="O204" s="2">
        <v>381923</v>
      </c>
      <c r="P204" s="2">
        <v>193019</v>
      </c>
      <c r="Q204" s="52">
        <v>71143</v>
      </c>
      <c r="R204" s="127">
        <f>Integrated[[#This Row],[Population 85+ years]]/Integrated[[#This Row],[Total population]]</f>
        <v>1.5633340020915359E-2</v>
      </c>
      <c r="S204" s="58">
        <v>120</v>
      </c>
      <c r="T204" s="59">
        <v>60</v>
      </c>
      <c r="U204" s="59">
        <v>60</v>
      </c>
      <c r="V204" s="59">
        <v>60</v>
      </c>
      <c r="W204" s="59">
        <v>60</v>
      </c>
      <c r="X204" s="59">
        <v>60</v>
      </c>
      <c r="Y204" s="59">
        <v>72</v>
      </c>
      <c r="Z204" s="59">
        <v>119</v>
      </c>
      <c r="AA204" s="59">
        <v>181</v>
      </c>
      <c r="AB204" s="59">
        <v>282</v>
      </c>
      <c r="AC204" s="59">
        <f>VLOOKUP($A204,'[1]Flu Deaths Updated'!$A$2:$N$460,14,FALSE)</f>
        <v>60</v>
      </c>
      <c r="AD204" s="60">
        <f t="shared" si="3"/>
        <v>1134</v>
      </c>
      <c r="AE204" s="66">
        <f>Integrated[[#This Row],[Flu Deaths &lt;5 years old]]/Integrated[[#This Row],[Population &lt;5 years]]</f>
        <v>4.1313635909812334E-4</v>
      </c>
      <c r="AF204" s="67">
        <f>Integrated[[#This Row],[Flu Deaths 5 to 14 years]]/Integrated[[#This Row],[Population 5 to 14 years]]</f>
        <v>1.0271316834174726E-4</v>
      </c>
      <c r="AG204" s="67">
        <f>Integrated[[#This Row],[Flu Deaths 15 to 24 years]]/Integrated[[#This Row],[Population 15 to 24 years]]</f>
        <v>9.2865743993908012E-5</v>
      </c>
      <c r="AH204" s="67">
        <f>Integrated[[#This Row],[Flu Deaths 25 to 34 years]]/Integrated[[#This Row],[Population 25 to 34 years]]</f>
        <v>1.0260479369596147E-4</v>
      </c>
      <c r="AI204" s="67">
        <f>Integrated[[#This Row],[Flu Deaths 35 to 44 years]]/Integrated[[#This Row],[Population 35 to 44 years]]</f>
        <v>1.0301844030081384E-4</v>
      </c>
      <c r="AJ204" s="67">
        <f>Integrated[[#This Row],[Flu Deaths 45 to 54 years]]/Integrated[[#This Row],[Population 45 to 54 years]]</f>
        <v>9.4127687345473712E-5</v>
      </c>
      <c r="AK204" s="67">
        <f>Integrated[[#This Row],[Flu Deaths 55 to 64 years]]/Integrated[[#This Row],[Population 55 to 64 years]]</f>
        <v>1.2394069437774024E-4</v>
      </c>
      <c r="AL204" s="67">
        <f>Integrated[[#This Row],[Flu Deaths 65 to 74 years]]/Integrated[[#This Row],[Population 65 to 74 years]]</f>
        <v>3.1158113022782078E-4</v>
      </c>
      <c r="AM204" s="67">
        <f>Integrated[[#This Row],[Flu Deaths 75 to 84 years]]/Integrated[[#This Row],[Population 75 to 84 years]]</f>
        <v>9.3773151865878489E-4</v>
      </c>
      <c r="AN204" s="67">
        <f>Integrated[[#This Row],[Flu Deaths 85+ years]]/Integrated[[#This Row],[Population 85+ years]]</f>
        <v>3.9638474621536907E-3</v>
      </c>
      <c r="AO204" s="68">
        <f>Integrated[[#This Row],[Total Flu Deaths]]/Integrated[[#This Row],[Total population]]</f>
        <v>2.4919117247962575E-4</v>
      </c>
    </row>
    <row r="205" spans="1:41" x14ac:dyDescent="0.3">
      <c r="A205" s="44" t="s">
        <v>203</v>
      </c>
      <c r="B205" t="s">
        <v>183</v>
      </c>
      <c r="C205" s="45">
        <v>2013</v>
      </c>
      <c r="D205" s="51">
        <v>2810919</v>
      </c>
      <c r="E205" s="2">
        <v>1364091</v>
      </c>
      <c r="F205" s="2">
        <v>1446831</v>
      </c>
      <c r="G205" s="78">
        <f>Integrated[[#This Row],[Female Total population]]/Integrated[[#This Row],[Total population]]</f>
        <v>0.51471814022389117</v>
      </c>
      <c r="H205" s="2">
        <v>194169</v>
      </c>
      <c r="I205" s="2">
        <v>393001</v>
      </c>
      <c r="J205" s="2">
        <v>412661</v>
      </c>
      <c r="K205" s="2">
        <v>365277</v>
      </c>
      <c r="L205" s="2">
        <v>352281</v>
      </c>
      <c r="M205" s="2">
        <v>384839</v>
      </c>
      <c r="N205" s="2">
        <v>337015</v>
      </c>
      <c r="O205" s="2">
        <v>211560</v>
      </c>
      <c r="P205" s="2">
        <v>116575</v>
      </c>
      <c r="Q205" s="52">
        <v>43739</v>
      </c>
      <c r="R205" s="127">
        <f>Integrated[[#This Row],[Population 85+ years]]/Integrated[[#This Row],[Total population]]</f>
        <v>1.5560391459163355E-2</v>
      </c>
      <c r="S205" s="58">
        <v>120</v>
      </c>
      <c r="T205" s="59">
        <v>60</v>
      </c>
      <c r="U205" s="59">
        <v>60</v>
      </c>
      <c r="V205" s="59">
        <v>60</v>
      </c>
      <c r="W205" s="59">
        <v>60</v>
      </c>
      <c r="X205" s="59">
        <v>60</v>
      </c>
      <c r="Y205" s="59">
        <v>83</v>
      </c>
      <c r="Z205" s="59">
        <v>108</v>
      </c>
      <c r="AA205" s="59">
        <v>205</v>
      </c>
      <c r="AB205" s="59">
        <v>282</v>
      </c>
      <c r="AC205" s="59">
        <f>VLOOKUP($A205,'[1]Flu Deaths Updated'!$A$2:$N$460,14,FALSE)</f>
        <v>60</v>
      </c>
      <c r="AD205" s="60">
        <f t="shared" si="3"/>
        <v>1158</v>
      </c>
      <c r="AE205" s="66">
        <f>Integrated[[#This Row],[Flu Deaths &lt;5 years old]]/Integrated[[#This Row],[Population &lt;5 years]]</f>
        <v>6.1801832424331386E-4</v>
      </c>
      <c r="AF205" s="67">
        <f>Integrated[[#This Row],[Flu Deaths 5 to 14 years]]/Integrated[[#This Row],[Population 5 to 14 years]]</f>
        <v>1.526713672484294E-4</v>
      </c>
      <c r="AG205" s="67">
        <f>Integrated[[#This Row],[Flu Deaths 15 to 24 years]]/Integrated[[#This Row],[Population 15 to 24 years]]</f>
        <v>1.453977962540681E-4</v>
      </c>
      <c r="AH205" s="67">
        <f>Integrated[[#This Row],[Flu Deaths 25 to 34 years]]/Integrated[[#This Row],[Population 25 to 34 years]]</f>
        <v>1.6425890488588112E-4</v>
      </c>
      <c r="AI205" s="67">
        <f>Integrated[[#This Row],[Flu Deaths 35 to 44 years]]/Integrated[[#This Row],[Population 35 to 44 years]]</f>
        <v>1.7031858090558389E-4</v>
      </c>
      <c r="AJ205" s="67">
        <f>Integrated[[#This Row],[Flu Deaths 45 to 54 years]]/Integrated[[#This Row],[Population 45 to 54 years]]</f>
        <v>1.5590935430140915E-4</v>
      </c>
      <c r="AK205" s="67">
        <f>Integrated[[#This Row],[Flu Deaths 55 to 64 years]]/Integrated[[#This Row],[Population 55 to 64 years]]</f>
        <v>2.4627983917629781E-4</v>
      </c>
      <c r="AL205" s="67">
        <f>Integrated[[#This Row],[Flu Deaths 65 to 74 years]]/Integrated[[#This Row],[Population 65 to 74 years]]</f>
        <v>5.1049347702779356E-4</v>
      </c>
      <c r="AM205" s="67">
        <f>Integrated[[#This Row],[Flu Deaths 75 to 84 years]]/Integrated[[#This Row],[Population 75 to 84 years]]</f>
        <v>1.7585245550075059E-3</v>
      </c>
      <c r="AN205" s="67">
        <f>Integrated[[#This Row],[Flu Deaths 85+ years]]/Integrated[[#This Row],[Population 85+ years]]</f>
        <v>6.447335330025835E-3</v>
      </c>
      <c r="AO205" s="68">
        <f>Integrated[[#This Row],[Total Flu Deaths]]/Integrated[[#This Row],[Total population]]</f>
        <v>4.1196491254283743E-4</v>
      </c>
    </row>
    <row r="206" spans="1:41" x14ac:dyDescent="0.3">
      <c r="A206" s="44" t="s">
        <v>231</v>
      </c>
      <c r="B206" t="s">
        <v>194</v>
      </c>
      <c r="C206" s="45">
        <v>2017</v>
      </c>
      <c r="D206" s="51">
        <v>2713827</v>
      </c>
      <c r="E206" s="2">
        <v>1349283</v>
      </c>
      <c r="F206" s="2">
        <v>1364553</v>
      </c>
      <c r="G206" s="78">
        <f>Integrated[[#This Row],[Female Total population]]/Integrated[[#This Row],[Total population]]</f>
        <v>0.50281502837137371</v>
      </c>
      <c r="H206" s="2">
        <v>183107</v>
      </c>
      <c r="I206" s="2">
        <v>374512</v>
      </c>
      <c r="J206" s="2">
        <v>390809</v>
      </c>
      <c r="K206" s="2">
        <v>362666</v>
      </c>
      <c r="L206" s="2">
        <v>327774</v>
      </c>
      <c r="M206" s="2">
        <v>336310</v>
      </c>
      <c r="N206" s="2">
        <v>341871</v>
      </c>
      <c r="O206" s="2">
        <v>220490</v>
      </c>
      <c r="P206" s="2">
        <v>119049</v>
      </c>
      <c r="Q206" s="52">
        <v>57322</v>
      </c>
      <c r="R206" s="127">
        <f>Integrated[[#This Row],[Population 85+ years]]/Integrated[[#This Row],[Total population]]</f>
        <v>2.1122201230955401E-2</v>
      </c>
      <c r="S206" s="58">
        <v>120</v>
      </c>
      <c r="T206" s="59">
        <v>60</v>
      </c>
      <c r="U206" s="59">
        <v>60</v>
      </c>
      <c r="V206" s="59">
        <v>60</v>
      </c>
      <c r="W206" s="59">
        <v>60</v>
      </c>
      <c r="X206" s="59">
        <v>60</v>
      </c>
      <c r="Y206" s="59">
        <v>60</v>
      </c>
      <c r="Z206" s="59">
        <v>79</v>
      </c>
      <c r="AA206" s="59">
        <v>120</v>
      </c>
      <c r="AB206" s="59">
        <v>285</v>
      </c>
      <c r="AC206" s="59">
        <f>VLOOKUP($A206,'[1]Flu Deaths Updated'!$A$2:$N$460,14,FALSE)</f>
        <v>60</v>
      </c>
      <c r="AD206" s="60">
        <f t="shared" si="3"/>
        <v>1024</v>
      </c>
      <c r="AE206" s="66">
        <f>Integrated[[#This Row],[Flu Deaths &lt;5 years old]]/Integrated[[#This Row],[Population &lt;5 years]]</f>
        <v>6.5535451948860505E-4</v>
      </c>
      <c r="AF206" s="67">
        <f>Integrated[[#This Row],[Flu Deaths 5 to 14 years]]/Integrated[[#This Row],[Population 5 to 14 years]]</f>
        <v>1.6020848464134659E-4</v>
      </c>
      <c r="AG206" s="67">
        <f>Integrated[[#This Row],[Flu Deaths 15 to 24 years]]/Integrated[[#This Row],[Population 15 to 24 years]]</f>
        <v>1.5352768232051976E-4</v>
      </c>
      <c r="AH206" s="67">
        <f>Integrated[[#This Row],[Flu Deaths 25 to 34 years]]/Integrated[[#This Row],[Population 25 to 34 years]]</f>
        <v>1.6544148059095698E-4</v>
      </c>
      <c r="AI206" s="67">
        <f>Integrated[[#This Row],[Flu Deaths 35 to 44 years]]/Integrated[[#This Row],[Population 35 to 44 years]]</f>
        <v>1.8305295722052391E-4</v>
      </c>
      <c r="AJ206" s="67">
        <f>Integrated[[#This Row],[Flu Deaths 45 to 54 years]]/Integrated[[#This Row],[Population 45 to 54 years]]</f>
        <v>1.7840682703458119E-4</v>
      </c>
      <c r="AK206" s="67">
        <f>Integrated[[#This Row],[Flu Deaths 55 to 64 years]]/Integrated[[#This Row],[Population 55 to 64 years]]</f>
        <v>1.7550479566854165E-4</v>
      </c>
      <c r="AL206" s="67">
        <f>Integrated[[#This Row],[Flu Deaths 65 to 74 years]]/Integrated[[#This Row],[Population 65 to 74 years]]</f>
        <v>3.5829289310172795E-4</v>
      </c>
      <c r="AM206" s="67">
        <f>Integrated[[#This Row],[Flu Deaths 75 to 84 years]]/Integrated[[#This Row],[Population 75 to 84 years]]</f>
        <v>1.0079883073356348E-3</v>
      </c>
      <c r="AN206" s="67">
        <f>Integrated[[#This Row],[Flu Deaths 85+ years]]/Integrated[[#This Row],[Population 85+ years]]</f>
        <v>4.9719130525801613E-3</v>
      </c>
      <c r="AO206" s="68">
        <f>Integrated[[#This Row],[Total Flu Deaths]]/Integrated[[#This Row],[Total population]]</f>
        <v>3.7732692614525542E-4</v>
      </c>
    </row>
    <row r="207" spans="1:41" x14ac:dyDescent="0.3">
      <c r="A207" s="44" t="s">
        <v>455</v>
      </c>
      <c r="B207" t="s">
        <v>448</v>
      </c>
      <c r="C207" s="45">
        <v>2014</v>
      </c>
      <c r="D207" s="51">
        <v>5039568</v>
      </c>
      <c r="E207" s="2">
        <v>2526338</v>
      </c>
      <c r="F207" s="2">
        <v>2513235</v>
      </c>
      <c r="G207" s="78">
        <f>Integrated[[#This Row],[Female Total population]]/Integrated[[#This Row],[Total population]]</f>
        <v>0.49870048385099675</v>
      </c>
      <c r="H207" s="2">
        <v>328398</v>
      </c>
      <c r="I207" s="2">
        <v>679222</v>
      </c>
      <c r="J207" s="2">
        <v>689429</v>
      </c>
      <c r="K207" s="2">
        <v>744738</v>
      </c>
      <c r="L207" s="2">
        <v>691305</v>
      </c>
      <c r="M207" s="2">
        <v>700229</v>
      </c>
      <c r="N207" s="2">
        <v>615114</v>
      </c>
      <c r="O207" s="2">
        <v>343775</v>
      </c>
      <c r="P207" s="2">
        <v>172338</v>
      </c>
      <c r="Q207" s="52">
        <v>73572</v>
      </c>
      <c r="R207" s="127">
        <f>Integrated[[#This Row],[Population 85+ years]]/Integrated[[#This Row],[Total population]]</f>
        <v>1.4598870379365851E-2</v>
      </c>
      <c r="S207" s="58">
        <v>120</v>
      </c>
      <c r="T207" s="59">
        <v>60</v>
      </c>
      <c r="U207" s="59">
        <v>60</v>
      </c>
      <c r="V207" s="59">
        <v>60</v>
      </c>
      <c r="W207" s="59">
        <v>60</v>
      </c>
      <c r="X207" s="59">
        <v>60</v>
      </c>
      <c r="Y207" s="59">
        <v>83</v>
      </c>
      <c r="Z207" s="59">
        <v>83</v>
      </c>
      <c r="AA207" s="59">
        <v>133</v>
      </c>
      <c r="AB207" s="59">
        <v>286</v>
      </c>
      <c r="AC207" s="59">
        <f>VLOOKUP($A207,'[1]Flu Deaths Updated'!$A$2:$N$460,14,FALSE)</f>
        <v>60</v>
      </c>
      <c r="AD207" s="60">
        <f t="shared" si="3"/>
        <v>1065</v>
      </c>
      <c r="AE207" s="66">
        <f>Integrated[[#This Row],[Flu Deaths &lt;5 years old]]/Integrated[[#This Row],[Population &lt;5 years]]</f>
        <v>3.6541026437432629E-4</v>
      </c>
      <c r="AF207" s="67">
        <f>Integrated[[#This Row],[Flu Deaths 5 to 14 years]]/Integrated[[#This Row],[Population 5 to 14 years]]</f>
        <v>8.8336361307495928E-5</v>
      </c>
      <c r="AG207" s="67">
        <f>Integrated[[#This Row],[Flu Deaths 15 to 24 years]]/Integrated[[#This Row],[Population 15 to 24 years]]</f>
        <v>8.7028541010024236E-5</v>
      </c>
      <c r="AH207" s="67">
        <f>Integrated[[#This Row],[Flu Deaths 25 to 34 years]]/Integrated[[#This Row],[Population 25 to 34 years]]</f>
        <v>8.0565245764282201E-5</v>
      </c>
      <c r="AI207" s="67">
        <f>Integrated[[#This Row],[Flu Deaths 35 to 44 years]]/Integrated[[#This Row],[Population 35 to 44 years]]</f>
        <v>8.6792370950593449E-5</v>
      </c>
      <c r="AJ207" s="67">
        <f>Integrated[[#This Row],[Flu Deaths 45 to 54 years]]/Integrated[[#This Row],[Population 45 to 54 years]]</f>
        <v>8.5686254068311941E-5</v>
      </c>
      <c r="AK207" s="67">
        <f>Integrated[[#This Row],[Flu Deaths 55 to 64 years]]/Integrated[[#This Row],[Population 55 to 64 years]]</f>
        <v>1.349343373748606E-4</v>
      </c>
      <c r="AL207" s="67">
        <f>Integrated[[#This Row],[Flu Deaths 65 to 74 years]]/Integrated[[#This Row],[Population 65 to 74 years]]</f>
        <v>2.4143698640098903E-4</v>
      </c>
      <c r="AM207" s="67">
        <f>Integrated[[#This Row],[Flu Deaths 75 to 84 years]]/Integrated[[#This Row],[Population 75 to 84 years]]</f>
        <v>7.7173925657719137E-4</v>
      </c>
      <c r="AN207" s="67">
        <f>Integrated[[#This Row],[Flu Deaths 85+ years]]/Integrated[[#This Row],[Population 85+ years]]</f>
        <v>3.8873484477790466E-3</v>
      </c>
      <c r="AO207" s="68">
        <f>Integrated[[#This Row],[Total Flu Deaths]]/Integrated[[#This Row],[Total population]]</f>
        <v>2.1132763760703299E-4</v>
      </c>
    </row>
    <row r="208" spans="1:41" x14ac:dyDescent="0.3">
      <c r="A208" s="44" t="s">
        <v>369</v>
      </c>
      <c r="B208" t="s">
        <v>329</v>
      </c>
      <c r="C208" s="45">
        <v>2012</v>
      </c>
      <c r="D208" s="51">
        <v>4529479</v>
      </c>
      <c r="E208" s="2">
        <v>2200493</v>
      </c>
      <c r="F208" s="2">
        <v>2328987</v>
      </c>
      <c r="G208" s="78">
        <f>Integrated[[#This Row],[Female Total population]]/Integrated[[#This Row],[Total population]]</f>
        <v>0.51418430243301716</v>
      </c>
      <c r="H208" s="2">
        <v>293404</v>
      </c>
      <c r="I208" s="2">
        <v>581348</v>
      </c>
      <c r="J208" s="2">
        <v>649519</v>
      </c>
      <c r="K208" s="2">
        <v>580599</v>
      </c>
      <c r="L208" s="2">
        <v>589386</v>
      </c>
      <c r="M208" s="2">
        <v>638815</v>
      </c>
      <c r="N208" s="2">
        <v>571312</v>
      </c>
      <c r="O208" s="2">
        <v>366620</v>
      </c>
      <c r="P208" s="2">
        <v>190463</v>
      </c>
      <c r="Q208" s="52">
        <v>68462</v>
      </c>
      <c r="R208" s="127">
        <f>Integrated[[#This Row],[Population 85+ years]]/Integrated[[#This Row],[Total population]]</f>
        <v>1.5114762647094732E-2</v>
      </c>
      <c r="S208" s="58">
        <v>120</v>
      </c>
      <c r="T208" s="59">
        <v>60</v>
      </c>
      <c r="U208" s="59">
        <v>60</v>
      </c>
      <c r="V208" s="59">
        <v>60</v>
      </c>
      <c r="W208" s="59">
        <v>66</v>
      </c>
      <c r="X208" s="59">
        <v>60</v>
      </c>
      <c r="Y208" s="59">
        <v>69</v>
      </c>
      <c r="Z208" s="59">
        <v>84</v>
      </c>
      <c r="AA208" s="59">
        <v>207</v>
      </c>
      <c r="AB208" s="59">
        <v>287</v>
      </c>
      <c r="AC208" s="59">
        <f>VLOOKUP($A208,'[1]Flu Deaths Updated'!$A$2:$N$460,14,FALSE)</f>
        <v>60</v>
      </c>
      <c r="AD208" s="60">
        <f t="shared" si="3"/>
        <v>1133</v>
      </c>
      <c r="AE208" s="66">
        <f>Integrated[[#This Row],[Flu Deaths &lt;5 years old]]/Integrated[[#This Row],[Population &lt;5 years]]</f>
        <v>4.0899237910866927E-4</v>
      </c>
      <c r="AF208" s="67">
        <f>Integrated[[#This Row],[Flu Deaths 5 to 14 years]]/Integrated[[#This Row],[Population 5 to 14 years]]</f>
        <v>1.0320840529252703E-4</v>
      </c>
      <c r="AG208" s="67">
        <f>Integrated[[#This Row],[Flu Deaths 15 to 24 years]]/Integrated[[#This Row],[Population 15 to 24 years]]</f>
        <v>9.2376050585125306E-5</v>
      </c>
      <c r="AH208" s="67">
        <f>Integrated[[#This Row],[Flu Deaths 25 to 34 years]]/Integrated[[#This Row],[Population 25 to 34 years]]</f>
        <v>1.0334154898647776E-4</v>
      </c>
      <c r="AI208" s="67">
        <f>Integrated[[#This Row],[Flu Deaths 35 to 44 years]]/Integrated[[#This Row],[Population 35 to 44 years]]</f>
        <v>1.0180085716321731E-4</v>
      </c>
      <c r="AJ208" s="67">
        <f>Integrated[[#This Row],[Flu Deaths 45 to 54 years]]/Integrated[[#This Row],[Population 45 to 54 years]]</f>
        <v>1.0331629658038712E-4</v>
      </c>
      <c r="AK208" s="67">
        <f>Integrated[[#This Row],[Flu Deaths 55 to 64 years]]/Integrated[[#This Row],[Population 55 to 64 years]]</f>
        <v>1.2077463802615733E-4</v>
      </c>
      <c r="AL208" s="67">
        <f>Integrated[[#This Row],[Flu Deaths 65 to 74 years]]/Integrated[[#This Row],[Population 65 to 74 years]]</f>
        <v>2.2912006982706891E-4</v>
      </c>
      <c r="AM208" s="67">
        <f>Integrated[[#This Row],[Flu Deaths 75 to 84 years]]/Integrated[[#This Row],[Population 75 to 84 years]]</f>
        <v>1.0868252626494385E-3</v>
      </c>
      <c r="AN208" s="67">
        <f>Integrated[[#This Row],[Flu Deaths 85+ years]]/Integrated[[#This Row],[Population 85+ years]]</f>
        <v>4.1921065700680667E-3</v>
      </c>
      <c r="AO208" s="68">
        <f>Integrated[[#This Row],[Total Flu Deaths]]/Integrated[[#This Row],[Total population]]</f>
        <v>2.5013914403842032E-4</v>
      </c>
    </row>
    <row r="209" spans="1:41" x14ac:dyDescent="0.3">
      <c r="A209" s="44" t="s">
        <v>225</v>
      </c>
      <c r="B209" t="s">
        <v>199</v>
      </c>
      <c r="C209" s="45">
        <v>2009</v>
      </c>
      <c r="D209" s="51">
        <v>2838143</v>
      </c>
      <c r="E209" s="2">
        <v>1388758</v>
      </c>
      <c r="F209" s="2">
        <v>1449385</v>
      </c>
      <c r="G209" s="78">
        <f>Integrated[[#This Row],[Female Total population]]/Integrated[[#This Row],[Total population]]</f>
        <v>0.51068075146319269</v>
      </c>
      <c r="H209" s="2">
        <v>198981</v>
      </c>
      <c r="I209" s="2">
        <v>382341</v>
      </c>
      <c r="J209" s="2">
        <v>391295</v>
      </c>
      <c r="K209" s="2">
        <v>377227</v>
      </c>
      <c r="L209" s="2">
        <v>375185</v>
      </c>
      <c r="M209" s="2">
        <v>393518</v>
      </c>
      <c r="N209" s="2">
        <v>322572</v>
      </c>
      <c r="O209" s="2">
        <v>210778</v>
      </c>
      <c r="P209" s="2">
        <v>137337</v>
      </c>
      <c r="Q209" s="52">
        <v>51335</v>
      </c>
      <c r="R209" s="127">
        <f>Integrated[[#This Row],[Population 85+ years]]/Integrated[[#This Row],[Total population]]</f>
        <v>1.8087531177956855E-2</v>
      </c>
      <c r="S209" s="58">
        <v>120</v>
      </c>
      <c r="T209" s="59">
        <v>60</v>
      </c>
      <c r="U209" s="59">
        <v>60</v>
      </c>
      <c r="V209" s="59">
        <v>60</v>
      </c>
      <c r="W209" s="59">
        <v>60</v>
      </c>
      <c r="X209" s="59">
        <v>60</v>
      </c>
      <c r="Y209" s="59">
        <v>65</v>
      </c>
      <c r="Z209" s="59">
        <v>67</v>
      </c>
      <c r="AA209" s="59">
        <v>198</v>
      </c>
      <c r="AB209" s="59">
        <v>288</v>
      </c>
      <c r="AC209" s="59">
        <f>VLOOKUP($A209,'[1]Flu Deaths Updated'!$A$2:$N$460,14,FALSE)</f>
        <v>60</v>
      </c>
      <c r="AD209" s="60">
        <f t="shared" si="3"/>
        <v>1098</v>
      </c>
      <c r="AE209" s="66">
        <f>Integrated[[#This Row],[Flu Deaths &lt;5 years old]]/Integrated[[#This Row],[Population &lt;5 years]]</f>
        <v>6.0307265517813263E-4</v>
      </c>
      <c r="AF209" s="67">
        <f>Integrated[[#This Row],[Flu Deaths 5 to 14 years]]/Integrated[[#This Row],[Population 5 to 14 years]]</f>
        <v>1.5692797790454072E-4</v>
      </c>
      <c r="AG209" s="67">
        <f>Integrated[[#This Row],[Flu Deaths 15 to 24 years]]/Integrated[[#This Row],[Population 15 to 24 years]]</f>
        <v>1.5333699638380249E-4</v>
      </c>
      <c r="AH209" s="67">
        <f>Integrated[[#This Row],[Flu Deaths 25 to 34 years]]/Integrated[[#This Row],[Population 25 to 34 years]]</f>
        <v>1.5905542286209629E-4</v>
      </c>
      <c r="AI209" s="67">
        <f>Integrated[[#This Row],[Flu Deaths 35 to 44 years]]/Integrated[[#This Row],[Population 35 to 44 years]]</f>
        <v>1.5992110558790996E-4</v>
      </c>
      <c r="AJ209" s="67">
        <f>Integrated[[#This Row],[Flu Deaths 45 to 54 years]]/Integrated[[#This Row],[Population 45 to 54 years]]</f>
        <v>1.5247078913798099E-4</v>
      </c>
      <c r="AK209" s="67">
        <f>Integrated[[#This Row],[Flu Deaths 55 to 64 years]]/Integrated[[#This Row],[Population 55 to 64 years]]</f>
        <v>2.0150540034472923E-4</v>
      </c>
      <c r="AL209" s="67">
        <f>Integrated[[#This Row],[Flu Deaths 65 to 74 years]]/Integrated[[#This Row],[Population 65 to 74 years]]</f>
        <v>3.1786998643122146E-4</v>
      </c>
      <c r="AM209" s="67">
        <f>Integrated[[#This Row],[Flu Deaths 75 to 84 years]]/Integrated[[#This Row],[Population 75 to 84 years]]</f>
        <v>1.4417090805828E-3</v>
      </c>
      <c r="AN209" s="67">
        <f>Integrated[[#This Row],[Flu Deaths 85+ years]]/Integrated[[#This Row],[Population 85+ years]]</f>
        <v>5.610207460796727E-3</v>
      </c>
      <c r="AO209" s="68">
        <f>Integrated[[#This Row],[Total Flu Deaths]]/Integrated[[#This Row],[Total population]]</f>
        <v>3.8687268400499904E-4</v>
      </c>
    </row>
    <row r="210" spans="1:41" x14ac:dyDescent="0.3">
      <c r="A210" s="44" t="s">
        <v>291</v>
      </c>
      <c r="B210" t="s">
        <v>251</v>
      </c>
      <c r="C210" s="45">
        <v>2016</v>
      </c>
      <c r="D210" s="51">
        <v>4543805</v>
      </c>
      <c r="E210" s="2">
        <v>2205255</v>
      </c>
      <c r="F210" s="2">
        <v>2338553</v>
      </c>
      <c r="G210" s="78">
        <f>Integrated[[#This Row],[Female Total population]]/Integrated[[#This Row],[Total population]]</f>
        <v>0.51466843317439903</v>
      </c>
      <c r="H210" s="2">
        <v>274541</v>
      </c>
      <c r="I210" s="2">
        <v>581178</v>
      </c>
      <c r="J210" s="2">
        <v>625553</v>
      </c>
      <c r="K210" s="2">
        <v>590507</v>
      </c>
      <c r="L210" s="2">
        <v>571134</v>
      </c>
      <c r="M210" s="2">
        <v>616621</v>
      </c>
      <c r="N210" s="2">
        <v>590164</v>
      </c>
      <c r="O210" s="2">
        <v>406302</v>
      </c>
      <c r="P210" s="2">
        <v>210365</v>
      </c>
      <c r="Q210" s="52">
        <v>77513</v>
      </c>
      <c r="R210" s="127">
        <f>Integrated[[#This Row],[Population 85+ years]]/Integrated[[#This Row],[Total population]]</f>
        <v>1.705905072950974E-2</v>
      </c>
      <c r="S210" s="58">
        <v>120</v>
      </c>
      <c r="T210" s="59">
        <v>60</v>
      </c>
      <c r="U210" s="59">
        <v>60</v>
      </c>
      <c r="V210" s="59">
        <v>60</v>
      </c>
      <c r="W210" s="59">
        <v>67</v>
      </c>
      <c r="X210" s="59">
        <v>60</v>
      </c>
      <c r="Y210" s="59">
        <v>126</v>
      </c>
      <c r="Z210" s="59">
        <v>191</v>
      </c>
      <c r="AA210" s="59">
        <v>277</v>
      </c>
      <c r="AB210" s="59">
        <v>289</v>
      </c>
      <c r="AC210" s="59">
        <f>VLOOKUP($A210,'[1]Flu Deaths Updated'!$A$2:$N$460,14,FALSE)</f>
        <v>60</v>
      </c>
      <c r="AD210" s="60">
        <f t="shared" si="3"/>
        <v>1370</v>
      </c>
      <c r="AE210" s="66">
        <f>Integrated[[#This Row],[Flu Deaths &lt;5 years old]]/Integrated[[#This Row],[Population &lt;5 years]]</f>
        <v>4.3709318462451874E-4</v>
      </c>
      <c r="AF210" s="67">
        <f>Integrated[[#This Row],[Flu Deaths 5 to 14 years]]/Integrated[[#This Row],[Population 5 to 14 years]]</f>
        <v>1.0323859471624872E-4</v>
      </c>
      <c r="AG210" s="67">
        <f>Integrated[[#This Row],[Flu Deaths 15 to 24 years]]/Integrated[[#This Row],[Population 15 to 24 years]]</f>
        <v>9.5915134289180937E-5</v>
      </c>
      <c r="AH210" s="67">
        <f>Integrated[[#This Row],[Flu Deaths 25 to 34 years]]/Integrated[[#This Row],[Population 25 to 34 years]]</f>
        <v>1.0160760160336796E-4</v>
      </c>
      <c r="AI210" s="67">
        <f>Integrated[[#This Row],[Flu Deaths 35 to 44 years]]/Integrated[[#This Row],[Population 35 to 44 years]]</f>
        <v>1.0505415541711753E-4</v>
      </c>
      <c r="AJ210" s="67">
        <f>Integrated[[#This Row],[Flu Deaths 45 to 54 years]]/Integrated[[#This Row],[Population 45 to 54 years]]</f>
        <v>1.0865669511742221E-4</v>
      </c>
      <c r="AK210" s="67">
        <f>Integrated[[#This Row],[Flu Deaths 55 to 64 years]]/Integrated[[#This Row],[Population 55 to 64 years]]</f>
        <v>2.134999762777804E-4</v>
      </c>
      <c r="AL210" s="67">
        <f>Integrated[[#This Row],[Flu Deaths 65 to 74 years]]/Integrated[[#This Row],[Population 65 to 74 years]]</f>
        <v>4.700936741635532E-4</v>
      </c>
      <c r="AM210" s="67">
        <f>Integrated[[#This Row],[Flu Deaths 75 to 84 years]]/Integrated[[#This Row],[Population 75 to 84 years]]</f>
        <v>1.3167589665581251E-3</v>
      </c>
      <c r="AN210" s="67">
        <f>Integrated[[#This Row],[Flu Deaths 85+ years]]/Integrated[[#This Row],[Population 85+ years]]</f>
        <v>3.7284068478835807E-3</v>
      </c>
      <c r="AO210" s="68">
        <f>Integrated[[#This Row],[Total Flu Deaths]]/Integrated[[#This Row],[Total population]]</f>
        <v>3.015094177677079E-4</v>
      </c>
    </row>
    <row r="211" spans="1:41" x14ac:dyDescent="0.3">
      <c r="A211" s="44" t="s">
        <v>191</v>
      </c>
      <c r="B211" t="s">
        <v>183</v>
      </c>
      <c r="C211" s="45">
        <v>2015</v>
      </c>
      <c r="D211" s="51">
        <v>2747187</v>
      </c>
      <c r="E211" s="2">
        <v>1337702</v>
      </c>
      <c r="F211" s="2">
        <v>1409488</v>
      </c>
      <c r="G211" s="78">
        <f>Integrated[[#This Row],[Female Total population]]/Integrated[[#This Row],[Total population]]</f>
        <v>0.5130659106933747</v>
      </c>
      <c r="H211" s="2">
        <v>181162</v>
      </c>
      <c r="I211" s="2">
        <v>381227</v>
      </c>
      <c r="J211" s="2">
        <v>399680</v>
      </c>
      <c r="K211" s="2">
        <v>359589</v>
      </c>
      <c r="L211" s="2">
        <v>343320</v>
      </c>
      <c r="M211" s="2">
        <v>365449</v>
      </c>
      <c r="N211" s="2">
        <v>338179</v>
      </c>
      <c r="O211" s="2">
        <v>220680</v>
      </c>
      <c r="P211" s="2">
        <v>115660</v>
      </c>
      <c r="Q211" s="52">
        <v>43418</v>
      </c>
      <c r="R211" s="127">
        <f>Integrated[[#This Row],[Population 85+ years]]/Integrated[[#This Row],[Total population]]</f>
        <v>1.5804530234017559E-2</v>
      </c>
      <c r="S211" s="58">
        <v>120</v>
      </c>
      <c r="T211" s="59">
        <v>60</v>
      </c>
      <c r="U211" s="59">
        <v>60</v>
      </c>
      <c r="V211" s="59">
        <v>60</v>
      </c>
      <c r="W211" s="59">
        <v>60</v>
      </c>
      <c r="X211" s="59">
        <v>60</v>
      </c>
      <c r="Y211" s="59">
        <v>78</v>
      </c>
      <c r="Z211" s="59">
        <v>143</v>
      </c>
      <c r="AA211" s="59">
        <v>210</v>
      </c>
      <c r="AB211" s="59">
        <v>290</v>
      </c>
      <c r="AC211" s="59">
        <f>VLOOKUP($A211,'[1]Flu Deaths Updated'!$A$2:$N$460,14,FALSE)</f>
        <v>60</v>
      </c>
      <c r="AD211" s="60">
        <f t="shared" si="3"/>
        <v>1201</v>
      </c>
      <c r="AE211" s="66">
        <f>Integrated[[#This Row],[Flu Deaths &lt;5 years old]]/Integrated[[#This Row],[Population &lt;5 years]]</f>
        <v>6.6239056755831795E-4</v>
      </c>
      <c r="AF211" s="67">
        <f>Integrated[[#This Row],[Flu Deaths 5 to 14 years]]/Integrated[[#This Row],[Population 5 to 14 years]]</f>
        <v>1.5738654397511194E-4</v>
      </c>
      <c r="AG211" s="67">
        <f>Integrated[[#This Row],[Flu Deaths 15 to 24 years]]/Integrated[[#This Row],[Population 15 to 24 years]]</f>
        <v>1.5012009607686148E-4</v>
      </c>
      <c r="AH211" s="67">
        <f>Integrated[[#This Row],[Flu Deaths 25 to 34 years]]/Integrated[[#This Row],[Population 25 to 34 years]]</f>
        <v>1.668571619265328E-4</v>
      </c>
      <c r="AI211" s="67">
        <f>Integrated[[#This Row],[Flu Deaths 35 to 44 years]]/Integrated[[#This Row],[Population 35 to 44 years]]</f>
        <v>1.7476406850751484E-4</v>
      </c>
      <c r="AJ211" s="67">
        <f>Integrated[[#This Row],[Flu Deaths 45 to 54 years]]/Integrated[[#This Row],[Population 45 to 54 years]]</f>
        <v>1.6418159579038389E-4</v>
      </c>
      <c r="AK211" s="67">
        <f>Integrated[[#This Row],[Flu Deaths 55 to 64 years]]/Integrated[[#This Row],[Population 55 to 64 years]]</f>
        <v>2.3064708334935048E-4</v>
      </c>
      <c r="AL211" s="67">
        <f>Integrated[[#This Row],[Flu Deaths 65 to 74 years]]/Integrated[[#This Row],[Population 65 to 74 years]]</f>
        <v>6.4799709987311941E-4</v>
      </c>
      <c r="AM211" s="67">
        <f>Integrated[[#This Row],[Flu Deaths 75 to 84 years]]/Integrated[[#This Row],[Population 75 to 84 years]]</f>
        <v>1.8156666090264569E-3</v>
      </c>
      <c r="AN211" s="67">
        <f>Integrated[[#This Row],[Flu Deaths 85+ years]]/Integrated[[#This Row],[Population 85+ years]]</f>
        <v>6.6792574508268464E-3</v>
      </c>
      <c r="AO211" s="68">
        <f>Integrated[[#This Row],[Total Flu Deaths]]/Integrated[[#This Row],[Total population]]</f>
        <v>4.3717446245923559E-4</v>
      </c>
    </row>
    <row r="212" spans="1:41" x14ac:dyDescent="0.3">
      <c r="A212" s="44" t="s">
        <v>354</v>
      </c>
      <c r="B212" t="s">
        <v>306</v>
      </c>
      <c r="C212" s="45">
        <v>2015</v>
      </c>
      <c r="D212" s="51">
        <v>4389964</v>
      </c>
      <c r="E212" s="2">
        <v>2142049</v>
      </c>
      <c r="F212" s="2">
        <v>2247918</v>
      </c>
      <c r="G212" s="78">
        <f>Integrated[[#This Row],[Female Total population]]/Integrated[[#This Row],[Total population]]</f>
        <v>0.51205841323527934</v>
      </c>
      <c r="H212" s="2">
        <v>294453</v>
      </c>
      <c r="I212" s="2">
        <v>586615</v>
      </c>
      <c r="J212" s="2">
        <v>620953</v>
      </c>
      <c r="K212" s="2">
        <v>623216</v>
      </c>
      <c r="L212" s="2">
        <v>534949</v>
      </c>
      <c r="M212" s="2">
        <v>590392</v>
      </c>
      <c r="N212" s="2">
        <v>552791</v>
      </c>
      <c r="O212" s="2">
        <v>338000</v>
      </c>
      <c r="P212" s="2">
        <v>177916</v>
      </c>
      <c r="Q212" s="52">
        <v>68869</v>
      </c>
      <c r="R212" s="127">
        <f>Integrated[[#This Row],[Population 85+ years]]/Integrated[[#This Row],[Total population]]</f>
        <v>1.5687827963965079E-2</v>
      </c>
      <c r="S212" s="58">
        <v>120</v>
      </c>
      <c r="T212" s="59">
        <v>60</v>
      </c>
      <c r="U212" s="59">
        <v>60</v>
      </c>
      <c r="V212" s="59">
        <v>60</v>
      </c>
      <c r="W212" s="59">
        <v>60</v>
      </c>
      <c r="X212" s="59">
        <v>60</v>
      </c>
      <c r="Y212" s="59">
        <v>76</v>
      </c>
      <c r="Z212" s="59">
        <v>104</v>
      </c>
      <c r="AA212" s="59">
        <v>193</v>
      </c>
      <c r="AB212" s="59">
        <v>291</v>
      </c>
      <c r="AC212" s="59">
        <f>VLOOKUP($A212,'[1]Flu Deaths Updated'!$A$2:$N$460,14,FALSE)</f>
        <v>60</v>
      </c>
      <c r="AD212" s="60">
        <f t="shared" si="3"/>
        <v>1144</v>
      </c>
      <c r="AE212" s="66">
        <f>Integrated[[#This Row],[Flu Deaths &lt;5 years old]]/Integrated[[#This Row],[Population &lt;5 years]]</f>
        <v>4.0753532821876499E-4</v>
      </c>
      <c r="AF212" s="67">
        <f>Integrated[[#This Row],[Flu Deaths 5 to 14 years]]/Integrated[[#This Row],[Population 5 to 14 years]]</f>
        <v>1.0228173503916538E-4</v>
      </c>
      <c r="AG212" s="67">
        <f>Integrated[[#This Row],[Flu Deaths 15 to 24 years]]/Integrated[[#This Row],[Population 15 to 24 years]]</f>
        <v>9.6625670541892862E-5</v>
      </c>
      <c r="AH212" s="67">
        <f>Integrated[[#This Row],[Flu Deaths 25 to 34 years]]/Integrated[[#This Row],[Population 25 to 34 years]]</f>
        <v>9.6274806808554339E-5</v>
      </c>
      <c r="AI212" s="67">
        <f>Integrated[[#This Row],[Flu Deaths 35 to 44 years]]/Integrated[[#This Row],[Population 35 to 44 years]]</f>
        <v>1.1216022461954318E-4</v>
      </c>
      <c r="AJ212" s="67">
        <f>Integrated[[#This Row],[Flu Deaths 45 to 54 years]]/Integrated[[#This Row],[Population 45 to 54 years]]</f>
        <v>1.016273933251128E-4</v>
      </c>
      <c r="AK212" s="67">
        <f>Integrated[[#This Row],[Flu Deaths 55 to 64 years]]/Integrated[[#This Row],[Population 55 to 64 years]]</f>
        <v>1.3748414862036466E-4</v>
      </c>
      <c r="AL212" s="67">
        <f>Integrated[[#This Row],[Flu Deaths 65 to 74 years]]/Integrated[[#This Row],[Population 65 to 74 years]]</f>
        <v>3.076923076923077E-4</v>
      </c>
      <c r="AM212" s="67">
        <f>Integrated[[#This Row],[Flu Deaths 75 to 84 years]]/Integrated[[#This Row],[Population 75 to 84 years]]</f>
        <v>1.0847815823197464E-3</v>
      </c>
      <c r="AN212" s="67">
        <f>Integrated[[#This Row],[Flu Deaths 85+ years]]/Integrated[[#This Row],[Population 85+ years]]</f>
        <v>4.2254134661458709E-3</v>
      </c>
      <c r="AO212" s="68">
        <f>Integrated[[#This Row],[Total Flu Deaths]]/Integrated[[#This Row],[Total population]]</f>
        <v>2.6059439211802192E-4</v>
      </c>
    </row>
    <row r="213" spans="1:41" x14ac:dyDescent="0.3">
      <c r="A213" s="44" t="s">
        <v>327</v>
      </c>
      <c r="B213" t="s">
        <v>306</v>
      </c>
      <c r="C213" s="45">
        <v>2014</v>
      </c>
      <c r="D213" s="51">
        <v>4461249</v>
      </c>
      <c r="E213" s="2">
        <v>2175587</v>
      </c>
      <c r="F213" s="2">
        <v>2285663</v>
      </c>
      <c r="G213" s="78">
        <f>Integrated[[#This Row],[Female Total population]]/Integrated[[#This Row],[Total population]]</f>
        <v>0.5123370159343269</v>
      </c>
      <c r="H213" s="2">
        <v>298990</v>
      </c>
      <c r="I213" s="2">
        <v>598002</v>
      </c>
      <c r="J213" s="2">
        <v>638063</v>
      </c>
      <c r="K213" s="2">
        <v>626230</v>
      </c>
      <c r="L213" s="2">
        <v>548963</v>
      </c>
      <c r="M213" s="2">
        <v>613544</v>
      </c>
      <c r="N213" s="2">
        <v>553752</v>
      </c>
      <c r="O213" s="2">
        <v>334341</v>
      </c>
      <c r="P213" s="2">
        <v>181010</v>
      </c>
      <c r="Q213" s="52">
        <v>69580</v>
      </c>
      <c r="R213" s="127">
        <f>Integrated[[#This Row],[Population 85+ years]]/Integrated[[#This Row],[Total population]]</f>
        <v>1.5596529133433261E-2</v>
      </c>
      <c r="S213" s="58">
        <v>120</v>
      </c>
      <c r="T213" s="59">
        <v>60</v>
      </c>
      <c r="U213" s="59">
        <v>60</v>
      </c>
      <c r="V213" s="59">
        <v>60</v>
      </c>
      <c r="W213" s="59">
        <v>87</v>
      </c>
      <c r="X213" s="59">
        <v>60</v>
      </c>
      <c r="Y213" s="59">
        <v>110</v>
      </c>
      <c r="Z213" s="59">
        <v>134</v>
      </c>
      <c r="AA213" s="59">
        <v>177</v>
      </c>
      <c r="AB213" s="59">
        <v>292</v>
      </c>
      <c r="AC213" s="59">
        <f>VLOOKUP($A213,'[1]Flu Deaths Updated'!$A$2:$N$460,14,FALSE)</f>
        <v>60</v>
      </c>
      <c r="AD213" s="60">
        <f t="shared" si="3"/>
        <v>1220</v>
      </c>
      <c r="AE213" s="66">
        <f>Integrated[[#This Row],[Flu Deaths &lt;5 years old]]/Integrated[[#This Row],[Population &lt;5 years]]</f>
        <v>4.0135121575972442E-4</v>
      </c>
      <c r="AF213" s="67">
        <f>Integrated[[#This Row],[Flu Deaths 5 to 14 years]]/Integrated[[#This Row],[Population 5 to 14 years]]</f>
        <v>1.0033411259494115E-4</v>
      </c>
      <c r="AG213" s="67">
        <f>Integrated[[#This Row],[Flu Deaths 15 to 24 years]]/Integrated[[#This Row],[Population 15 to 24 years]]</f>
        <v>9.4034601598901678E-5</v>
      </c>
      <c r="AH213" s="67">
        <f>Integrated[[#This Row],[Flu Deaths 25 to 34 years]]/Integrated[[#This Row],[Population 25 to 34 years]]</f>
        <v>9.5811443080018525E-5</v>
      </c>
      <c r="AI213" s="67">
        <f>Integrated[[#This Row],[Flu Deaths 35 to 44 years]]/Integrated[[#This Row],[Population 35 to 44 years]]</f>
        <v>1.0929698358541469E-4</v>
      </c>
      <c r="AJ213" s="67">
        <f>Integrated[[#This Row],[Flu Deaths 45 to 54 years]]/Integrated[[#This Row],[Population 45 to 54 years]]</f>
        <v>1.4179912117142374E-4</v>
      </c>
      <c r="AK213" s="67">
        <f>Integrated[[#This Row],[Flu Deaths 55 to 64 years]]/Integrated[[#This Row],[Population 55 to 64 years]]</f>
        <v>1.9864488074083705E-4</v>
      </c>
      <c r="AL213" s="67">
        <f>Integrated[[#This Row],[Flu Deaths 65 to 74 years]]/Integrated[[#This Row],[Population 65 to 74 years]]</f>
        <v>4.0078841661656813E-4</v>
      </c>
      <c r="AM213" s="67">
        <f>Integrated[[#This Row],[Flu Deaths 75 to 84 years]]/Integrated[[#This Row],[Population 75 to 84 years]]</f>
        <v>9.7784652781614267E-4</v>
      </c>
      <c r="AN213" s="67">
        <f>Integrated[[#This Row],[Flu Deaths 85+ years]]/Integrated[[#This Row],[Population 85+ years]]</f>
        <v>4.1966082207530904E-3</v>
      </c>
      <c r="AO213" s="68">
        <f>Integrated[[#This Row],[Total Flu Deaths]]/Integrated[[#This Row],[Total population]]</f>
        <v>2.734660181487292E-4</v>
      </c>
    </row>
    <row r="214" spans="1:41" x14ac:dyDescent="0.3">
      <c r="A214" s="44" t="s">
        <v>238</v>
      </c>
      <c r="B214" t="s">
        <v>197</v>
      </c>
      <c r="C214" s="45">
        <v>2016</v>
      </c>
      <c r="D214" s="51">
        <v>2728338</v>
      </c>
      <c r="E214" s="2">
        <v>1355303</v>
      </c>
      <c r="F214" s="2">
        <v>1373039</v>
      </c>
      <c r="G214" s="78">
        <f>Integrated[[#This Row],[Female Total population]]/Integrated[[#This Row],[Total population]]</f>
        <v>0.50325106346794279</v>
      </c>
      <c r="H214" s="2">
        <v>174200</v>
      </c>
      <c r="I214" s="2">
        <v>358062</v>
      </c>
      <c r="J214" s="2">
        <v>397141</v>
      </c>
      <c r="K214" s="2">
        <v>352848</v>
      </c>
      <c r="L214" s="2">
        <v>325549</v>
      </c>
      <c r="M214" s="2">
        <v>356150</v>
      </c>
      <c r="N214" s="2">
        <v>349127</v>
      </c>
      <c r="O214" s="2">
        <v>226014</v>
      </c>
      <c r="P214" s="2">
        <v>127800</v>
      </c>
      <c r="Q214" s="52">
        <v>62424</v>
      </c>
      <c r="R214" s="127">
        <f>Integrated[[#This Row],[Population 85+ years]]/Integrated[[#This Row],[Total population]]</f>
        <v>2.2879863125463196E-2</v>
      </c>
      <c r="S214" s="58">
        <v>120</v>
      </c>
      <c r="T214" s="59">
        <v>60</v>
      </c>
      <c r="U214" s="59">
        <v>60</v>
      </c>
      <c r="V214" s="59">
        <v>60</v>
      </c>
      <c r="W214" s="59">
        <v>60</v>
      </c>
      <c r="X214" s="59">
        <v>60</v>
      </c>
      <c r="Y214" s="59">
        <v>60</v>
      </c>
      <c r="Z214" s="59">
        <v>60</v>
      </c>
      <c r="AA214" s="59">
        <v>98</v>
      </c>
      <c r="AB214" s="59">
        <v>294</v>
      </c>
      <c r="AC214" s="59">
        <f>VLOOKUP($A214,'[1]Flu Deaths Updated'!$A$2:$N$460,14,FALSE)</f>
        <v>60</v>
      </c>
      <c r="AD214" s="60">
        <f t="shared" si="3"/>
        <v>992</v>
      </c>
      <c r="AE214" s="66">
        <f>Integrated[[#This Row],[Flu Deaths &lt;5 years old]]/Integrated[[#This Row],[Population &lt;5 years]]</f>
        <v>6.8886337543053958E-4</v>
      </c>
      <c r="AF214" s="67">
        <f>Integrated[[#This Row],[Flu Deaths 5 to 14 years]]/Integrated[[#This Row],[Population 5 to 14 years]]</f>
        <v>1.6756874507766812E-4</v>
      </c>
      <c r="AG214" s="67">
        <f>Integrated[[#This Row],[Flu Deaths 15 to 24 years]]/Integrated[[#This Row],[Population 15 to 24 years]]</f>
        <v>1.5107984317912278E-4</v>
      </c>
      <c r="AH214" s="67">
        <f>Integrated[[#This Row],[Flu Deaths 25 to 34 years]]/Integrated[[#This Row],[Population 25 to 34 years]]</f>
        <v>1.7004489185144879E-4</v>
      </c>
      <c r="AI214" s="67">
        <f>Integrated[[#This Row],[Flu Deaths 35 to 44 years]]/Integrated[[#This Row],[Population 35 to 44 years]]</f>
        <v>1.8430405253894191E-4</v>
      </c>
      <c r="AJ214" s="67">
        <f>Integrated[[#This Row],[Flu Deaths 45 to 54 years]]/Integrated[[#This Row],[Population 45 to 54 years]]</f>
        <v>1.6846834199073425E-4</v>
      </c>
      <c r="AK214" s="67">
        <f>Integrated[[#This Row],[Flu Deaths 55 to 64 years]]/Integrated[[#This Row],[Population 55 to 64 years]]</f>
        <v>1.7185723246841407E-4</v>
      </c>
      <c r="AL214" s="67">
        <f>Integrated[[#This Row],[Flu Deaths 65 to 74 years]]/Integrated[[#This Row],[Population 65 to 74 years]]</f>
        <v>2.6547028060208661E-4</v>
      </c>
      <c r="AM214" s="67">
        <f>Integrated[[#This Row],[Flu Deaths 75 to 84 years]]/Integrated[[#This Row],[Population 75 to 84 years]]</f>
        <v>7.6682316118935833E-4</v>
      </c>
      <c r="AN214" s="67">
        <f>Integrated[[#This Row],[Flu Deaths 85+ years]]/Integrated[[#This Row],[Population 85+ years]]</f>
        <v>4.7097270280661288E-3</v>
      </c>
      <c r="AO214" s="68">
        <f>Integrated[[#This Row],[Total Flu Deaths]]/Integrated[[#This Row],[Total population]]</f>
        <v>3.6359131456586389E-4</v>
      </c>
    </row>
    <row r="215" spans="1:41" x14ac:dyDescent="0.3">
      <c r="A215" s="44" t="s">
        <v>497</v>
      </c>
      <c r="B215" t="s">
        <v>445</v>
      </c>
      <c r="C215" s="45">
        <v>2010</v>
      </c>
      <c r="D215" s="51">
        <v>6246652</v>
      </c>
      <c r="E215" s="2">
        <v>3107925</v>
      </c>
      <c r="F215" s="2">
        <v>3138727</v>
      </c>
      <c r="G215" s="78">
        <f>Integrated[[#This Row],[Female Total population]]/Integrated[[#This Row],[Total population]]</f>
        <v>0.502465480708706</v>
      </c>
      <c r="H215" s="2">
        <v>462632</v>
      </c>
      <c r="I215" s="2">
        <v>880044</v>
      </c>
      <c r="J215" s="2">
        <v>885095</v>
      </c>
      <c r="K215" s="2">
        <v>852245</v>
      </c>
      <c r="L215" s="2">
        <v>829329</v>
      </c>
      <c r="M215" s="2">
        <v>817617</v>
      </c>
      <c r="N215" s="2">
        <v>682570</v>
      </c>
      <c r="O215" s="2">
        <v>458493</v>
      </c>
      <c r="P215" s="2">
        <v>276521</v>
      </c>
      <c r="Q215" s="52">
        <v>94393</v>
      </c>
      <c r="R215" s="127">
        <f>Integrated[[#This Row],[Population 85+ years]]/Integrated[[#This Row],[Total population]]</f>
        <v>1.5110974646898851E-2</v>
      </c>
      <c r="S215" s="58">
        <v>120</v>
      </c>
      <c r="T215" s="59">
        <v>60</v>
      </c>
      <c r="U215" s="59">
        <v>60</v>
      </c>
      <c r="V215" s="59">
        <v>60</v>
      </c>
      <c r="W215" s="59">
        <v>60</v>
      </c>
      <c r="X215" s="59">
        <v>60</v>
      </c>
      <c r="Y215" s="59">
        <v>76</v>
      </c>
      <c r="Z215" s="59">
        <v>92</v>
      </c>
      <c r="AA215" s="59">
        <v>213</v>
      </c>
      <c r="AB215" s="59">
        <v>295</v>
      </c>
      <c r="AC215" s="59">
        <f>VLOOKUP($A215,'[1]Flu Deaths Updated'!$A$2:$N$460,14,FALSE)</f>
        <v>60</v>
      </c>
      <c r="AD215" s="60">
        <f t="shared" si="3"/>
        <v>1156</v>
      </c>
      <c r="AE215" s="66">
        <f>Integrated[[#This Row],[Flu Deaths &lt;5 years old]]/Integrated[[#This Row],[Population &lt;5 years]]</f>
        <v>2.5938542945580934E-4</v>
      </c>
      <c r="AF215" s="67">
        <f>Integrated[[#This Row],[Flu Deaths 5 to 14 years]]/Integrated[[#This Row],[Population 5 to 14 years]]</f>
        <v>6.8178409261355108E-5</v>
      </c>
      <c r="AG215" s="67">
        <f>Integrated[[#This Row],[Flu Deaths 15 to 24 years]]/Integrated[[#This Row],[Population 15 to 24 years]]</f>
        <v>6.778933334839763E-5</v>
      </c>
      <c r="AH215" s="67">
        <f>Integrated[[#This Row],[Flu Deaths 25 to 34 years]]/Integrated[[#This Row],[Population 25 to 34 years]]</f>
        <v>7.04022904211817E-5</v>
      </c>
      <c r="AI215" s="67">
        <f>Integrated[[#This Row],[Flu Deaths 35 to 44 years]]/Integrated[[#This Row],[Population 35 to 44 years]]</f>
        <v>7.234764490328929E-5</v>
      </c>
      <c r="AJ215" s="67">
        <f>Integrated[[#This Row],[Flu Deaths 45 to 54 years]]/Integrated[[#This Row],[Population 45 to 54 years]]</f>
        <v>7.3383992749661515E-5</v>
      </c>
      <c r="AK215" s="67">
        <f>Integrated[[#This Row],[Flu Deaths 55 to 64 years]]/Integrated[[#This Row],[Population 55 to 64 years]]</f>
        <v>1.1134389146900684E-4</v>
      </c>
      <c r="AL215" s="67">
        <f>Integrated[[#This Row],[Flu Deaths 65 to 74 years]]/Integrated[[#This Row],[Population 65 to 74 years]]</f>
        <v>2.0065737099584944E-4</v>
      </c>
      <c r="AM215" s="67">
        <f>Integrated[[#This Row],[Flu Deaths 75 to 84 years]]/Integrated[[#This Row],[Population 75 to 84 years]]</f>
        <v>7.7028507780602562E-4</v>
      </c>
      <c r="AN215" s="67">
        <f>Integrated[[#This Row],[Flu Deaths 85+ years]]/Integrated[[#This Row],[Population 85+ years]]</f>
        <v>3.1252317438793132E-3</v>
      </c>
      <c r="AO215" s="68">
        <f>Integrated[[#This Row],[Total Flu Deaths]]/Integrated[[#This Row],[Total population]]</f>
        <v>1.8505913247608479E-4</v>
      </c>
    </row>
    <row r="216" spans="1:41" x14ac:dyDescent="0.3">
      <c r="A216" s="44" t="s">
        <v>355</v>
      </c>
      <c r="B216" t="s">
        <v>329</v>
      </c>
      <c r="C216" s="45">
        <v>2009</v>
      </c>
      <c r="D216" s="51">
        <v>4386090</v>
      </c>
      <c r="E216" s="2">
        <v>2136292</v>
      </c>
      <c r="F216" s="2">
        <v>2249798</v>
      </c>
      <c r="G216" s="78">
        <f>Integrated[[#This Row],[Female Total population]]/Integrated[[#This Row],[Total population]]</f>
        <v>0.51293931497073708</v>
      </c>
      <c r="H216" s="2">
        <v>295775</v>
      </c>
      <c r="I216" s="2">
        <v>571820</v>
      </c>
      <c r="J216" s="2">
        <v>622359</v>
      </c>
      <c r="K216" s="2">
        <v>576748</v>
      </c>
      <c r="L216" s="2">
        <v>606847</v>
      </c>
      <c r="M216" s="2">
        <v>622089</v>
      </c>
      <c r="N216" s="2">
        <v>514680</v>
      </c>
      <c r="O216" s="2">
        <v>314420</v>
      </c>
      <c r="P216" s="2">
        <v>195448</v>
      </c>
      <c r="Q216" s="52">
        <v>66026</v>
      </c>
      <c r="R216" s="127">
        <f>Integrated[[#This Row],[Population 85+ years]]/Integrated[[#This Row],[Total population]]</f>
        <v>1.5053498674217812E-2</v>
      </c>
      <c r="S216" s="58">
        <v>120</v>
      </c>
      <c r="T216" s="59">
        <v>60</v>
      </c>
      <c r="U216" s="59">
        <v>60</v>
      </c>
      <c r="V216" s="59">
        <v>60</v>
      </c>
      <c r="W216" s="59">
        <v>65</v>
      </c>
      <c r="X216" s="59">
        <v>60</v>
      </c>
      <c r="Y216" s="59">
        <v>67</v>
      </c>
      <c r="Z216" s="59">
        <v>87</v>
      </c>
      <c r="AA216" s="59">
        <v>197</v>
      </c>
      <c r="AB216" s="59">
        <v>296</v>
      </c>
      <c r="AC216" s="59">
        <f>VLOOKUP($A216,'[1]Flu Deaths Updated'!$A$2:$N$460,14,FALSE)</f>
        <v>60</v>
      </c>
      <c r="AD216" s="60">
        <f t="shared" si="3"/>
        <v>1132</v>
      </c>
      <c r="AE216" s="66">
        <f>Integrated[[#This Row],[Flu Deaths &lt;5 years old]]/Integrated[[#This Row],[Population &lt;5 years]]</f>
        <v>4.0571380272166343E-4</v>
      </c>
      <c r="AF216" s="67">
        <f>Integrated[[#This Row],[Flu Deaths 5 to 14 years]]/Integrated[[#This Row],[Population 5 to 14 years]]</f>
        <v>1.049281242348991E-4</v>
      </c>
      <c r="AG216" s="67">
        <f>Integrated[[#This Row],[Flu Deaths 15 to 24 years]]/Integrated[[#This Row],[Population 15 to 24 years]]</f>
        <v>9.6407379020790245E-5</v>
      </c>
      <c r="AH216" s="67">
        <f>Integrated[[#This Row],[Flu Deaths 25 to 34 years]]/Integrated[[#This Row],[Population 25 to 34 years]]</f>
        <v>1.0403157011381054E-4</v>
      </c>
      <c r="AI216" s="67">
        <f>Integrated[[#This Row],[Flu Deaths 35 to 44 years]]/Integrated[[#This Row],[Population 35 to 44 years]]</f>
        <v>9.8871709013968924E-5</v>
      </c>
      <c r="AJ216" s="67">
        <f>Integrated[[#This Row],[Flu Deaths 45 to 54 years]]/Integrated[[#This Row],[Population 45 to 54 years]]</f>
        <v>1.0448665705389422E-4</v>
      </c>
      <c r="AK216" s="67">
        <f>Integrated[[#This Row],[Flu Deaths 55 to 64 years]]/Integrated[[#This Row],[Population 55 to 64 years]]</f>
        <v>1.301779746638688E-4</v>
      </c>
      <c r="AL216" s="67">
        <f>Integrated[[#This Row],[Flu Deaths 65 to 74 years]]/Integrated[[#This Row],[Population 65 to 74 years]]</f>
        <v>2.7669995547357037E-4</v>
      </c>
      <c r="AM216" s="67">
        <f>Integrated[[#This Row],[Flu Deaths 75 to 84 years]]/Integrated[[#This Row],[Population 75 to 84 years]]</f>
        <v>1.0079407310384348E-3</v>
      </c>
      <c r="AN216" s="67">
        <f>Integrated[[#This Row],[Flu Deaths 85+ years]]/Integrated[[#This Row],[Population 85+ years]]</f>
        <v>4.483082422076152E-3</v>
      </c>
      <c r="AO216" s="68">
        <f>Integrated[[#This Row],[Total Flu Deaths]]/Integrated[[#This Row],[Total population]]</f>
        <v>2.5808863931200683E-4</v>
      </c>
    </row>
    <row r="217" spans="1:41" x14ac:dyDescent="0.3">
      <c r="A217" s="44" t="s">
        <v>532</v>
      </c>
      <c r="B217" t="s">
        <v>463</v>
      </c>
      <c r="C217" s="45">
        <v>2010</v>
      </c>
      <c r="D217" s="51">
        <v>6541242</v>
      </c>
      <c r="E217" s="2">
        <v>3257435</v>
      </c>
      <c r="F217" s="2">
        <v>3283807</v>
      </c>
      <c r="G217" s="78">
        <f>Integrated[[#This Row],[Female Total population]]/Integrated[[#This Row],[Total population]]</f>
        <v>0.50201582512923382</v>
      </c>
      <c r="H217" s="2">
        <v>425398</v>
      </c>
      <c r="I217" s="2">
        <v>853512</v>
      </c>
      <c r="J217" s="2">
        <v>916027</v>
      </c>
      <c r="K217" s="2">
        <v>895217</v>
      </c>
      <c r="L217" s="2">
        <v>921830</v>
      </c>
      <c r="M217" s="2">
        <v>977573</v>
      </c>
      <c r="N217" s="2">
        <v>774059</v>
      </c>
      <c r="O217" s="2">
        <v>415568</v>
      </c>
      <c r="P217" s="2">
        <v>253490</v>
      </c>
      <c r="Q217" s="52">
        <v>106969</v>
      </c>
      <c r="R217" s="127">
        <f>Integrated[[#This Row],[Population 85+ years]]/Integrated[[#This Row],[Total population]]</f>
        <v>1.6353010636206398E-2</v>
      </c>
      <c r="S217" s="58">
        <v>120</v>
      </c>
      <c r="T217" s="59">
        <v>60</v>
      </c>
      <c r="U217" s="59">
        <v>60</v>
      </c>
      <c r="V217" s="59">
        <v>60</v>
      </c>
      <c r="W217" s="59">
        <v>60</v>
      </c>
      <c r="X217" s="59">
        <v>60</v>
      </c>
      <c r="Y217" s="59">
        <v>66</v>
      </c>
      <c r="Z217" s="59">
        <v>60</v>
      </c>
      <c r="AA217" s="59">
        <v>122</v>
      </c>
      <c r="AB217" s="59">
        <v>298</v>
      </c>
      <c r="AC217" s="59">
        <f>VLOOKUP($A217,'[1]Flu Deaths Updated'!$A$2:$N$460,14,FALSE)</f>
        <v>60</v>
      </c>
      <c r="AD217" s="60">
        <f t="shared" si="3"/>
        <v>1026</v>
      </c>
      <c r="AE217" s="66">
        <f>Integrated[[#This Row],[Flu Deaths &lt;5 years old]]/Integrated[[#This Row],[Population &lt;5 years]]</f>
        <v>2.8208877333696917E-4</v>
      </c>
      <c r="AF217" s="67">
        <f>Integrated[[#This Row],[Flu Deaths 5 to 14 years]]/Integrated[[#This Row],[Population 5 to 14 years]]</f>
        <v>7.0297781402018958E-5</v>
      </c>
      <c r="AG217" s="67">
        <f>Integrated[[#This Row],[Flu Deaths 15 to 24 years]]/Integrated[[#This Row],[Population 15 to 24 years]]</f>
        <v>6.5500252721808412E-5</v>
      </c>
      <c r="AH217" s="67">
        <f>Integrated[[#This Row],[Flu Deaths 25 to 34 years]]/Integrated[[#This Row],[Population 25 to 34 years]]</f>
        <v>6.7022855910913226E-5</v>
      </c>
      <c r="AI217" s="67">
        <f>Integrated[[#This Row],[Flu Deaths 35 to 44 years]]/Integrated[[#This Row],[Population 35 to 44 years]]</f>
        <v>6.5087922935899251E-5</v>
      </c>
      <c r="AJ217" s="67">
        <f>Integrated[[#This Row],[Flu Deaths 45 to 54 years]]/Integrated[[#This Row],[Population 45 to 54 years]]</f>
        <v>6.137649055364663E-5</v>
      </c>
      <c r="AK217" s="67">
        <f>Integrated[[#This Row],[Flu Deaths 55 to 64 years]]/Integrated[[#This Row],[Population 55 to 64 years]]</f>
        <v>8.526481831488298E-5</v>
      </c>
      <c r="AL217" s="67">
        <f>Integrated[[#This Row],[Flu Deaths 65 to 74 years]]/Integrated[[#This Row],[Population 65 to 74 years]]</f>
        <v>1.4438070303777001E-4</v>
      </c>
      <c r="AM217" s="67">
        <f>Integrated[[#This Row],[Flu Deaths 75 to 84 years]]/Integrated[[#This Row],[Population 75 to 84 years]]</f>
        <v>4.8128131287230268E-4</v>
      </c>
      <c r="AN217" s="67">
        <f>Integrated[[#This Row],[Flu Deaths 85+ years]]/Integrated[[#This Row],[Population 85+ years]]</f>
        <v>2.7858538455066422E-3</v>
      </c>
      <c r="AO217" s="68">
        <f>Integrated[[#This Row],[Total Flu Deaths]]/Integrated[[#This Row],[Total population]]</f>
        <v>1.5685094665508477E-4</v>
      </c>
    </row>
    <row r="218" spans="1:41" x14ac:dyDescent="0.3">
      <c r="A218" s="44" t="s">
        <v>267</v>
      </c>
      <c r="B218" t="s">
        <v>243</v>
      </c>
      <c r="C218" s="45">
        <v>2010</v>
      </c>
      <c r="D218" s="51">
        <v>3615153</v>
      </c>
      <c r="E218" s="2">
        <v>1786907</v>
      </c>
      <c r="F218" s="2">
        <v>1828246</v>
      </c>
      <c r="G218" s="78">
        <f>Integrated[[#This Row],[Female Total population]]/Integrated[[#This Row],[Total population]]</f>
        <v>0.50571746202719503</v>
      </c>
      <c r="H218" s="2">
        <v>252940</v>
      </c>
      <c r="I218" s="2">
        <v>493404</v>
      </c>
      <c r="J218" s="2">
        <v>530217</v>
      </c>
      <c r="K218" s="2">
        <v>476786</v>
      </c>
      <c r="L218" s="2">
        <v>460531</v>
      </c>
      <c r="M218" s="2">
        <v>511400</v>
      </c>
      <c r="N218" s="2">
        <v>409849</v>
      </c>
      <c r="O218" s="2">
        <v>262108</v>
      </c>
      <c r="P218" s="2">
        <v>158811</v>
      </c>
      <c r="Q218" s="52">
        <v>58710</v>
      </c>
      <c r="R218" s="127">
        <f>Integrated[[#This Row],[Population 85+ years]]/Integrated[[#This Row],[Total population]]</f>
        <v>1.6239976565307193E-2</v>
      </c>
      <c r="S218" s="58">
        <v>120</v>
      </c>
      <c r="T218" s="59">
        <v>60</v>
      </c>
      <c r="U218" s="59">
        <v>60</v>
      </c>
      <c r="V218" s="59">
        <v>60</v>
      </c>
      <c r="W218" s="59">
        <v>60</v>
      </c>
      <c r="X218" s="59">
        <v>60</v>
      </c>
      <c r="Y218" s="59">
        <v>65</v>
      </c>
      <c r="Z218" s="59">
        <v>96</v>
      </c>
      <c r="AA218" s="59">
        <v>225</v>
      </c>
      <c r="AB218" s="59">
        <v>298</v>
      </c>
      <c r="AC218" s="59">
        <f>VLOOKUP($A218,'[1]Flu Deaths Updated'!$A$2:$N$460,14,FALSE)</f>
        <v>60</v>
      </c>
      <c r="AD218" s="60">
        <f t="shared" si="3"/>
        <v>1164</v>
      </c>
      <c r="AE218" s="66">
        <f>Integrated[[#This Row],[Flu Deaths &lt;5 years old]]/Integrated[[#This Row],[Population &lt;5 years]]</f>
        <v>4.7442081125958726E-4</v>
      </c>
      <c r="AF218" s="67">
        <f>Integrated[[#This Row],[Flu Deaths 5 to 14 years]]/Integrated[[#This Row],[Population 5 to 14 years]]</f>
        <v>1.2160420264124329E-4</v>
      </c>
      <c r="AG218" s="67">
        <f>Integrated[[#This Row],[Flu Deaths 15 to 24 years]]/Integrated[[#This Row],[Population 15 to 24 years]]</f>
        <v>1.1316121512512801E-4</v>
      </c>
      <c r="AH218" s="67">
        <f>Integrated[[#This Row],[Flu Deaths 25 to 34 years]]/Integrated[[#This Row],[Population 25 to 34 years]]</f>
        <v>1.258426212179049E-4</v>
      </c>
      <c r="AI218" s="67">
        <f>Integrated[[#This Row],[Flu Deaths 35 to 44 years]]/Integrated[[#This Row],[Population 35 to 44 years]]</f>
        <v>1.3028438910735651E-4</v>
      </c>
      <c r="AJ218" s="67">
        <f>Integrated[[#This Row],[Flu Deaths 45 to 54 years]]/Integrated[[#This Row],[Population 45 to 54 years]]</f>
        <v>1.1732499022291749E-4</v>
      </c>
      <c r="AK218" s="67">
        <f>Integrated[[#This Row],[Flu Deaths 55 to 64 years]]/Integrated[[#This Row],[Population 55 to 64 years]]</f>
        <v>1.5859499474196596E-4</v>
      </c>
      <c r="AL218" s="67">
        <f>Integrated[[#This Row],[Flu Deaths 65 to 74 years]]/Integrated[[#This Row],[Population 65 to 74 years]]</f>
        <v>3.662612358264532E-4</v>
      </c>
      <c r="AM218" s="67">
        <f>Integrated[[#This Row],[Flu Deaths 75 to 84 years]]/Integrated[[#This Row],[Population 75 to 84 years]]</f>
        <v>1.4167784347431853E-3</v>
      </c>
      <c r="AN218" s="67">
        <f>Integrated[[#This Row],[Flu Deaths 85+ years]]/Integrated[[#This Row],[Population 85+ years]]</f>
        <v>5.0757962868335886E-3</v>
      </c>
      <c r="AO218" s="68">
        <f>Integrated[[#This Row],[Total Flu Deaths]]/Integrated[[#This Row],[Total population]]</f>
        <v>3.2197807395703586E-4</v>
      </c>
    </row>
    <row r="219" spans="1:41" x14ac:dyDescent="0.3">
      <c r="A219" s="44" t="s">
        <v>481</v>
      </c>
      <c r="B219" t="s">
        <v>445</v>
      </c>
      <c r="C219" s="45">
        <v>2016</v>
      </c>
      <c r="D219" s="51">
        <v>6509100</v>
      </c>
      <c r="E219" s="2">
        <v>3236711</v>
      </c>
      <c r="F219" s="2">
        <v>3272389</v>
      </c>
      <c r="G219" s="78">
        <f>Integrated[[#This Row],[Female Total population]]/Integrated[[#This Row],[Total population]]</f>
        <v>0.50274062466393199</v>
      </c>
      <c r="H219" s="2">
        <v>427125</v>
      </c>
      <c r="I219" s="2">
        <v>890710</v>
      </c>
      <c r="J219" s="2">
        <v>920179</v>
      </c>
      <c r="K219" s="2">
        <v>879557</v>
      </c>
      <c r="L219" s="2">
        <v>814037</v>
      </c>
      <c r="M219" s="2">
        <v>818246</v>
      </c>
      <c r="N219" s="2">
        <v>756679</v>
      </c>
      <c r="O219" s="2">
        <v>583389</v>
      </c>
      <c r="P219" s="2">
        <v>305789</v>
      </c>
      <c r="Q219" s="52">
        <v>115584</v>
      </c>
      <c r="R219" s="127">
        <f>Integrated[[#This Row],[Population 85+ years]]/Integrated[[#This Row],[Total population]]</f>
        <v>1.7757293635064755E-2</v>
      </c>
      <c r="S219" s="58">
        <v>120</v>
      </c>
      <c r="T219" s="59">
        <v>60</v>
      </c>
      <c r="U219" s="59">
        <v>60</v>
      </c>
      <c r="V219" s="59">
        <v>60</v>
      </c>
      <c r="W219" s="59">
        <v>73</v>
      </c>
      <c r="X219" s="59">
        <v>60</v>
      </c>
      <c r="Y219" s="59">
        <v>115</v>
      </c>
      <c r="Z219" s="59">
        <v>157</v>
      </c>
      <c r="AA219" s="59">
        <v>213</v>
      </c>
      <c r="AB219" s="59">
        <v>299</v>
      </c>
      <c r="AC219" s="59">
        <f>VLOOKUP($A219,'[1]Flu Deaths Updated'!$A$2:$N$460,14,FALSE)</f>
        <v>60</v>
      </c>
      <c r="AD219" s="60">
        <f t="shared" si="3"/>
        <v>1277</v>
      </c>
      <c r="AE219" s="66">
        <f>Integrated[[#This Row],[Flu Deaths &lt;5 years old]]/Integrated[[#This Row],[Population &lt;5 years]]</f>
        <v>2.8094820017559262E-4</v>
      </c>
      <c r="AF219" s="67">
        <f>Integrated[[#This Row],[Flu Deaths 5 to 14 years]]/Integrated[[#This Row],[Population 5 to 14 years]]</f>
        <v>6.7361992118646928E-5</v>
      </c>
      <c r="AG219" s="67">
        <f>Integrated[[#This Row],[Flu Deaths 15 to 24 years]]/Integrated[[#This Row],[Population 15 to 24 years]]</f>
        <v>6.520470473679577E-5</v>
      </c>
      <c r="AH219" s="67">
        <f>Integrated[[#This Row],[Flu Deaths 25 to 34 years]]/Integrated[[#This Row],[Population 25 to 34 years]]</f>
        <v>6.8216158816313208E-5</v>
      </c>
      <c r="AI219" s="67">
        <f>Integrated[[#This Row],[Flu Deaths 35 to 44 years]]/Integrated[[#This Row],[Population 35 to 44 years]]</f>
        <v>7.3706723404464412E-5</v>
      </c>
      <c r="AJ219" s="67">
        <f>Integrated[[#This Row],[Flu Deaths 45 to 54 years]]/Integrated[[#This Row],[Population 45 to 54 years]]</f>
        <v>8.9215223783556538E-5</v>
      </c>
      <c r="AK219" s="67">
        <f>Integrated[[#This Row],[Flu Deaths 55 to 64 years]]/Integrated[[#This Row],[Population 55 to 64 years]]</f>
        <v>1.5197990164918018E-4</v>
      </c>
      <c r="AL219" s="67">
        <f>Integrated[[#This Row],[Flu Deaths 65 to 74 years]]/Integrated[[#This Row],[Population 65 to 74 years]]</f>
        <v>2.6911717567523557E-4</v>
      </c>
      <c r="AM219" s="67">
        <f>Integrated[[#This Row],[Flu Deaths 75 to 84 years]]/Integrated[[#This Row],[Population 75 to 84 years]]</f>
        <v>6.9655873821491293E-4</v>
      </c>
      <c r="AN219" s="67">
        <f>Integrated[[#This Row],[Flu Deaths 85+ years]]/Integrated[[#This Row],[Population 85+ years]]</f>
        <v>2.5868632336655591E-3</v>
      </c>
      <c r="AO219" s="68">
        <f>Integrated[[#This Row],[Total Flu Deaths]]/Integrated[[#This Row],[Total population]]</f>
        <v>1.961868768339709E-4</v>
      </c>
    </row>
    <row r="220" spans="1:41" x14ac:dyDescent="0.3">
      <c r="A220" s="44" t="s">
        <v>131</v>
      </c>
      <c r="B220" t="s">
        <v>122</v>
      </c>
      <c r="C220" s="45">
        <v>2016</v>
      </c>
      <c r="D220" s="51">
        <v>1413673</v>
      </c>
      <c r="E220" s="2">
        <v>709870</v>
      </c>
      <c r="F220" s="2">
        <v>703803</v>
      </c>
      <c r="G220" s="78">
        <f>Integrated[[#This Row],[Female Total population]]/Integrated[[#This Row],[Total population]]</f>
        <v>0.49785417136777743</v>
      </c>
      <c r="H220" s="2">
        <v>92161</v>
      </c>
      <c r="I220" s="2">
        <v>167990</v>
      </c>
      <c r="J220" s="2">
        <v>180215</v>
      </c>
      <c r="K220" s="2">
        <v>203193</v>
      </c>
      <c r="L220" s="2">
        <v>176260</v>
      </c>
      <c r="M220" s="2">
        <v>181792</v>
      </c>
      <c r="N220" s="2">
        <v>184041</v>
      </c>
      <c r="O220" s="2">
        <v>126294</v>
      </c>
      <c r="P220" s="2">
        <v>63884</v>
      </c>
      <c r="Q220" s="52">
        <v>37991</v>
      </c>
      <c r="R220" s="127">
        <f>Integrated[[#This Row],[Population 85+ years]]/Integrated[[#This Row],[Total population]]</f>
        <v>2.6873965903005857E-2</v>
      </c>
      <c r="S220" s="58">
        <v>120</v>
      </c>
      <c r="T220" s="59">
        <v>60</v>
      </c>
      <c r="U220" s="59">
        <v>60</v>
      </c>
      <c r="V220" s="59">
        <v>60</v>
      </c>
      <c r="W220" s="59">
        <v>60</v>
      </c>
      <c r="X220" s="59">
        <v>60</v>
      </c>
      <c r="Y220" s="59">
        <v>60</v>
      </c>
      <c r="Z220" s="59">
        <v>60</v>
      </c>
      <c r="AA220" s="59">
        <v>85</v>
      </c>
      <c r="AB220" s="59">
        <v>303</v>
      </c>
      <c r="AC220" s="59">
        <f>VLOOKUP($A220,'[1]Flu Deaths Updated'!$A$2:$N$460,14,FALSE)</f>
        <v>60</v>
      </c>
      <c r="AD220" s="60">
        <f t="shared" si="3"/>
        <v>988</v>
      </c>
      <c r="AE220" s="66">
        <f>Integrated[[#This Row],[Flu Deaths &lt;5 years old]]/Integrated[[#This Row],[Population &lt;5 years]]</f>
        <v>1.3020692049782445E-3</v>
      </c>
      <c r="AF220" s="67">
        <f>Integrated[[#This Row],[Flu Deaths 5 to 14 years]]/Integrated[[#This Row],[Population 5 to 14 years]]</f>
        <v>3.5716411691172096E-4</v>
      </c>
      <c r="AG220" s="67">
        <f>Integrated[[#This Row],[Flu Deaths 15 to 24 years]]/Integrated[[#This Row],[Population 15 to 24 years]]</f>
        <v>3.3293566018366953E-4</v>
      </c>
      <c r="AH220" s="67">
        <f>Integrated[[#This Row],[Flu Deaths 25 to 34 years]]/Integrated[[#This Row],[Population 25 to 34 years]]</f>
        <v>2.9528576279694676E-4</v>
      </c>
      <c r="AI220" s="67">
        <f>Integrated[[#This Row],[Flu Deaths 35 to 44 years]]/Integrated[[#This Row],[Population 35 to 44 years]]</f>
        <v>3.4040621808691704E-4</v>
      </c>
      <c r="AJ220" s="67">
        <f>Integrated[[#This Row],[Flu Deaths 45 to 54 years]]/Integrated[[#This Row],[Population 45 to 54 years]]</f>
        <v>3.300475268438655E-4</v>
      </c>
      <c r="AK220" s="67">
        <f>Integrated[[#This Row],[Flu Deaths 55 to 64 years]]/Integrated[[#This Row],[Population 55 to 64 years]]</f>
        <v>3.2601431202829807E-4</v>
      </c>
      <c r="AL220" s="67">
        <f>Integrated[[#This Row],[Flu Deaths 65 to 74 years]]/Integrated[[#This Row],[Population 65 to 74 years]]</f>
        <v>4.7508195163665731E-4</v>
      </c>
      <c r="AM220" s="67">
        <f>Integrated[[#This Row],[Flu Deaths 75 to 84 years]]/Integrated[[#This Row],[Population 75 to 84 years]]</f>
        <v>1.3305365975831195E-3</v>
      </c>
      <c r="AN220" s="67">
        <f>Integrated[[#This Row],[Flu Deaths 85+ years]]/Integrated[[#This Row],[Population 85+ years]]</f>
        <v>7.9755731620646999E-3</v>
      </c>
      <c r="AO220" s="68">
        <f>Integrated[[#This Row],[Total Flu Deaths]]/Integrated[[#This Row],[Total population]]</f>
        <v>6.9888863973493164E-4</v>
      </c>
    </row>
    <row r="221" spans="1:41" x14ac:dyDescent="0.3">
      <c r="A221" s="44" t="s">
        <v>232</v>
      </c>
      <c r="B221" t="s">
        <v>194</v>
      </c>
      <c r="C221" s="45">
        <v>2010</v>
      </c>
      <c r="D221" s="51">
        <v>2728504</v>
      </c>
      <c r="E221" s="2">
        <v>1350925</v>
      </c>
      <c r="F221" s="2">
        <v>1377581</v>
      </c>
      <c r="G221" s="78">
        <f>Integrated[[#This Row],[Female Total population]]/Integrated[[#This Row],[Total population]]</f>
        <v>0.50488509454265051</v>
      </c>
      <c r="H221" s="2">
        <v>193143</v>
      </c>
      <c r="I221" s="2">
        <v>383459</v>
      </c>
      <c r="J221" s="2">
        <v>401239</v>
      </c>
      <c r="K221" s="2">
        <v>351051</v>
      </c>
      <c r="L221" s="2">
        <v>347738</v>
      </c>
      <c r="M221" s="2">
        <v>396279</v>
      </c>
      <c r="N221" s="2">
        <v>300984</v>
      </c>
      <c r="O221" s="2">
        <v>176181</v>
      </c>
      <c r="P221" s="2">
        <v>123495</v>
      </c>
      <c r="Q221" s="52">
        <v>56069</v>
      </c>
      <c r="R221" s="127">
        <f>Integrated[[#This Row],[Population 85+ years]]/Integrated[[#This Row],[Total population]]</f>
        <v>2.0549355984085051E-2</v>
      </c>
      <c r="S221" s="58">
        <v>120</v>
      </c>
      <c r="T221" s="59">
        <v>60</v>
      </c>
      <c r="U221" s="59">
        <v>60</v>
      </c>
      <c r="V221" s="59">
        <v>60</v>
      </c>
      <c r="W221" s="59">
        <v>60</v>
      </c>
      <c r="X221" s="59">
        <v>60</v>
      </c>
      <c r="Y221" s="59">
        <v>60</v>
      </c>
      <c r="Z221" s="59">
        <v>60</v>
      </c>
      <c r="AA221" s="59">
        <v>124</v>
      </c>
      <c r="AB221" s="59">
        <v>303</v>
      </c>
      <c r="AC221" s="59">
        <f>VLOOKUP($A221,'[1]Flu Deaths Updated'!$A$2:$N$460,14,FALSE)</f>
        <v>60</v>
      </c>
      <c r="AD221" s="60">
        <f t="shared" si="3"/>
        <v>1027</v>
      </c>
      <c r="AE221" s="66">
        <f>Integrated[[#This Row],[Flu Deaths &lt;5 years old]]/Integrated[[#This Row],[Population &lt;5 years]]</f>
        <v>6.2130131560553584E-4</v>
      </c>
      <c r="AF221" s="67">
        <f>Integrated[[#This Row],[Flu Deaths 5 to 14 years]]/Integrated[[#This Row],[Population 5 to 14 years]]</f>
        <v>1.5647044403704178E-4</v>
      </c>
      <c r="AG221" s="67">
        <f>Integrated[[#This Row],[Flu Deaths 15 to 24 years]]/Integrated[[#This Row],[Population 15 to 24 years]]</f>
        <v>1.4953680973185557E-4</v>
      </c>
      <c r="AH221" s="67">
        <f>Integrated[[#This Row],[Flu Deaths 25 to 34 years]]/Integrated[[#This Row],[Population 25 to 34 years]]</f>
        <v>1.7091533708777357E-4</v>
      </c>
      <c r="AI221" s="67">
        <f>Integrated[[#This Row],[Flu Deaths 35 to 44 years]]/Integrated[[#This Row],[Population 35 to 44 years]]</f>
        <v>1.7254369669118705E-4</v>
      </c>
      <c r="AJ221" s="67">
        <f>Integrated[[#This Row],[Flu Deaths 45 to 54 years]]/Integrated[[#This Row],[Population 45 to 54 years]]</f>
        <v>1.5140847736064741E-4</v>
      </c>
      <c r="AK221" s="67">
        <f>Integrated[[#This Row],[Flu Deaths 55 to 64 years]]/Integrated[[#This Row],[Population 55 to 64 years]]</f>
        <v>1.9934614464556255E-4</v>
      </c>
      <c r="AL221" s="67">
        <f>Integrated[[#This Row],[Flu Deaths 65 to 74 years]]/Integrated[[#This Row],[Population 65 to 74 years]]</f>
        <v>3.4055885708447563E-4</v>
      </c>
      <c r="AM221" s="67">
        <f>Integrated[[#This Row],[Flu Deaths 75 to 84 years]]/Integrated[[#This Row],[Population 75 to 84 years]]</f>
        <v>1.0040892343819588E-3</v>
      </c>
      <c r="AN221" s="67">
        <f>Integrated[[#This Row],[Flu Deaths 85+ years]]/Integrated[[#This Row],[Population 85+ years]]</f>
        <v>5.4040557170629043E-3</v>
      </c>
      <c r="AO221" s="68">
        <f>Integrated[[#This Row],[Total Flu Deaths]]/Integrated[[#This Row],[Total population]]</f>
        <v>3.7639673608688131E-4</v>
      </c>
    </row>
    <row r="222" spans="1:41" x14ac:dyDescent="0.3">
      <c r="A222" s="44" t="s">
        <v>280</v>
      </c>
      <c r="B222" t="s">
        <v>243</v>
      </c>
      <c r="C222" s="45">
        <v>2013</v>
      </c>
      <c r="D222" s="51">
        <v>3651309</v>
      </c>
      <c r="E222" s="2">
        <v>1803974</v>
      </c>
      <c r="F222" s="2">
        <v>1847339</v>
      </c>
      <c r="G222" s="78">
        <f>Integrated[[#This Row],[Female Total population]]/Integrated[[#This Row],[Total population]]</f>
        <v>0.50593882906102994</v>
      </c>
      <c r="H222" s="2">
        <v>254691</v>
      </c>
      <c r="I222" s="2">
        <v>501101</v>
      </c>
      <c r="J222" s="2">
        <v>521068</v>
      </c>
      <c r="K222" s="2">
        <v>494702</v>
      </c>
      <c r="L222" s="2">
        <v>448470</v>
      </c>
      <c r="M222" s="2">
        <v>495568</v>
      </c>
      <c r="N222" s="2">
        <v>436062</v>
      </c>
      <c r="O222" s="2">
        <v>280669</v>
      </c>
      <c r="P222" s="2">
        <v>160065</v>
      </c>
      <c r="Q222" s="52">
        <v>61174</v>
      </c>
      <c r="R222" s="127">
        <f>Integrated[[#This Row],[Population 85+ years]]/Integrated[[#This Row],[Total population]]</f>
        <v>1.6753991513728365E-2</v>
      </c>
      <c r="S222" s="58">
        <v>120</v>
      </c>
      <c r="T222" s="59">
        <v>60</v>
      </c>
      <c r="U222" s="59">
        <v>60</v>
      </c>
      <c r="V222" s="59">
        <v>60</v>
      </c>
      <c r="W222" s="59">
        <v>60</v>
      </c>
      <c r="X222" s="59">
        <v>60</v>
      </c>
      <c r="Y222" s="59">
        <v>87</v>
      </c>
      <c r="Z222" s="59">
        <v>101</v>
      </c>
      <c r="AA222" s="59">
        <v>160</v>
      </c>
      <c r="AB222" s="59">
        <v>305</v>
      </c>
      <c r="AC222" s="59">
        <f>VLOOKUP($A222,'[1]Flu Deaths Updated'!$A$2:$N$460,14,FALSE)</f>
        <v>60</v>
      </c>
      <c r="AD222" s="60">
        <f t="shared" si="3"/>
        <v>1133</v>
      </c>
      <c r="AE222" s="66">
        <f>Integrated[[#This Row],[Flu Deaths &lt;5 years old]]/Integrated[[#This Row],[Population &lt;5 years]]</f>
        <v>4.7115916934638443E-4</v>
      </c>
      <c r="AF222" s="67">
        <f>Integrated[[#This Row],[Flu Deaths 5 to 14 years]]/Integrated[[#This Row],[Population 5 to 14 years]]</f>
        <v>1.1973634057804714E-4</v>
      </c>
      <c r="AG222" s="67">
        <f>Integrated[[#This Row],[Flu Deaths 15 to 24 years]]/Integrated[[#This Row],[Population 15 to 24 years]]</f>
        <v>1.1514811886356483E-4</v>
      </c>
      <c r="AH222" s="67">
        <f>Integrated[[#This Row],[Flu Deaths 25 to 34 years]]/Integrated[[#This Row],[Population 25 to 34 years]]</f>
        <v>1.2128513731498964E-4</v>
      </c>
      <c r="AI222" s="67">
        <f>Integrated[[#This Row],[Flu Deaths 35 to 44 years]]/Integrated[[#This Row],[Population 35 to 44 years]]</f>
        <v>1.3378821325841193E-4</v>
      </c>
      <c r="AJ222" s="67">
        <f>Integrated[[#This Row],[Flu Deaths 45 to 54 years]]/Integrated[[#This Row],[Population 45 to 54 years]]</f>
        <v>1.210731927808091E-4</v>
      </c>
      <c r="AK222" s="67">
        <f>Integrated[[#This Row],[Flu Deaths 55 to 64 years]]/Integrated[[#This Row],[Population 55 to 64 years]]</f>
        <v>1.9951291330131952E-4</v>
      </c>
      <c r="AL222" s="67">
        <f>Integrated[[#This Row],[Flu Deaths 65 to 74 years]]/Integrated[[#This Row],[Population 65 to 74 years]]</f>
        <v>3.5985449052086264E-4</v>
      </c>
      <c r="AM222" s="67">
        <f>Integrated[[#This Row],[Flu Deaths 75 to 84 years]]/Integrated[[#This Row],[Population 75 to 84 years]]</f>
        <v>9.9959391497204259E-4</v>
      </c>
      <c r="AN222" s="67">
        <f>Integrated[[#This Row],[Flu Deaths 85+ years]]/Integrated[[#This Row],[Population 85+ years]]</f>
        <v>4.985778271814823E-3</v>
      </c>
      <c r="AO222" s="68">
        <f>Integrated[[#This Row],[Total Flu Deaths]]/Integrated[[#This Row],[Total population]]</f>
        <v>3.1029967608876705E-4</v>
      </c>
    </row>
    <row r="223" spans="1:41" x14ac:dyDescent="0.3">
      <c r="A223" s="44" t="s">
        <v>311</v>
      </c>
      <c r="B223" t="s">
        <v>260</v>
      </c>
      <c r="C223" s="45">
        <v>2016</v>
      </c>
      <c r="D223" s="51">
        <v>3588570</v>
      </c>
      <c r="E223" s="2">
        <v>1750270</v>
      </c>
      <c r="F223" s="2">
        <v>1838300</v>
      </c>
      <c r="G223" s="78">
        <f>Integrated[[#This Row],[Female Total population]]/Integrated[[#This Row],[Total population]]</f>
        <v>0.51226533131581664</v>
      </c>
      <c r="H223" s="2">
        <v>188745</v>
      </c>
      <c r="I223" s="2">
        <v>439807</v>
      </c>
      <c r="J223" s="2">
        <v>494774</v>
      </c>
      <c r="K223" s="2">
        <v>438614</v>
      </c>
      <c r="L223" s="2">
        <v>439975</v>
      </c>
      <c r="M223" s="2">
        <v>546345</v>
      </c>
      <c r="N223" s="2">
        <v>488894</v>
      </c>
      <c r="O223" s="2">
        <v>303533</v>
      </c>
      <c r="P223" s="2">
        <v>162793</v>
      </c>
      <c r="Q223" s="52">
        <v>87330</v>
      </c>
      <c r="R223" s="127">
        <f>Integrated[[#This Row],[Population 85+ years]]/Integrated[[#This Row],[Total population]]</f>
        <v>2.4335598859712922E-2</v>
      </c>
      <c r="S223" s="58">
        <v>120</v>
      </c>
      <c r="T223" s="59">
        <v>60</v>
      </c>
      <c r="U223" s="59">
        <v>60</v>
      </c>
      <c r="V223" s="59">
        <v>60</v>
      </c>
      <c r="W223" s="59">
        <v>60</v>
      </c>
      <c r="X223" s="59">
        <v>60</v>
      </c>
      <c r="Y223" s="59">
        <v>60</v>
      </c>
      <c r="Z223" s="59">
        <v>60</v>
      </c>
      <c r="AA223" s="59">
        <v>117</v>
      </c>
      <c r="AB223" s="59">
        <v>307</v>
      </c>
      <c r="AC223" s="59">
        <f>VLOOKUP($A223,'[1]Flu Deaths Updated'!$A$2:$N$460,14,FALSE)</f>
        <v>60</v>
      </c>
      <c r="AD223" s="60">
        <f t="shared" si="3"/>
        <v>1024</v>
      </c>
      <c r="AE223" s="66">
        <f>Integrated[[#This Row],[Flu Deaths &lt;5 years old]]/Integrated[[#This Row],[Population &lt;5 years]]</f>
        <v>6.3577843121672101E-4</v>
      </c>
      <c r="AF223" s="67">
        <f>Integrated[[#This Row],[Flu Deaths 5 to 14 years]]/Integrated[[#This Row],[Population 5 to 14 years]]</f>
        <v>1.3642347666135372E-4</v>
      </c>
      <c r="AG223" s="67">
        <f>Integrated[[#This Row],[Flu Deaths 15 to 24 years]]/Integrated[[#This Row],[Population 15 to 24 years]]</f>
        <v>1.2126748778230061E-4</v>
      </c>
      <c r="AH223" s="67">
        <f>Integrated[[#This Row],[Flu Deaths 25 to 34 years]]/Integrated[[#This Row],[Population 25 to 34 years]]</f>
        <v>1.3679453916199666E-4</v>
      </c>
      <c r="AI223" s="67">
        <f>Integrated[[#This Row],[Flu Deaths 35 to 44 years]]/Integrated[[#This Row],[Population 35 to 44 years]]</f>
        <v>1.3637138473776919E-4</v>
      </c>
      <c r="AJ223" s="67">
        <f>Integrated[[#This Row],[Flu Deaths 45 to 54 years]]/Integrated[[#This Row],[Population 45 to 54 years]]</f>
        <v>1.0982071767839003E-4</v>
      </c>
      <c r="AK223" s="67">
        <f>Integrated[[#This Row],[Flu Deaths 55 to 64 years]]/Integrated[[#This Row],[Population 55 to 64 years]]</f>
        <v>1.2272598968283513E-4</v>
      </c>
      <c r="AL223" s="67">
        <f>Integrated[[#This Row],[Flu Deaths 65 to 74 years]]/Integrated[[#This Row],[Population 65 to 74 years]]</f>
        <v>1.976720817835293E-4</v>
      </c>
      <c r="AM223" s="67">
        <f>Integrated[[#This Row],[Flu Deaths 75 to 84 years]]/Integrated[[#This Row],[Population 75 to 84 years]]</f>
        <v>7.1870412118457184E-4</v>
      </c>
      <c r="AN223" s="67">
        <f>Integrated[[#This Row],[Flu Deaths 85+ years]]/Integrated[[#This Row],[Population 85+ years]]</f>
        <v>3.5154013511966105E-3</v>
      </c>
      <c r="AO223" s="68">
        <f>Integrated[[#This Row],[Total Flu Deaths]]/Integrated[[#This Row],[Total population]]</f>
        <v>2.8535043206625481E-4</v>
      </c>
    </row>
    <row r="224" spans="1:41" x14ac:dyDescent="0.3">
      <c r="A224" s="44" t="s">
        <v>464</v>
      </c>
      <c r="B224" t="s">
        <v>448</v>
      </c>
      <c r="C224" s="45">
        <v>2015</v>
      </c>
      <c r="D224" s="51">
        <v>5150296</v>
      </c>
      <c r="E224" s="2">
        <v>2580332</v>
      </c>
      <c r="F224" s="2">
        <v>2569968</v>
      </c>
      <c r="G224" s="78">
        <f>Integrated[[#This Row],[Female Total population]]/Integrated[[#This Row],[Total population]]</f>
        <v>0.49899423256449726</v>
      </c>
      <c r="H224" s="2">
        <v>332047</v>
      </c>
      <c r="I224" s="2">
        <v>693067</v>
      </c>
      <c r="J224" s="2">
        <v>698082</v>
      </c>
      <c r="K224" s="2">
        <v>766399</v>
      </c>
      <c r="L224" s="2">
        <v>704918</v>
      </c>
      <c r="M224" s="2">
        <v>703313</v>
      </c>
      <c r="N224" s="2">
        <v>630208</v>
      </c>
      <c r="O224" s="2">
        <v>368552</v>
      </c>
      <c r="P224" s="2">
        <v>179903</v>
      </c>
      <c r="Q224" s="52">
        <v>74327</v>
      </c>
      <c r="R224" s="127">
        <f>Integrated[[#This Row],[Population 85+ years]]/Integrated[[#This Row],[Total population]]</f>
        <v>1.443159771787874E-2</v>
      </c>
      <c r="S224" s="58">
        <v>120</v>
      </c>
      <c r="T224" s="59">
        <v>60</v>
      </c>
      <c r="U224" s="59">
        <v>60</v>
      </c>
      <c r="V224" s="59">
        <v>60</v>
      </c>
      <c r="W224" s="59">
        <v>60</v>
      </c>
      <c r="X224" s="59">
        <v>60</v>
      </c>
      <c r="Y224" s="59">
        <v>60</v>
      </c>
      <c r="Z224" s="59">
        <v>71</v>
      </c>
      <c r="AA224" s="59">
        <v>147</v>
      </c>
      <c r="AB224" s="59">
        <v>307</v>
      </c>
      <c r="AC224" s="59">
        <f>VLOOKUP($A224,'[1]Flu Deaths Updated'!$A$2:$N$460,14,FALSE)</f>
        <v>60</v>
      </c>
      <c r="AD224" s="60">
        <f t="shared" si="3"/>
        <v>1065</v>
      </c>
      <c r="AE224" s="66">
        <f>Integrated[[#This Row],[Flu Deaths &lt;5 years old]]/Integrated[[#This Row],[Population &lt;5 years]]</f>
        <v>3.6139462184570255E-4</v>
      </c>
      <c r="AF224" s="67">
        <f>Integrated[[#This Row],[Flu Deaths 5 to 14 years]]/Integrated[[#This Row],[Population 5 to 14 years]]</f>
        <v>8.6571716731571413E-5</v>
      </c>
      <c r="AG224" s="67">
        <f>Integrated[[#This Row],[Flu Deaths 15 to 24 years]]/Integrated[[#This Row],[Population 15 to 24 years]]</f>
        <v>8.5949788133772248E-5</v>
      </c>
      <c r="AH224" s="67">
        <f>Integrated[[#This Row],[Flu Deaths 25 to 34 years]]/Integrated[[#This Row],[Population 25 to 34 years]]</f>
        <v>7.828820235934546E-5</v>
      </c>
      <c r="AI224" s="67">
        <f>Integrated[[#This Row],[Flu Deaths 35 to 44 years]]/Integrated[[#This Row],[Population 35 to 44 years]]</f>
        <v>8.5116283028664324E-5</v>
      </c>
      <c r="AJ224" s="67">
        <f>Integrated[[#This Row],[Flu Deaths 45 to 54 years]]/Integrated[[#This Row],[Population 45 to 54 years]]</f>
        <v>8.5310523195220337E-5</v>
      </c>
      <c r="AK224" s="67">
        <f>Integrated[[#This Row],[Flu Deaths 55 to 64 years]]/Integrated[[#This Row],[Population 55 to 64 years]]</f>
        <v>9.5206661927490612E-5</v>
      </c>
      <c r="AL224" s="67">
        <f>Integrated[[#This Row],[Flu Deaths 65 to 74 years]]/Integrated[[#This Row],[Population 65 to 74 years]]</f>
        <v>1.9264581388786387E-4</v>
      </c>
      <c r="AM224" s="67">
        <f>Integrated[[#This Row],[Flu Deaths 75 to 84 years]]/Integrated[[#This Row],[Population 75 to 84 years]]</f>
        <v>8.1710699654813986E-4</v>
      </c>
      <c r="AN224" s="67">
        <f>Integrated[[#This Row],[Flu Deaths 85+ years]]/Integrated[[#This Row],[Population 85+ years]]</f>
        <v>4.1303967602620848E-3</v>
      </c>
      <c r="AO224" s="68">
        <f>Integrated[[#This Row],[Total Flu Deaths]]/Integrated[[#This Row],[Total population]]</f>
        <v>2.0678423143058184E-4</v>
      </c>
    </row>
    <row r="225" spans="1:41" x14ac:dyDescent="0.3">
      <c r="A225" s="44" t="s">
        <v>223</v>
      </c>
      <c r="B225" t="s">
        <v>194</v>
      </c>
      <c r="C225" s="45">
        <v>2014</v>
      </c>
      <c r="D225" s="51">
        <v>2723656</v>
      </c>
      <c r="E225" s="2">
        <v>1352370</v>
      </c>
      <c r="F225" s="2">
        <v>1371294</v>
      </c>
      <c r="G225" s="78">
        <f>Integrated[[#This Row],[Female Total population]]/Integrated[[#This Row],[Total population]]</f>
        <v>0.50347547561072326</v>
      </c>
      <c r="H225" s="2">
        <v>190667</v>
      </c>
      <c r="I225" s="2">
        <v>380191</v>
      </c>
      <c r="J225" s="2">
        <v>393026</v>
      </c>
      <c r="K225" s="2">
        <v>366136</v>
      </c>
      <c r="L225" s="2">
        <v>330037</v>
      </c>
      <c r="M225" s="2">
        <v>365283</v>
      </c>
      <c r="N225" s="2">
        <v>331045</v>
      </c>
      <c r="O225" s="2">
        <v>194625</v>
      </c>
      <c r="P225" s="2">
        <v>117498</v>
      </c>
      <c r="Q225" s="52">
        <v>55898</v>
      </c>
      <c r="R225" s="127">
        <f>Integrated[[#This Row],[Population 85+ years]]/Integrated[[#This Row],[Total population]]</f>
        <v>2.0523149766343472E-2</v>
      </c>
      <c r="S225" s="58">
        <v>120</v>
      </c>
      <c r="T225" s="59">
        <v>60</v>
      </c>
      <c r="U225" s="59">
        <v>60</v>
      </c>
      <c r="V225" s="59">
        <v>60</v>
      </c>
      <c r="W225" s="59">
        <v>60</v>
      </c>
      <c r="X225" s="59">
        <v>60</v>
      </c>
      <c r="Y225" s="59">
        <v>67</v>
      </c>
      <c r="Z225" s="59">
        <v>71</v>
      </c>
      <c r="AA225" s="59">
        <v>140</v>
      </c>
      <c r="AB225" s="59">
        <v>307</v>
      </c>
      <c r="AC225" s="59">
        <f>VLOOKUP($A225,'[1]Flu Deaths Updated'!$A$2:$N$460,14,FALSE)</f>
        <v>60</v>
      </c>
      <c r="AD225" s="60">
        <f t="shared" si="3"/>
        <v>1065</v>
      </c>
      <c r="AE225" s="66">
        <f>Integrated[[#This Row],[Flu Deaths &lt;5 years old]]/Integrated[[#This Row],[Population &lt;5 years]]</f>
        <v>6.2936952907424986E-4</v>
      </c>
      <c r="AF225" s="67">
        <f>Integrated[[#This Row],[Flu Deaths 5 to 14 years]]/Integrated[[#This Row],[Population 5 to 14 years]]</f>
        <v>1.5781541383146891E-4</v>
      </c>
      <c r="AG225" s="67">
        <f>Integrated[[#This Row],[Flu Deaths 15 to 24 years]]/Integrated[[#This Row],[Population 15 to 24 years]]</f>
        <v>1.5266165597186955E-4</v>
      </c>
      <c r="AH225" s="67">
        <f>Integrated[[#This Row],[Flu Deaths 25 to 34 years]]/Integrated[[#This Row],[Population 25 to 34 years]]</f>
        <v>1.6387353333187669E-4</v>
      </c>
      <c r="AI225" s="67">
        <f>Integrated[[#This Row],[Flu Deaths 35 to 44 years]]/Integrated[[#This Row],[Population 35 to 44 years]]</f>
        <v>1.8179779842866103E-4</v>
      </c>
      <c r="AJ225" s="67">
        <f>Integrated[[#This Row],[Flu Deaths 45 to 54 years]]/Integrated[[#This Row],[Population 45 to 54 years]]</f>
        <v>1.6425620683141565E-4</v>
      </c>
      <c r="AK225" s="67">
        <f>Integrated[[#This Row],[Flu Deaths 55 to 64 years]]/Integrated[[#This Row],[Population 55 to 64 years]]</f>
        <v>2.0238940325333413E-4</v>
      </c>
      <c r="AL225" s="67">
        <f>Integrated[[#This Row],[Flu Deaths 65 to 74 years]]/Integrated[[#This Row],[Population 65 to 74 years]]</f>
        <v>3.6480411046885036E-4</v>
      </c>
      <c r="AM225" s="67">
        <f>Integrated[[#This Row],[Flu Deaths 75 to 84 years]]/Integrated[[#This Row],[Population 75 to 84 years]]</f>
        <v>1.1915096427173228E-3</v>
      </c>
      <c r="AN225" s="67">
        <f>Integrated[[#This Row],[Flu Deaths 85+ years]]/Integrated[[#This Row],[Population 85+ years]]</f>
        <v>5.4921464095316471E-3</v>
      </c>
      <c r="AO225" s="68">
        <f>Integrated[[#This Row],[Total Flu Deaths]]/Integrated[[#This Row],[Total population]]</f>
        <v>3.9101854272345703E-4</v>
      </c>
    </row>
    <row r="226" spans="1:41" x14ac:dyDescent="0.3">
      <c r="A226" s="44" t="s">
        <v>342</v>
      </c>
      <c r="B226" t="s">
        <v>329</v>
      </c>
      <c r="C226" s="45">
        <v>2011</v>
      </c>
      <c r="D226" s="51">
        <v>4365242</v>
      </c>
      <c r="E226" s="2">
        <v>2121009</v>
      </c>
      <c r="F226" s="2">
        <v>2244234</v>
      </c>
      <c r="G226" s="78">
        <f>Integrated[[#This Row],[Female Total population]]/Integrated[[#This Row],[Total population]]</f>
        <v>0.51411445230298802</v>
      </c>
      <c r="H226" s="2">
        <v>285672</v>
      </c>
      <c r="I226" s="2">
        <v>563223</v>
      </c>
      <c r="J226" s="2">
        <v>627574</v>
      </c>
      <c r="K226" s="2">
        <v>559978</v>
      </c>
      <c r="L226" s="2">
        <v>581644</v>
      </c>
      <c r="M226" s="2">
        <v>620266</v>
      </c>
      <c r="N226" s="2">
        <v>540372</v>
      </c>
      <c r="O226" s="2">
        <v>340619</v>
      </c>
      <c r="P226" s="2">
        <v>182660</v>
      </c>
      <c r="Q226" s="52">
        <v>63600</v>
      </c>
      <c r="R226" s="127">
        <f>Integrated[[#This Row],[Population 85+ years]]/Integrated[[#This Row],[Total population]]</f>
        <v>1.456963897992368E-2</v>
      </c>
      <c r="S226" s="58">
        <v>120</v>
      </c>
      <c r="T226" s="59">
        <v>60</v>
      </c>
      <c r="U226" s="59">
        <v>60</v>
      </c>
      <c r="V226" s="59">
        <v>60</v>
      </c>
      <c r="W226" s="59">
        <v>60</v>
      </c>
      <c r="X226" s="59">
        <v>60</v>
      </c>
      <c r="Y226" s="59">
        <v>65</v>
      </c>
      <c r="Z226" s="59">
        <v>96</v>
      </c>
      <c r="AA226" s="59">
        <v>212</v>
      </c>
      <c r="AB226" s="59">
        <v>313</v>
      </c>
      <c r="AC226" s="59">
        <f>VLOOKUP($A226,'[1]Flu Deaths Updated'!$A$2:$N$460,14,FALSE)</f>
        <v>60</v>
      </c>
      <c r="AD226" s="60">
        <f t="shared" si="3"/>
        <v>1166</v>
      </c>
      <c r="AE226" s="66">
        <f>Integrated[[#This Row],[Flu Deaths &lt;5 years old]]/Integrated[[#This Row],[Population &lt;5 years]]</f>
        <v>4.2006216920104176E-4</v>
      </c>
      <c r="AF226" s="67">
        <f>Integrated[[#This Row],[Flu Deaths 5 to 14 years]]/Integrated[[#This Row],[Population 5 to 14 years]]</f>
        <v>1.0652974044028742E-4</v>
      </c>
      <c r="AG226" s="67">
        <f>Integrated[[#This Row],[Flu Deaths 15 to 24 years]]/Integrated[[#This Row],[Population 15 to 24 years]]</f>
        <v>9.560625519859013E-5</v>
      </c>
      <c r="AH226" s="67">
        <f>Integrated[[#This Row],[Flu Deaths 25 to 34 years]]/Integrated[[#This Row],[Population 25 to 34 years]]</f>
        <v>1.0714706649189789E-4</v>
      </c>
      <c r="AI226" s="67">
        <f>Integrated[[#This Row],[Flu Deaths 35 to 44 years]]/Integrated[[#This Row],[Population 35 to 44 years]]</f>
        <v>1.0315588229226125E-4</v>
      </c>
      <c r="AJ226" s="67">
        <f>Integrated[[#This Row],[Flu Deaths 45 to 54 years]]/Integrated[[#This Row],[Population 45 to 54 years]]</f>
        <v>9.6732692103065459E-5</v>
      </c>
      <c r="AK226" s="67">
        <f>Integrated[[#This Row],[Flu Deaths 55 to 64 years]]/Integrated[[#This Row],[Population 55 to 64 years]]</f>
        <v>1.2028750564425988E-4</v>
      </c>
      <c r="AL226" s="67">
        <f>Integrated[[#This Row],[Flu Deaths 65 to 74 years]]/Integrated[[#This Row],[Population 65 to 74 years]]</f>
        <v>2.8183982690337296E-4</v>
      </c>
      <c r="AM226" s="67">
        <f>Integrated[[#This Row],[Flu Deaths 75 to 84 years]]/Integrated[[#This Row],[Population 75 to 84 years]]</f>
        <v>1.1606263002299354E-3</v>
      </c>
      <c r="AN226" s="67">
        <f>Integrated[[#This Row],[Flu Deaths 85+ years]]/Integrated[[#This Row],[Population 85+ years]]</f>
        <v>4.9213836477987423E-3</v>
      </c>
      <c r="AO226" s="68">
        <f>Integrated[[#This Row],[Total Flu Deaths]]/Integrated[[#This Row],[Total population]]</f>
        <v>2.6711004796526743E-4</v>
      </c>
    </row>
    <row r="227" spans="1:41" x14ac:dyDescent="0.3">
      <c r="A227" s="44" t="s">
        <v>337</v>
      </c>
      <c r="B227" t="s">
        <v>306</v>
      </c>
      <c r="C227" s="45">
        <v>2012</v>
      </c>
      <c r="D227" s="51">
        <v>4386451</v>
      </c>
      <c r="E227" s="2">
        <v>2143052</v>
      </c>
      <c r="F227" s="2">
        <v>2243401</v>
      </c>
      <c r="G227" s="78">
        <f>Integrated[[#This Row],[Female Total population]]/Integrated[[#This Row],[Total population]]</f>
        <v>0.51143874626662877</v>
      </c>
      <c r="H227" s="2">
        <v>302507</v>
      </c>
      <c r="I227" s="2">
        <v>594988</v>
      </c>
      <c r="J227" s="2">
        <v>643507</v>
      </c>
      <c r="K227" s="2">
        <v>602924</v>
      </c>
      <c r="L227" s="2">
        <v>552448</v>
      </c>
      <c r="M227" s="2">
        <v>627443</v>
      </c>
      <c r="N227" s="2">
        <v>520451</v>
      </c>
      <c r="O227" s="2">
        <v>304371</v>
      </c>
      <c r="P227" s="2">
        <v>173120</v>
      </c>
      <c r="Q227" s="52">
        <v>65022</v>
      </c>
      <c r="R227" s="127">
        <f>Integrated[[#This Row],[Population 85+ years]]/Integrated[[#This Row],[Total population]]</f>
        <v>1.4823373155199956E-2</v>
      </c>
      <c r="S227" s="58">
        <v>120</v>
      </c>
      <c r="T227" s="59">
        <v>60</v>
      </c>
      <c r="U227" s="59">
        <v>60</v>
      </c>
      <c r="V227" s="59">
        <v>60</v>
      </c>
      <c r="W227" s="59">
        <v>60</v>
      </c>
      <c r="X227" s="59">
        <v>60</v>
      </c>
      <c r="Y227" s="59">
        <v>67</v>
      </c>
      <c r="Z227" s="59">
        <v>108</v>
      </c>
      <c r="AA227" s="59">
        <v>214</v>
      </c>
      <c r="AB227" s="59">
        <v>313</v>
      </c>
      <c r="AC227" s="59">
        <f>VLOOKUP($A227,'[1]Flu Deaths Updated'!$A$2:$N$460,14,FALSE)</f>
        <v>60</v>
      </c>
      <c r="AD227" s="60">
        <f t="shared" si="3"/>
        <v>1182</v>
      </c>
      <c r="AE227" s="66">
        <f>Integrated[[#This Row],[Flu Deaths &lt;5 years old]]/Integrated[[#This Row],[Population &lt;5 years]]</f>
        <v>3.9668503538761084E-4</v>
      </c>
      <c r="AF227" s="67">
        <f>Integrated[[#This Row],[Flu Deaths 5 to 14 years]]/Integrated[[#This Row],[Population 5 to 14 years]]</f>
        <v>1.0084236993014985E-4</v>
      </c>
      <c r="AG227" s="67">
        <f>Integrated[[#This Row],[Flu Deaths 15 to 24 years]]/Integrated[[#This Row],[Population 15 to 24 years]]</f>
        <v>9.3239078984377787E-5</v>
      </c>
      <c r="AH227" s="67">
        <f>Integrated[[#This Row],[Flu Deaths 25 to 34 years]]/Integrated[[#This Row],[Population 25 to 34 years]]</f>
        <v>9.9515030086710763E-5</v>
      </c>
      <c r="AI227" s="67">
        <f>Integrated[[#This Row],[Flu Deaths 35 to 44 years]]/Integrated[[#This Row],[Population 35 to 44 years]]</f>
        <v>1.0860750695088044E-4</v>
      </c>
      <c r="AJ227" s="67">
        <f>Integrated[[#This Row],[Flu Deaths 45 to 54 years]]/Integrated[[#This Row],[Population 45 to 54 years]]</f>
        <v>9.5626216245937873E-5</v>
      </c>
      <c r="AK227" s="67">
        <f>Integrated[[#This Row],[Flu Deaths 55 to 64 years]]/Integrated[[#This Row],[Population 55 to 64 years]]</f>
        <v>1.2873450142280446E-4</v>
      </c>
      <c r="AL227" s="67">
        <f>Integrated[[#This Row],[Flu Deaths 65 to 74 years]]/Integrated[[#This Row],[Population 65 to 74 years]]</f>
        <v>3.548301250776191E-4</v>
      </c>
      <c r="AM227" s="67">
        <f>Integrated[[#This Row],[Flu Deaths 75 to 84 years]]/Integrated[[#This Row],[Population 75 to 84 years]]</f>
        <v>1.2361367837338262E-3</v>
      </c>
      <c r="AN227" s="67">
        <f>Integrated[[#This Row],[Flu Deaths 85+ years]]/Integrated[[#This Row],[Population 85+ years]]</f>
        <v>4.8137553443449912E-3</v>
      </c>
      <c r="AO227" s="68">
        <f>Integrated[[#This Row],[Total Flu Deaths]]/Integrated[[#This Row],[Total population]]</f>
        <v>2.6946613560712291E-4</v>
      </c>
    </row>
    <row r="228" spans="1:41" x14ac:dyDescent="0.3">
      <c r="A228" s="44" t="s">
        <v>301</v>
      </c>
      <c r="B228" t="s">
        <v>260</v>
      </c>
      <c r="C228" s="45">
        <v>2012</v>
      </c>
      <c r="D228" s="51">
        <v>3572213</v>
      </c>
      <c r="E228" s="2">
        <v>1739522</v>
      </c>
      <c r="F228" s="2">
        <v>1832691</v>
      </c>
      <c r="G228" s="78">
        <f>Integrated[[#This Row],[Female Total population]]/Integrated[[#This Row],[Total population]]</f>
        <v>0.51304079571962813</v>
      </c>
      <c r="H228" s="2">
        <v>199324</v>
      </c>
      <c r="I228" s="2">
        <v>458927</v>
      </c>
      <c r="J228" s="2">
        <v>479186</v>
      </c>
      <c r="K228" s="2">
        <v>420892</v>
      </c>
      <c r="L228" s="2">
        <v>485122</v>
      </c>
      <c r="M228" s="2">
        <v>569394</v>
      </c>
      <c r="N228" s="2">
        <v>444162</v>
      </c>
      <c r="O228" s="2">
        <v>258424</v>
      </c>
      <c r="P228" s="2">
        <v>167116</v>
      </c>
      <c r="Q228" s="52">
        <v>84752</v>
      </c>
      <c r="R228" s="127">
        <f>Integrated[[#This Row],[Population 85+ years]]/Integrated[[#This Row],[Total population]]</f>
        <v>2.3725348964353469E-2</v>
      </c>
      <c r="S228" s="58">
        <v>120</v>
      </c>
      <c r="T228" s="59">
        <v>60</v>
      </c>
      <c r="U228" s="59">
        <v>60</v>
      </c>
      <c r="V228" s="59">
        <v>60</v>
      </c>
      <c r="W228" s="59">
        <v>60</v>
      </c>
      <c r="X228" s="59">
        <v>60</v>
      </c>
      <c r="Y228" s="59">
        <v>60</v>
      </c>
      <c r="Z228" s="59">
        <v>60</v>
      </c>
      <c r="AA228" s="59">
        <v>133</v>
      </c>
      <c r="AB228" s="59">
        <v>317</v>
      </c>
      <c r="AC228" s="59">
        <f>VLOOKUP($A228,'[1]Flu Deaths Updated'!$A$2:$N$460,14,FALSE)</f>
        <v>60</v>
      </c>
      <c r="AD228" s="60">
        <f t="shared" si="3"/>
        <v>1050</v>
      </c>
      <c r="AE228" s="66">
        <f>Integrated[[#This Row],[Flu Deaths &lt;5 years old]]/Integrated[[#This Row],[Population &lt;5 years]]</f>
        <v>6.0203487788725897E-4</v>
      </c>
      <c r="AF228" s="67">
        <f>Integrated[[#This Row],[Flu Deaths 5 to 14 years]]/Integrated[[#This Row],[Population 5 to 14 years]]</f>
        <v>1.307397472800685E-4</v>
      </c>
      <c r="AG228" s="67">
        <f>Integrated[[#This Row],[Flu Deaths 15 to 24 years]]/Integrated[[#This Row],[Population 15 to 24 years]]</f>
        <v>1.2521233925865947E-4</v>
      </c>
      <c r="AH228" s="67">
        <f>Integrated[[#This Row],[Flu Deaths 25 to 34 years]]/Integrated[[#This Row],[Population 25 to 34 years]]</f>
        <v>1.4255438449768586E-4</v>
      </c>
      <c r="AI228" s="67">
        <f>Integrated[[#This Row],[Flu Deaths 35 to 44 years]]/Integrated[[#This Row],[Population 35 to 44 years]]</f>
        <v>1.2368022889087694E-4</v>
      </c>
      <c r="AJ228" s="67">
        <f>Integrated[[#This Row],[Flu Deaths 45 to 54 years]]/Integrated[[#This Row],[Population 45 to 54 years]]</f>
        <v>1.0537518835814919E-4</v>
      </c>
      <c r="AK228" s="67">
        <f>Integrated[[#This Row],[Flu Deaths 55 to 64 years]]/Integrated[[#This Row],[Population 55 to 64 years]]</f>
        <v>1.3508584705580396E-4</v>
      </c>
      <c r="AL228" s="67">
        <f>Integrated[[#This Row],[Flu Deaths 65 to 74 years]]/Integrated[[#This Row],[Population 65 to 74 years]]</f>
        <v>2.3217657802680866E-4</v>
      </c>
      <c r="AM228" s="67">
        <f>Integrated[[#This Row],[Flu Deaths 75 to 84 years]]/Integrated[[#This Row],[Population 75 to 84 years]]</f>
        <v>7.9585437660068458E-4</v>
      </c>
      <c r="AN228" s="67">
        <f>Integrated[[#This Row],[Flu Deaths 85+ years]]/Integrated[[#This Row],[Population 85+ years]]</f>
        <v>3.7403247121011894E-3</v>
      </c>
      <c r="AO228" s="68">
        <f>Integrated[[#This Row],[Total Flu Deaths]]/Integrated[[#This Row],[Total population]]</f>
        <v>2.9393544001995401E-4</v>
      </c>
    </row>
    <row r="229" spans="1:41" x14ac:dyDescent="0.3">
      <c r="A229" s="44" t="s">
        <v>277</v>
      </c>
      <c r="B229" t="s">
        <v>246</v>
      </c>
      <c r="C229" s="45">
        <v>2016</v>
      </c>
      <c r="D229" s="51">
        <v>4058257</v>
      </c>
      <c r="E229" s="2">
        <v>2000439</v>
      </c>
      <c r="F229" s="2">
        <v>2057827</v>
      </c>
      <c r="G229" s="78">
        <f>Integrated[[#This Row],[Female Total population]]/Integrated[[#This Row],[Total population]]</f>
        <v>0.50707163198387883</v>
      </c>
      <c r="H229" s="2">
        <v>253045</v>
      </c>
      <c r="I229" s="2">
        <v>521875</v>
      </c>
      <c r="J229" s="2">
        <v>559110</v>
      </c>
      <c r="K229" s="2">
        <v>525585</v>
      </c>
      <c r="L229" s="2">
        <v>512970</v>
      </c>
      <c r="M229" s="2">
        <v>558226</v>
      </c>
      <c r="N229" s="2">
        <v>528625</v>
      </c>
      <c r="O229" s="2">
        <v>351703</v>
      </c>
      <c r="P229" s="2">
        <v>177484</v>
      </c>
      <c r="Q229" s="52">
        <v>70757</v>
      </c>
      <c r="R229" s="127">
        <f>Integrated[[#This Row],[Population 85+ years]]/Integrated[[#This Row],[Total population]]</f>
        <v>1.7435317674558314E-2</v>
      </c>
      <c r="S229" s="58">
        <v>120</v>
      </c>
      <c r="T229" s="59">
        <v>60</v>
      </c>
      <c r="U229" s="59">
        <v>60</v>
      </c>
      <c r="V229" s="59">
        <v>60</v>
      </c>
      <c r="W229" s="59">
        <v>60</v>
      </c>
      <c r="X229" s="59">
        <v>60</v>
      </c>
      <c r="Y229" s="59">
        <v>93</v>
      </c>
      <c r="Z229" s="59">
        <v>165</v>
      </c>
      <c r="AA229" s="59">
        <v>218</v>
      </c>
      <c r="AB229" s="59">
        <v>318</v>
      </c>
      <c r="AC229" s="59">
        <f>VLOOKUP($A229,'[1]Flu Deaths Updated'!$A$2:$N$460,14,FALSE)</f>
        <v>60</v>
      </c>
      <c r="AD229" s="60">
        <f t="shared" si="3"/>
        <v>1274</v>
      </c>
      <c r="AE229" s="66">
        <f>Integrated[[#This Row],[Flu Deaths &lt;5 years old]]/Integrated[[#This Row],[Population &lt;5 years]]</f>
        <v>4.7422395226145547E-4</v>
      </c>
      <c r="AF229" s="67">
        <f>Integrated[[#This Row],[Flu Deaths 5 to 14 years]]/Integrated[[#This Row],[Population 5 to 14 years]]</f>
        <v>1.1497005988023953E-4</v>
      </c>
      <c r="AG229" s="67">
        <f>Integrated[[#This Row],[Flu Deaths 15 to 24 years]]/Integrated[[#This Row],[Population 15 to 24 years]]</f>
        <v>1.0731340881043087E-4</v>
      </c>
      <c r="AH229" s="67">
        <f>Integrated[[#This Row],[Flu Deaths 25 to 34 years]]/Integrated[[#This Row],[Population 25 to 34 years]]</f>
        <v>1.1415850908987129E-4</v>
      </c>
      <c r="AI229" s="67">
        <f>Integrated[[#This Row],[Flu Deaths 35 to 44 years]]/Integrated[[#This Row],[Population 35 to 44 years]]</f>
        <v>1.1696590443885607E-4</v>
      </c>
      <c r="AJ229" s="67">
        <f>Integrated[[#This Row],[Flu Deaths 45 to 54 years]]/Integrated[[#This Row],[Population 45 to 54 years]]</f>
        <v>1.0748334903784489E-4</v>
      </c>
      <c r="AK229" s="67">
        <f>Integrated[[#This Row],[Flu Deaths 55 to 64 years]]/Integrated[[#This Row],[Population 55 to 64 years]]</f>
        <v>1.759281153937101E-4</v>
      </c>
      <c r="AL229" s="67">
        <f>Integrated[[#This Row],[Flu Deaths 65 to 74 years]]/Integrated[[#This Row],[Population 65 to 74 years]]</f>
        <v>4.6914584180402213E-4</v>
      </c>
      <c r="AM229" s="67">
        <f>Integrated[[#This Row],[Flu Deaths 75 to 84 years]]/Integrated[[#This Row],[Population 75 to 84 years]]</f>
        <v>1.2282797322575557E-3</v>
      </c>
      <c r="AN229" s="67">
        <f>Integrated[[#This Row],[Flu Deaths 85+ years]]/Integrated[[#This Row],[Population 85+ years]]</f>
        <v>4.4942549853724716E-3</v>
      </c>
      <c r="AO229" s="68">
        <f>Integrated[[#This Row],[Total Flu Deaths]]/Integrated[[#This Row],[Total population]]</f>
        <v>3.1392787593294361E-4</v>
      </c>
    </row>
    <row r="230" spans="1:41" x14ac:dyDescent="0.3">
      <c r="A230" s="44" t="s">
        <v>237</v>
      </c>
      <c r="B230" t="s">
        <v>197</v>
      </c>
      <c r="C230" s="45">
        <v>2010</v>
      </c>
      <c r="D230" s="51">
        <v>2898743</v>
      </c>
      <c r="E230" s="2">
        <v>1430884</v>
      </c>
      <c r="F230" s="2">
        <v>1467862</v>
      </c>
      <c r="G230" s="78">
        <f>Integrated[[#This Row],[Female Total population]]/Integrated[[#This Row],[Total population]]</f>
        <v>0.50637879936234431</v>
      </c>
      <c r="H230" s="2">
        <v>190416</v>
      </c>
      <c r="I230" s="2">
        <v>382923</v>
      </c>
      <c r="J230" s="2">
        <v>421368</v>
      </c>
      <c r="K230" s="2">
        <v>356488</v>
      </c>
      <c r="L230" s="2">
        <v>364683</v>
      </c>
      <c r="M230" s="2">
        <v>422285</v>
      </c>
      <c r="N230" s="2">
        <v>335732</v>
      </c>
      <c r="O230" s="2">
        <v>208174</v>
      </c>
      <c r="P230" s="2">
        <v>150148</v>
      </c>
      <c r="Q230" s="52">
        <v>67506</v>
      </c>
      <c r="R230" s="127">
        <f>Integrated[[#This Row],[Population 85+ years]]/Integrated[[#This Row],[Total population]]</f>
        <v>2.3288025188849096E-2</v>
      </c>
      <c r="S230" s="58">
        <v>120</v>
      </c>
      <c r="T230" s="59">
        <v>60</v>
      </c>
      <c r="U230" s="59">
        <v>60</v>
      </c>
      <c r="V230" s="59">
        <v>60</v>
      </c>
      <c r="W230" s="59">
        <v>60</v>
      </c>
      <c r="X230" s="59">
        <v>60</v>
      </c>
      <c r="Y230" s="59">
        <v>60</v>
      </c>
      <c r="Z230" s="59">
        <v>65</v>
      </c>
      <c r="AA230" s="59">
        <v>130</v>
      </c>
      <c r="AB230" s="59">
        <v>319</v>
      </c>
      <c r="AC230" s="59">
        <f>VLOOKUP($A230,'[1]Flu Deaths Updated'!$A$2:$N$460,14,FALSE)</f>
        <v>60</v>
      </c>
      <c r="AD230" s="60">
        <f t="shared" si="3"/>
        <v>1054</v>
      </c>
      <c r="AE230" s="66">
        <f>Integrated[[#This Row],[Flu Deaths &lt;5 years old]]/Integrated[[#This Row],[Population &lt;5 years]]</f>
        <v>6.3019914292916559E-4</v>
      </c>
      <c r="AF230" s="67">
        <f>Integrated[[#This Row],[Flu Deaths 5 to 14 years]]/Integrated[[#This Row],[Population 5 to 14 years]]</f>
        <v>1.5668946498382182E-4</v>
      </c>
      <c r="AG230" s="67">
        <f>Integrated[[#This Row],[Flu Deaths 15 to 24 years]]/Integrated[[#This Row],[Population 15 to 24 years]]</f>
        <v>1.4239334738281028E-4</v>
      </c>
      <c r="AH230" s="67">
        <f>Integrated[[#This Row],[Flu Deaths 25 to 34 years]]/Integrated[[#This Row],[Population 25 to 34 years]]</f>
        <v>1.6830861066852181E-4</v>
      </c>
      <c r="AI230" s="67">
        <f>Integrated[[#This Row],[Flu Deaths 35 to 44 years]]/Integrated[[#This Row],[Population 35 to 44 years]]</f>
        <v>1.6452645174027856E-4</v>
      </c>
      <c r="AJ230" s="67">
        <f>Integrated[[#This Row],[Flu Deaths 45 to 54 years]]/Integrated[[#This Row],[Population 45 to 54 years]]</f>
        <v>1.4208413749008372E-4</v>
      </c>
      <c r="AK230" s="67">
        <f>Integrated[[#This Row],[Flu Deaths 55 to 64 years]]/Integrated[[#This Row],[Population 55 to 64 years]]</f>
        <v>1.7871397424135918E-4</v>
      </c>
      <c r="AL230" s="67">
        <f>Integrated[[#This Row],[Flu Deaths 65 to 74 years]]/Integrated[[#This Row],[Population 65 to 74 years]]</f>
        <v>3.1223880023441926E-4</v>
      </c>
      <c r="AM230" s="67">
        <f>Integrated[[#This Row],[Flu Deaths 75 to 84 years]]/Integrated[[#This Row],[Population 75 to 84 years]]</f>
        <v>8.6581239843354558E-4</v>
      </c>
      <c r="AN230" s="67">
        <f>Integrated[[#This Row],[Flu Deaths 85+ years]]/Integrated[[#This Row],[Population 85+ years]]</f>
        <v>4.7255058809587292E-3</v>
      </c>
      <c r="AO230" s="68">
        <f>Integrated[[#This Row],[Total Flu Deaths]]/Integrated[[#This Row],[Total population]]</f>
        <v>3.6360588020393667E-4</v>
      </c>
    </row>
    <row r="231" spans="1:41" x14ac:dyDescent="0.3">
      <c r="A231" s="44" t="s">
        <v>516</v>
      </c>
      <c r="B231" t="s">
        <v>463</v>
      </c>
      <c r="C231" s="45">
        <v>2009</v>
      </c>
      <c r="D231" s="51">
        <v>6465755</v>
      </c>
      <c r="E231" s="2">
        <v>3223849</v>
      </c>
      <c r="F231" s="2">
        <v>3241906</v>
      </c>
      <c r="G231" s="78">
        <f>Integrated[[#This Row],[Female Total population]]/Integrated[[#This Row],[Total population]]</f>
        <v>0.50139635665131144</v>
      </c>
      <c r="H231" s="2">
        <v>431533</v>
      </c>
      <c r="I231" s="2">
        <v>844156</v>
      </c>
      <c r="J231" s="2">
        <v>900517</v>
      </c>
      <c r="K231" s="2">
        <v>895467</v>
      </c>
      <c r="L231" s="2">
        <v>922214</v>
      </c>
      <c r="M231" s="2">
        <v>972885</v>
      </c>
      <c r="N231" s="2">
        <v>738375</v>
      </c>
      <c r="O231" s="2">
        <v>400325</v>
      </c>
      <c r="P231" s="2">
        <v>255217</v>
      </c>
      <c r="Q231" s="52">
        <v>103099</v>
      </c>
      <c r="R231" s="127">
        <f>Integrated[[#This Row],[Population 85+ years]]/Integrated[[#This Row],[Total population]]</f>
        <v>1.5945392301440434E-2</v>
      </c>
      <c r="S231" s="58">
        <v>120</v>
      </c>
      <c r="T231" s="59">
        <v>60</v>
      </c>
      <c r="U231" s="59">
        <v>60</v>
      </c>
      <c r="V231" s="59">
        <v>60</v>
      </c>
      <c r="W231" s="59">
        <v>83</v>
      </c>
      <c r="X231" s="59">
        <v>60</v>
      </c>
      <c r="Y231" s="59">
        <v>73</v>
      </c>
      <c r="Z231" s="59">
        <v>76</v>
      </c>
      <c r="AA231" s="59">
        <v>154</v>
      </c>
      <c r="AB231" s="59">
        <v>320</v>
      </c>
      <c r="AC231" s="59">
        <f>VLOOKUP($A231,'[1]Flu Deaths Updated'!$A$2:$N$460,14,FALSE)</f>
        <v>60</v>
      </c>
      <c r="AD231" s="60">
        <f t="shared" si="3"/>
        <v>1126</v>
      </c>
      <c r="AE231" s="66">
        <f>Integrated[[#This Row],[Flu Deaths &lt;5 years old]]/Integrated[[#This Row],[Population &lt;5 years]]</f>
        <v>2.7807838566227844E-4</v>
      </c>
      <c r="AF231" s="67">
        <f>Integrated[[#This Row],[Flu Deaths 5 to 14 years]]/Integrated[[#This Row],[Population 5 to 14 years]]</f>
        <v>7.1076909955032015E-5</v>
      </c>
      <c r="AG231" s="67">
        <f>Integrated[[#This Row],[Flu Deaths 15 to 24 years]]/Integrated[[#This Row],[Population 15 to 24 years]]</f>
        <v>6.6628392356835023E-5</v>
      </c>
      <c r="AH231" s="67">
        <f>Integrated[[#This Row],[Flu Deaths 25 to 34 years]]/Integrated[[#This Row],[Population 25 to 34 years]]</f>
        <v>6.7004144206319165E-5</v>
      </c>
      <c r="AI231" s="67">
        <f>Integrated[[#This Row],[Flu Deaths 35 to 44 years]]/Integrated[[#This Row],[Population 35 to 44 years]]</f>
        <v>6.5060821024187442E-5</v>
      </c>
      <c r="AJ231" s="67">
        <f>Integrated[[#This Row],[Flu Deaths 45 to 54 years]]/Integrated[[#This Row],[Population 45 to 54 years]]</f>
        <v>8.5313269296987827E-5</v>
      </c>
      <c r="AK231" s="67">
        <f>Integrated[[#This Row],[Flu Deaths 55 to 64 years]]/Integrated[[#This Row],[Population 55 to 64 years]]</f>
        <v>9.8865752497037416E-5</v>
      </c>
      <c r="AL231" s="67">
        <f>Integrated[[#This Row],[Flu Deaths 65 to 74 years]]/Integrated[[#This Row],[Population 65 to 74 years]]</f>
        <v>1.8984575032785861E-4</v>
      </c>
      <c r="AM231" s="67">
        <f>Integrated[[#This Row],[Flu Deaths 75 to 84 years]]/Integrated[[#This Row],[Population 75 to 84 years]]</f>
        <v>6.0340808018274645E-4</v>
      </c>
      <c r="AN231" s="67">
        <f>Integrated[[#This Row],[Flu Deaths 85+ years]]/Integrated[[#This Row],[Population 85+ years]]</f>
        <v>3.1038128400857428E-3</v>
      </c>
      <c r="AO231" s="68">
        <f>Integrated[[#This Row],[Total Flu Deaths]]/Integrated[[#This Row],[Total population]]</f>
        <v>1.7414826265455465E-4</v>
      </c>
    </row>
    <row r="232" spans="1:41" x14ac:dyDescent="0.3">
      <c r="A232" s="44" t="s">
        <v>507</v>
      </c>
      <c r="B232" t="s">
        <v>445</v>
      </c>
      <c r="C232" s="45">
        <v>2015</v>
      </c>
      <c r="D232" s="51">
        <v>6522731</v>
      </c>
      <c r="E232" s="2">
        <v>3240859</v>
      </c>
      <c r="F232" s="2">
        <v>3281872</v>
      </c>
      <c r="G232" s="78">
        <f>Integrated[[#This Row],[Female Total population]]/Integrated[[#This Row],[Total population]]</f>
        <v>0.5031438518620498</v>
      </c>
      <c r="H232" s="2">
        <v>424864</v>
      </c>
      <c r="I232" s="2">
        <v>892858</v>
      </c>
      <c r="J232" s="2">
        <v>916354</v>
      </c>
      <c r="K232" s="2">
        <v>874012</v>
      </c>
      <c r="L232" s="2">
        <v>823300</v>
      </c>
      <c r="M232" s="2">
        <v>824496</v>
      </c>
      <c r="N232" s="2">
        <v>767772</v>
      </c>
      <c r="O232" s="2">
        <v>581240</v>
      </c>
      <c r="P232" s="2">
        <v>309307</v>
      </c>
      <c r="Q232" s="52">
        <v>119069</v>
      </c>
      <c r="R232" s="127">
        <f>Integrated[[#This Row],[Population 85+ years]]/Integrated[[#This Row],[Total population]]</f>
        <v>1.8254470405110988E-2</v>
      </c>
      <c r="S232" s="58">
        <v>120</v>
      </c>
      <c r="T232" s="59">
        <v>60</v>
      </c>
      <c r="U232" s="59">
        <v>60</v>
      </c>
      <c r="V232" s="59">
        <v>60</v>
      </c>
      <c r="W232" s="59">
        <v>60</v>
      </c>
      <c r="X232" s="59">
        <v>60</v>
      </c>
      <c r="Y232" s="59">
        <v>67</v>
      </c>
      <c r="Z232" s="59">
        <v>107</v>
      </c>
      <c r="AA232" s="59">
        <v>208</v>
      </c>
      <c r="AB232" s="59">
        <v>321</v>
      </c>
      <c r="AC232" s="59">
        <f>VLOOKUP($A232,'[1]Flu Deaths Updated'!$A$2:$N$460,14,FALSE)</f>
        <v>60</v>
      </c>
      <c r="AD232" s="60">
        <f t="shared" si="3"/>
        <v>1183</v>
      </c>
      <c r="AE232" s="66">
        <f>Integrated[[#This Row],[Flu Deaths &lt;5 years old]]/Integrated[[#This Row],[Population &lt;5 years]]</f>
        <v>2.8244332303984336E-4</v>
      </c>
      <c r="AF232" s="67">
        <f>Integrated[[#This Row],[Flu Deaths 5 to 14 years]]/Integrated[[#This Row],[Population 5 to 14 years]]</f>
        <v>6.7199935488061925E-5</v>
      </c>
      <c r="AG232" s="67">
        <f>Integrated[[#This Row],[Flu Deaths 15 to 24 years]]/Integrated[[#This Row],[Population 15 to 24 years]]</f>
        <v>6.5476879022735753E-5</v>
      </c>
      <c r="AH232" s="67">
        <f>Integrated[[#This Row],[Flu Deaths 25 to 34 years]]/Integrated[[#This Row],[Population 25 to 34 years]]</f>
        <v>6.8648943035107073E-5</v>
      </c>
      <c r="AI232" s="67">
        <f>Integrated[[#This Row],[Flu Deaths 35 to 44 years]]/Integrated[[#This Row],[Population 35 to 44 years]]</f>
        <v>7.2877444430948627E-5</v>
      </c>
      <c r="AJ232" s="67">
        <f>Integrated[[#This Row],[Flu Deaths 45 to 54 years]]/Integrated[[#This Row],[Population 45 to 54 years]]</f>
        <v>7.2771729638470043E-5</v>
      </c>
      <c r="AK232" s="67">
        <f>Integrated[[#This Row],[Flu Deaths 55 to 64 years]]/Integrated[[#This Row],[Population 55 to 64 years]]</f>
        <v>8.7265490275758955E-5</v>
      </c>
      <c r="AL232" s="67">
        <f>Integrated[[#This Row],[Flu Deaths 65 to 74 years]]/Integrated[[#This Row],[Population 65 to 74 years]]</f>
        <v>1.8408918863120226E-4</v>
      </c>
      <c r="AM232" s="67">
        <f>Integrated[[#This Row],[Flu Deaths 75 to 84 years]]/Integrated[[#This Row],[Population 75 to 84 years]]</f>
        <v>6.7247104009931884E-4</v>
      </c>
      <c r="AN232" s="67">
        <f>Integrated[[#This Row],[Flu Deaths 85+ years]]/Integrated[[#This Row],[Population 85+ years]]</f>
        <v>2.6959158135198918E-3</v>
      </c>
      <c r="AO232" s="68">
        <f>Integrated[[#This Row],[Total Flu Deaths]]/Integrated[[#This Row],[Total population]]</f>
        <v>1.8136575002096516E-4</v>
      </c>
    </row>
    <row r="233" spans="1:41" x14ac:dyDescent="0.3">
      <c r="A233" s="44" t="s">
        <v>228</v>
      </c>
      <c r="B233" t="s">
        <v>194</v>
      </c>
      <c r="C233" s="45">
        <v>2009</v>
      </c>
      <c r="D233" s="51">
        <v>2765788</v>
      </c>
      <c r="E233" s="2">
        <v>1370683</v>
      </c>
      <c r="F233" s="2">
        <v>1395109</v>
      </c>
      <c r="G233" s="78">
        <f>Integrated[[#This Row],[Female Total population]]/Integrated[[#This Row],[Total population]]</f>
        <v>0.50441646286700215</v>
      </c>
      <c r="H233" s="2">
        <v>198244</v>
      </c>
      <c r="I233" s="2">
        <v>379092</v>
      </c>
      <c r="J233" s="2">
        <v>421184</v>
      </c>
      <c r="K233" s="2">
        <v>354421</v>
      </c>
      <c r="L233" s="2">
        <v>361546</v>
      </c>
      <c r="M233" s="2">
        <v>400867</v>
      </c>
      <c r="N233" s="2">
        <v>292977</v>
      </c>
      <c r="O233" s="2">
        <v>174466</v>
      </c>
      <c r="P233" s="2">
        <v>125596</v>
      </c>
      <c r="Q233" s="52">
        <v>57536</v>
      </c>
      <c r="R233" s="127">
        <f>Integrated[[#This Row],[Population 85+ years]]/Integrated[[#This Row],[Total population]]</f>
        <v>2.080275133162773E-2</v>
      </c>
      <c r="S233" s="58">
        <v>120</v>
      </c>
      <c r="T233" s="59">
        <v>60</v>
      </c>
      <c r="U233" s="59">
        <v>60</v>
      </c>
      <c r="V233" s="59">
        <v>60</v>
      </c>
      <c r="W233" s="59">
        <v>60</v>
      </c>
      <c r="X233" s="59">
        <v>60</v>
      </c>
      <c r="Y233" s="59">
        <v>60</v>
      </c>
      <c r="Z233" s="59">
        <v>60</v>
      </c>
      <c r="AA233" s="59">
        <v>137</v>
      </c>
      <c r="AB233" s="59">
        <v>322</v>
      </c>
      <c r="AC233" s="59">
        <f>VLOOKUP($A233,'[1]Flu Deaths Updated'!$A$2:$N$460,14,FALSE)</f>
        <v>60</v>
      </c>
      <c r="AD233" s="60">
        <f t="shared" si="3"/>
        <v>1059</v>
      </c>
      <c r="AE233" s="66">
        <f>Integrated[[#This Row],[Flu Deaths &lt;5 years old]]/Integrated[[#This Row],[Population &lt;5 years]]</f>
        <v>6.0531466273884712E-4</v>
      </c>
      <c r="AF233" s="67">
        <f>Integrated[[#This Row],[Flu Deaths 5 to 14 years]]/Integrated[[#This Row],[Population 5 to 14 years]]</f>
        <v>1.5827292583330696E-4</v>
      </c>
      <c r="AG233" s="67">
        <f>Integrated[[#This Row],[Flu Deaths 15 to 24 years]]/Integrated[[#This Row],[Population 15 to 24 years]]</f>
        <v>1.4245555386719345E-4</v>
      </c>
      <c r="AH233" s="67">
        <f>Integrated[[#This Row],[Flu Deaths 25 to 34 years]]/Integrated[[#This Row],[Population 25 to 34 years]]</f>
        <v>1.692901944297883E-4</v>
      </c>
      <c r="AI233" s="67">
        <f>Integrated[[#This Row],[Flu Deaths 35 to 44 years]]/Integrated[[#This Row],[Population 35 to 44 years]]</f>
        <v>1.659539864913455E-4</v>
      </c>
      <c r="AJ233" s="67">
        <f>Integrated[[#This Row],[Flu Deaths 45 to 54 years]]/Integrated[[#This Row],[Population 45 to 54 years]]</f>
        <v>1.4967557818428557E-4</v>
      </c>
      <c r="AK233" s="67">
        <f>Integrated[[#This Row],[Flu Deaths 55 to 64 years]]/Integrated[[#This Row],[Population 55 to 64 years]]</f>
        <v>2.0479423299439887E-4</v>
      </c>
      <c r="AL233" s="67">
        <f>Integrated[[#This Row],[Flu Deaths 65 to 74 years]]/Integrated[[#This Row],[Population 65 to 74 years]]</f>
        <v>3.4390654912705052E-4</v>
      </c>
      <c r="AM233" s="67">
        <f>Integrated[[#This Row],[Flu Deaths 75 to 84 years]]/Integrated[[#This Row],[Population 75 to 84 years]]</f>
        <v>1.0907990700340774E-3</v>
      </c>
      <c r="AN233" s="67">
        <f>Integrated[[#This Row],[Flu Deaths 85+ years]]/Integrated[[#This Row],[Population 85+ years]]</f>
        <v>5.596496106785317E-3</v>
      </c>
      <c r="AO233" s="68">
        <f>Integrated[[#This Row],[Total Flu Deaths]]/Integrated[[#This Row],[Total population]]</f>
        <v>3.8289268736432439E-4</v>
      </c>
    </row>
    <row r="234" spans="1:41" x14ac:dyDescent="0.3">
      <c r="A234" s="44" t="s">
        <v>125</v>
      </c>
      <c r="B234" t="s">
        <v>122</v>
      </c>
      <c r="C234" s="45">
        <v>2015</v>
      </c>
      <c r="D234" s="51">
        <v>1406214</v>
      </c>
      <c r="E234" s="2">
        <v>709829</v>
      </c>
      <c r="F234" s="2">
        <v>696385</v>
      </c>
      <c r="G234" s="78">
        <f>Integrated[[#This Row],[Female Total population]]/Integrated[[#This Row],[Total population]]</f>
        <v>0.49521978873770278</v>
      </c>
      <c r="H234" s="2">
        <v>91493</v>
      </c>
      <c r="I234" s="2">
        <v>168369</v>
      </c>
      <c r="J234" s="2">
        <v>184452</v>
      </c>
      <c r="K234" s="2">
        <v>204916</v>
      </c>
      <c r="L234" s="2">
        <v>175437</v>
      </c>
      <c r="M234" s="2">
        <v>181563</v>
      </c>
      <c r="N234" s="2">
        <v>179124</v>
      </c>
      <c r="O234" s="2">
        <v>119786</v>
      </c>
      <c r="P234" s="2">
        <v>63351</v>
      </c>
      <c r="Q234" s="52">
        <v>36782</v>
      </c>
      <c r="R234" s="127">
        <f>Integrated[[#This Row],[Population 85+ years]]/Integrated[[#This Row],[Total population]]</f>
        <v>2.6156758501906539E-2</v>
      </c>
      <c r="S234" s="58">
        <v>120</v>
      </c>
      <c r="T234" s="59">
        <v>60</v>
      </c>
      <c r="U234" s="59">
        <v>60</v>
      </c>
      <c r="V234" s="59">
        <v>60</v>
      </c>
      <c r="W234" s="59">
        <v>60</v>
      </c>
      <c r="X234" s="59">
        <v>60</v>
      </c>
      <c r="Y234" s="59">
        <v>60</v>
      </c>
      <c r="Z234" s="59">
        <v>60</v>
      </c>
      <c r="AA234" s="59">
        <v>104</v>
      </c>
      <c r="AB234" s="59">
        <v>326</v>
      </c>
      <c r="AC234" s="59">
        <f>VLOOKUP($A234,'[1]Flu Deaths Updated'!$A$2:$N$460,14,FALSE)</f>
        <v>60</v>
      </c>
      <c r="AD234" s="60">
        <f t="shared" si="3"/>
        <v>1030</v>
      </c>
      <c r="AE234" s="66">
        <f>Integrated[[#This Row],[Flu Deaths &lt;5 years old]]/Integrated[[#This Row],[Population &lt;5 years]]</f>
        <v>1.3115757489644017E-3</v>
      </c>
      <c r="AF234" s="67">
        <f>Integrated[[#This Row],[Flu Deaths 5 to 14 years]]/Integrated[[#This Row],[Population 5 to 14 years]]</f>
        <v>3.5636013755501307E-4</v>
      </c>
      <c r="AG234" s="67">
        <f>Integrated[[#This Row],[Flu Deaths 15 to 24 years]]/Integrated[[#This Row],[Population 15 to 24 years]]</f>
        <v>3.2528787977359962E-4</v>
      </c>
      <c r="AH234" s="67">
        <f>Integrated[[#This Row],[Flu Deaths 25 to 34 years]]/Integrated[[#This Row],[Population 25 to 34 years]]</f>
        <v>2.9280290460481368E-4</v>
      </c>
      <c r="AI234" s="67">
        <f>Integrated[[#This Row],[Flu Deaths 35 to 44 years]]/Integrated[[#This Row],[Population 35 to 44 years]]</f>
        <v>3.4200311222832127E-4</v>
      </c>
      <c r="AJ234" s="67">
        <f>Integrated[[#This Row],[Flu Deaths 45 to 54 years]]/Integrated[[#This Row],[Population 45 to 54 years]]</f>
        <v>3.3046380595165315E-4</v>
      </c>
      <c r="AK234" s="67">
        <f>Integrated[[#This Row],[Flu Deaths 55 to 64 years]]/Integrated[[#This Row],[Population 55 to 64 years]]</f>
        <v>3.3496348897970121E-4</v>
      </c>
      <c r="AL234" s="67">
        <f>Integrated[[#This Row],[Flu Deaths 65 to 74 years]]/Integrated[[#This Row],[Population 65 to 74 years]]</f>
        <v>5.0089325964636938E-4</v>
      </c>
      <c r="AM234" s="67">
        <f>Integrated[[#This Row],[Flu Deaths 75 to 84 years]]/Integrated[[#This Row],[Population 75 to 84 years]]</f>
        <v>1.6416473299553282E-3</v>
      </c>
      <c r="AN234" s="67">
        <f>Integrated[[#This Row],[Flu Deaths 85+ years]]/Integrated[[#This Row],[Population 85+ years]]</f>
        <v>8.8630308302974289E-3</v>
      </c>
      <c r="AO234" s="68">
        <f>Integrated[[#This Row],[Total Flu Deaths]]/Integrated[[#This Row],[Total population]]</f>
        <v>7.324631955022493E-4</v>
      </c>
    </row>
    <row r="235" spans="1:41" x14ac:dyDescent="0.3">
      <c r="A235" s="44" t="s">
        <v>249</v>
      </c>
      <c r="B235" t="s">
        <v>243</v>
      </c>
      <c r="C235" s="45">
        <v>2009</v>
      </c>
      <c r="D235" s="51">
        <v>3585543</v>
      </c>
      <c r="E235" s="2">
        <v>1769082</v>
      </c>
      <c r="F235" s="2">
        <v>1816462</v>
      </c>
      <c r="G235" s="78">
        <f>Integrated[[#This Row],[Female Total population]]/Integrated[[#This Row],[Total population]]</f>
        <v>0.5066072279707704</v>
      </c>
      <c r="H235" s="2">
        <v>258403</v>
      </c>
      <c r="I235" s="2">
        <v>484364</v>
      </c>
      <c r="J235" s="2">
        <v>535438</v>
      </c>
      <c r="K235" s="2">
        <v>477134</v>
      </c>
      <c r="L235" s="2">
        <v>461119</v>
      </c>
      <c r="M235" s="2">
        <v>500840</v>
      </c>
      <c r="N235" s="2">
        <v>391870</v>
      </c>
      <c r="O235" s="2">
        <v>252265</v>
      </c>
      <c r="P235" s="2">
        <v>164536</v>
      </c>
      <c r="Q235" s="52">
        <v>60731</v>
      </c>
      <c r="R235" s="127">
        <f>Integrated[[#This Row],[Population 85+ years]]/Integrated[[#This Row],[Total population]]</f>
        <v>1.6937741368601631E-2</v>
      </c>
      <c r="S235" s="58">
        <v>120</v>
      </c>
      <c r="T235" s="59">
        <v>60</v>
      </c>
      <c r="U235" s="59">
        <v>60</v>
      </c>
      <c r="V235" s="59">
        <v>60</v>
      </c>
      <c r="W235" s="59">
        <v>69</v>
      </c>
      <c r="X235" s="59">
        <v>60</v>
      </c>
      <c r="Y235" s="59">
        <v>72</v>
      </c>
      <c r="Z235" s="59">
        <v>103</v>
      </c>
      <c r="AA235" s="59">
        <v>234</v>
      </c>
      <c r="AB235" s="59">
        <v>326</v>
      </c>
      <c r="AC235" s="59">
        <f>VLOOKUP($A235,'[1]Flu Deaths Updated'!$A$2:$N$460,14,FALSE)</f>
        <v>60</v>
      </c>
      <c r="AD235" s="60">
        <f t="shared" si="3"/>
        <v>1224</v>
      </c>
      <c r="AE235" s="66">
        <f>Integrated[[#This Row],[Flu Deaths &lt;5 years old]]/Integrated[[#This Row],[Population &lt;5 years]]</f>
        <v>4.6439089329458247E-4</v>
      </c>
      <c r="AF235" s="67">
        <f>Integrated[[#This Row],[Flu Deaths 5 to 14 years]]/Integrated[[#This Row],[Population 5 to 14 years]]</f>
        <v>1.2387378087553989E-4</v>
      </c>
      <c r="AG235" s="67">
        <f>Integrated[[#This Row],[Flu Deaths 15 to 24 years]]/Integrated[[#This Row],[Population 15 to 24 years]]</f>
        <v>1.1205779193856245E-4</v>
      </c>
      <c r="AH235" s="67">
        <f>Integrated[[#This Row],[Flu Deaths 25 to 34 years]]/Integrated[[#This Row],[Population 25 to 34 years]]</f>
        <v>1.2575083729099163E-4</v>
      </c>
      <c r="AI235" s="67">
        <f>Integrated[[#This Row],[Flu Deaths 35 to 44 years]]/Integrated[[#This Row],[Population 35 to 44 years]]</f>
        <v>1.3011825580815363E-4</v>
      </c>
      <c r="AJ235" s="67">
        <f>Integrated[[#This Row],[Flu Deaths 45 to 54 years]]/Integrated[[#This Row],[Population 45 to 54 years]]</f>
        <v>1.3776854883795224E-4</v>
      </c>
      <c r="AK235" s="67">
        <f>Integrated[[#This Row],[Flu Deaths 55 to 64 years]]/Integrated[[#This Row],[Population 55 to 64 years]]</f>
        <v>1.8373440171485443E-4</v>
      </c>
      <c r="AL235" s="67">
        <f>Integrated[[#This Row],[Flu Deaths 65 to 74 years]]/Integrated[[#This Row],[Population 65 to 74 years]]</f>
        <v>4.0830079479911997E-4</v>
      </c>
      <c r="AM235" s="67">
        <f>Integrated[[#This Row],[Flu Deaths 75 to 84 years]]/Integrated[[#This Row],[Population 75 to 84 years]]</f>
        <v>1.4221811640005835E-3</v>
      </c>
      <c r="AN235" s="67">
        <f>Integrated[[#This Row],[Flu Deaths 85+ years]]/Integrated[[#This Row],[Population 85+ years]]</f>
        <v>5.36793400405065E-3</v>
      </c>
      <c r="AO235" s="68">
        <f>Integrated[[#This Row],[Total Flu Deaths]]/Integrated[[#This Row],[Total population]]</f>
        <v>3.4137088859344315E-4</v>
      </c>
    </row>
    <row r="236" spans="1:41" x14ac:dyDescent="0.3">
      <c r="A236" s="44" t="s">
        <v>242</v>
      </c>
      <c r="B236" t="s">
        <v>243</v>
      </c>
      <c r="C236" s="45">
        <v>2011</v>
      </c>
      <c r="D236" s="51">
        <v>3517847</v>
      </c>
      <c r="E236" s="2">
        <v>1742948</v>
      </c>
      <c r="F236" s="2">
        <v>1774899</v>
      </c>
      <c r="G236" s="78">
        <f>Integrated[[#This Row],[Female Total population]]/Integrated[[#This Row],[Total population]]</f>
        <v>0.50454127197686538</v>
      </c>
      <c r="H236" s="2">
        <v>246654</v>
      </c>
      <c r="I236" s="2">
        <v>479211</v>
      </c>
      <c r="J236" s="2">
        <v>508525</v>
      </c>
      <c r="K236" s="2">
        <v>472200</v>
      </c>
      <c r="L236" s="2">
        <v>442994</v>
      </c>
      <c r="M236" s="2">
        <v>494279</v>
      </c>
      <c r="N236" s="2">
        <v>405725</v>
      </c>
      <c r="O236" s="2">
        <v>257064</v>
      </c>
      <c r="P236" s="2">
        <v>153593</v>
      </c>
      <c r="Q236" s="52">
        <v>56357</v>
      </c>
      <c r="R236" s="127">
        <f>Integrated[[#This Row],[Population 85+ years]]/Integrated[[#This Row],[Total population]]</f>
        <v>1.6020310149929773E-2</v>
      </c>
      <c r="S236" s="58">
        <v>120</v>
      </c>
      <c r="T236" s="59">
        <v>60</v>
      </c>
      <c r="U236" s="59">
        <v>60</v>
      </c>
      <c r="V236" s="59">
        <v>60</v>
      </c>
      <c r="W236" s="59">
        <v>60</v>
      </c>
      <c r="X236" s="59">
        <v>60</v>
      </c>
      <c r="Y236" s="59">
        <v>81</v>
      </c>
      <c r="Z236" s="59">
        <v>135</v>
      </c>
      <c r="AA236" s="59">
        <v>219</v>
      </c>
      <c r="AB236" s="59">
        <v>326</v>
      </c>
      <c r="AC236" s="59">
        <f>VLOOKUP($A236,'[1]Flu Deaths Updated'!$A$2:$N$460,14,FALSE)</f>
        <v>60</v>
      </c>
      <c r="AD236" s="60">
        <f t="shared" si="3"/>
        <v>1241</v>
      </c>
      <c r="AE236" s="66">
        <f>Integrated[[#This Row],[Flu Deaths &lt;5 years old]]/Integrated[[#This Row],[Population &lt;5 years]]</f>
        <v>4.8651146950789363E-4</v>
      </c>
      <c r="AF236" s="67">
        <f>Integrated[[#This Row],[Flu Deaths 5 to 14 years]]/Integrated[[#This Row],[Population 5 to 14 years]]</f>
        <v>1.2520580704533077E-4</v>
      </c>
      <c r="AG236" s="67">
        <f>Integrated[[#This Row],[Flu Deaths 15 to 24 years]]/Integrated[[#This Row],[Population 15 to 24 years]]</f>
        <v>1.1798829949363354E-4</v>
      </c>
      <c r="AH236" s="67">
        <f>Integrated[[#This Row],[Flu Deaths 25 to 34 years]]/Integrated[[#This Row],[Population 25 to 34 years]]</f>
        <v>1.2706480304955527E-4</v>
      </c>
      <c r="AI236" s="67">
        <f>Integrated[[#This Row],[Flu Deaths 35 to 44 years]]/Integrated[[#This Row],[Population 35 to 44 years]]</f>
        <v>1.3544201501600474E-4</v>
      </c>
      <c r="AJ236" s="67">
        <f>Integrated[[#This Row],[Flu Deaths 45 to 54 years]]/Integrated[[#This Row],[Population 45 to 54 years]]</f>
        <v>1.2138893216179526E-4</v>
      </c>
      <c r="AK236" s="67">
        <f>Integrated[[#This Row],[Flu Deaths 55 to 64 years]]/Integrated[[#This Row],[Population 55 to 64 years]]</f>
        <v>1.9964261507178507E-4</v>
      </c>
      <c r="AL236" s="67">
        <f>Integrated[[#This Row],[Flu Deaths 65 to 74 years]]/Integrated[[#This Row],[Population 65 to 74 years]]</f>
        <v>5.251610493884791E-4</v>
      </c>
      <c r="AM236" s="67">
        <f>Integrated[[#This Row],[Flu Deaths 75 to 84 years]]/Integrated[[#This Row],[Population 75 to 84 years]]</f>
        <v>1.4258462299714179E-3</v>
      </c>
      <c r="AN236" s="67">
        <f>Integrated[[#This Row],[Flu Deaths 85+ years]]/Integrated[[#This Row],[Population 85+ years]]</f>
        <v>5.7845520520964566E-3</v>
      </c>
      <c r="AO236" s="68">
        <f>Integrated[[#This Row],[Total Flu Deaths]]/Integrated[[#This Row],[Total population]]</f>
        <v>3.5277259073518549E-4</v>
      </c>
    </row>
    <row r="237" spans="1:41" x14ac:dyDescent="0.3">
      <c r="A237" s="44" t="s">
        <v>224</v>
      </c>
      <c r="B237" t="s">
        <v>197</v>
      </c>
      <c r="C237" s="45">
        <v>2017</v>
      </c>
      <c r="D237" s="51">
        <v>2661806</v>
      </c>
      <c r="E237" s="2">
        <v>1320190</v>
      </c>
      <c r="F237" s="2">
        <v>1341623</v>
      </c>
      <c r="G237" s="78">
        <f>Integrated[[#This Row],[Female Total population]]/Integrated[[#This Row],[Total population]]</f>
        <v>0.50402734083550793</v>
      </c>
      <c r="H237" s="2">
        <v>169061</v>
      </c>
      <c r="I237" s="2">
        <v>349934</v>
      </c>
      <c r="J237" s="2">
        <v>388100</v>
      </c>
      <c r="K237" s="2">
        <v>343711</v>
      </c>
      <c r="L237" s="2">
        <v>317983</v>
      </c>
      <c r="M237" s="2">
        <v>339464</v>
      </c>
      <c r="N237" s="2">
        <v>342094</v>
      </c>
      <c r="O237" s="2">
        <v>226614</v>
      </c>
      <c r="P237" s="2">
        <v>124320</v>
      </c>
      <c r="Q237" s="52">
        <v>60628</v>
      </c>
      <c r="R237" s="127">
        <f>Integrated[[#This Row],[Population 85+ years]]/Integrated[[#This Row],[Total population]]</f>
        <v>2.2777016807385662E-2</v>
      </c>
      <c r="S237" s="58">
        <v>120</v>
      </c>
      <c r="T237" s="59">
        <v>60</v>
      </c>
      <c r="U237" s="59">
        <v>60</v>
      </c>
      <c r="V237" s="59">
        <v>60</v>
      </c>
      <c r="W237" s="59">
        <v>60</v>
      </c>
      <c r="X237" s="59">
        <v>60</v>
      </c>
      <c r="Y237" s="59">
        <v>60</v>
      </c>
      <c r="Z237" s="59">
        <v>75</v>
      </c>
      <c r="AA237" s="59">
        <v>96</v>
      </c>
      <c r="AB237" s="59">
        <v>327</v>
      </c>
      <c r="AC237" s="59">
        <f>VLOOKUP($A237,'[1]Flu Deaths Updated'!$A$2:$N$460,14,FALSE)</f>
        <v>60</v>
      </c>
      <c r="AD237" s="60">
        <f t="shared" si="3"/>
        <v>1038</v>
      </c>
      <c r="AE237" s="66">
        <f>Integrated[[#This Row],[Flu Deaths &lt;5 years old]]/Integrated[[#This Row],[Population &lt;5 years]]</f>
        <v>7.0980297052543166E-4</v>
      </c>
      <c r="AF237" s="67">
        <f>Integrated[[#This Row],[Flu Deaths 5 to 14 years]]/Integrated[[#This Row],[Population 5 to 14 years]]</f>
        <v>1.7146090405619345E-4</v>
      </c>
      <c r="AG237" s="67">
        <f>Integrated[[#This Row],[Flu Deaths 15 to 24 years]]/Integrated[[#This Row],[Population 15 to 24 years]]</f>
        <v>1.5459933006956969E-4</v>
      </c>
      <c r="AH237" s="67">
        <f>Integrated[[#This Row],[Flu Deaths 25 to 34 years]]/Integrated[[#This Row],[Population 25 to 34 years]]</f>
        <v>1.7456525976765363E-4</v>
      </c>
      <c r="AI237" s="67">
        <f>Integrated[[#This Row],[Flu Deaths 35 to 44 years]]/Integrated[[#This Row],[Population 35 to 44 years]]</f>
        <v>1.8868933244859003E-4</v>
      </c>
      <c r="AJ237" s="67">
        <f>Integrated[[#This Row],[Flu Deaths 45 to 54 years]]/Integrated[[#This Row],[Population 45 to 54 years]]</f>
        <v>1.7674922819503689E-4</v>
      </c>
      <c r="AK237" s="67">
        <f>Integrated[[#This Row],[Flu Deaths 55 to 64 years]]/Integrated[[#This Row],[Population 55 to 64 years]]</f>
        <v>1.7539038977590953E-4</v>
      </c>
      <c r="AL237" s="67">
        <f>Integrated[[#This Row],[Flu Deaths 65 to 74 years]]/Integrated[[#This Row],[Population 65 to 74 years]]</f>
        <v>3.3095925229685721E-4</v>
      </c>
      <c r="AM237" s="67">
        <f>Integrated[[#This Row],[Flu Deaths 75 to 84 years]]/Integrated[[#This Row],[Population 75 to 84 years]]</f>
        <v>7.722007722007722E-4</v>
      </c>
      <c r="AN237" s="67">
        <f>Integrated[[#This Row],[Flu Deaths 85+ years]]/Integrated[[#This Row],[Population 85+ years]]</f>
        <v>5.3935475357920429E-3</v>
      </c>
      <c r="AO237" s="68">
        <f>Integrated[[#This Row],[Total Flu Deaths]]/Integrated[[#This Row],[Total population]]</f>
        <v>3.8996080105011411E-4</v>
      </c>
    </row>
    <row r="238" spans="1:41" x14ac:dyDescent="0.3">
      <c r="A238" s="44" t="s">
        <v>356</v>
      </c>
      <c r="B238" t="s">
        <v>329</v>
      </c>
      <c r="C238" s="45">
        <v>2010</v>
      </c>
      <c r="D238" s="51">
        <v>4470686</v>
      </c>
      <c r="E238" s="2">
        <v>2177484</v>
      </c>
      <c r="F238" s="2">
        <v>2293203</v>
      </c>
      <c r="G238" s="78">
        <f>Integrated[[#This Row],[Female Total population]]/Integrated[[#This Row],[Total population]]</f>
        <v>0.51294208539807984</v>
      </c>
      <c r="H238" s="2">
        <v>292993</v>
      </c>
      <c r="I238" s="2">
        <v>579001</v>
      </c>
      <c r="J238" s="2">
        <v>642558</v>
      </c>
      <c r="K238" s="2">
        <v>572747</v>
      </c>
      <c r="L238" s="2">
        <v>609414</v>
      </c>
      <c r="M238" s="2">
        <v>643053</v>
      </c>
      <c r="N238" s="2">
        <v>544014</v>
      </c>
      <c r="O238" s="2">
        <v>335844</v>
      </c>
      <c r="P238" s="2">
        <v>186491</v>
      </c>
      <c r="Q238" s="52">
        <v>65283</v>
      </c>
      <c r="R238" s="127">
        <f>Integrated[[#This Row],[Population 85+ years]]/Integrated[[#This Row],[Total population]]</f>
        <v>1.4602456983111764E-2</v>
      </c>
      <c r="S238" s="58">
        <v>120</v>
      </c>
      <c r="T238" s="59">
        <v>60</v>
      </c>
      <c r="U238" s="59">
        <v>60</v>
      </c>
      <c r="V238" s="59">
        <v>60</v>
      </c>
      <c r="W238" s="59">
        <v>60</v>
      </c>
      <c r="X238" s="59">
        <v>60</v>
      </c>
      <c r="Y238" s="59">
        <v>60</v>
      </c>
      <c r="Z238" s="59">
        <v>77</v>
      </c>
      <c r="AA238" s="59">
        <v>208</v>
      </c>
      <c r="AB238" s="59">
        <v>327</v>
      </c>
      <c r="AC238" s="59">
        <f>VLOOKUP($A238,'[1]Flu Deaths Updated'!$A$2:$N$460,14,FALSE)</f>
        <v>60</v>
      </c>
      <c r="AD238" s="60">
        <f t="shared" si="3"/>
        <v>1152</v>
      </c>
      <c r="AE238" s="66">
        <f>Integrated[[#This Row],[Flu Deaths &lt;5 years old]]/Integrated[[#This Row],[Population &lt;5 years]]</f>
        <v>4.0956609884877795E-4</v>
      </c>
      <c r="AF238" s="67">
        <f>Integrated[[#This Row],[Flu Deaths 5 to 14 years]]/Integrated[[#This Row],[Population 5 to 14 years]]</f>
        <v>1.0362676402976852E-4</v>
      </c>
      <c r="AG238" s="67">
        <f>Integrated[[#This Row],[Flu Deaths 15 to 24 years]]/Integrated[[#This Row],[Population 15 to 24 years]]</f>
        <v>9.3376784663796891E-5</v>
      </c>
      <c r="AH238" s="67">
        <f>Integrated[[#This Row],[Flu Deaths 25 to 34 years]]/Integrated[[#This Row],[Population 25 to 34 years]]</f>
        <v>1.0475829642058361E-4</v>
      </c>
      <c r="AI238" s="67">
        <f>Integrated[[#This Row],[Flu Deaths 35 to 44 years]]/Integrated[[#This Row],[Population 35 to 44 years]]</f>
        <v>9.8455237326349577E-5</v>
      </c>
      <c r="AJ238" s="67">
        <f>Integrated[[#This Row],[Flu Deaths 45 to 54 years]]/Integrated[[#This Row],[Population 45 to 54 years]]</f>
        <v>9.3304906438505065E-5</v>
      </c>
      <c r="AK238" s="67">
        <f>Integrated[[#This Row],[Flu Deaths 55 to 64 years]]/Integrated[[#This Row],[Population 55 to 64 years]]</f>
        <v>1.1029127926854823E-4</v>
      </c>
      <c r="AL238" s="67">
        <f>Integrated[[#This Row],[Flu Deaths 65 to 74 years]]/Integrated[[#This Row],[Population 65 to 74 years]]</f>
        <v>2.2927311489858386E-4</v>
      </c>
      <c r="AM238" s="67">
        <f>Integrated[[#This Row],[Flu Deaths 75 to 84 years]]/Integrated[[#This Row],[Population 75 to 84 years]]</f>
        <v>1.115335324492871E-3</v>
      </c>
      <c r="AN238" s="67">
        <f>Integrated[[#This Row],[Flu Deaths 85+ years]]/Integrated[[#This Row],[Population 85+ years]]</f>
        <v>5.0089609852488398E-3</v>
      </c>
      <c r="AO238" s="68">
        <f>Integrated[[#This Row],[Total Flu Deaths]]/Integrated[[#This Row],[Total population]]</f>
        <v>2.5767857550273044E-4</v>
      </c>
    </row>
    <row r="239" spans="1:41" x14ac:dyDescent="0.3">
      <c r="A239" s="44" t="s">
        <v>328</v>
      </c>
      <c r="B239" t="s">
        <v>329</v>
      </c>
      <c r="C239" s="45">
        <v>2015</v>
      </c>
      <c r="D239" s="51">
        <v>4561172</v>
      </c>
      <c r="E239" s="2">
        <v>2214482</v>
      </c>
      <c r="F239" s="2">
        <v>2346690</v>
      </c>
      <c r="G239" s="78">
        <f>Integrated[[#This Row],[Female Total population]]/Integrated[[#This Row],[Total population]]</f>
        <v>0.51449276633286356</v>
      </c>
      <c r="H239" s="2">
        <v>282184</v>
      </c>
      <c r="I239" s="2">
        <v>584389</v>
      </c>
      <c r="J239" s="2">
        <v>628350</v>
      </c>
      <c r="K239" s="2">
        <v>589893</v>
      </c>
      <c r="L239" s="2">
        <v>569663</v>
      </c>
      <c r="M239" s="2">
        <v>621549</v>
      </c>
      <c r="N239" s="2">
        <v>593215</v>
      </c>
      <c r="O239" s="2">
        <v>419300</v>
      </c>
      <c r="P239" s="2">
        <v>199786</v>
      </c>
      <c r="Q239" s="52">
        <v>74933</v>
      </c>
      <c r="R239" s="127">
        <f>Integrated[[#This Row],[Population 85+ years]]/Integrated[[#This Row],[Total population]]</f>
        <v>1.6428453037947266E-2</v>
      </c>
      <c r="S239" s="58">
        <v>120</v>
      </c>
      <c r="T239" s="59">
        <v>60</v>
      </c>
      <c r="U239" s="59">
        <v>60</v>
      </c>
      <c r="V239" s="59">
        <v>60</v>
      </c>
      <c r="W239" s="59">
        <v>60</v>
      </c>
      <c r="X239" s="59">
        <v>60</v>
      </c>
      <c r="Y239" s="59">
        <v>79</v>
      </c>
      <c r="Z239" s="59">
        <v>135</v>
      </c>
      <c r="AA239" s="59">
        <v>221</v>
      </c>
      <c r="AB239" s="59">
        <v>328</v>
      </c>
      <c r="AC239" s="59">
        <f>VLOOKUP($A239,'[1]Flu Deaths Updated'!$A$2:$N$460,14,FALSE)</f>
        <v>60</v>
      </c>
      <c r="AD239" s="60">
        <f t="shared" si="3"/>
        <v>1243</v>
      </c>
      <c r="AE239" s="66">
        <f>Integrated[[#This Row],[Flu Deaths &lt;5 years old]]/Integrated[[#This Row],[Population &lt;5 years]]</f>
        <v>4.2525444390893887E-4</v>
      </c>
      <c r="AF239" s="67">
        <f>Integrated[[#This Row],[Flu Deaths 5 to 14 years]]/Integrated[[#This Row],[Population 5 to 14 years]]</f>
        <v>1.026713370717108E-4</v>
      </c>
      <c r="AG239" s="67">
        <f>Integrated[[#This Row],[Flu Deaths 15 to 24 years]]/Integrated[[#This Row],[Population 15 to 24 years]]</f>
        <v>9.5488183337312011E-5</v>
      </c>
      <c r="AH239" s="67">
        <f>Integrated[[#This Row],[Flu Deaths 25 to 34 years]]/Integrated[[#This Row],[Population 25 to 34 years]]</f>
        <v>1.0171336157574339E-4</v>
      </c>
      <c r="AI239" s="67">
        <f>Integrated[[#This Row],[Flu Deaths 35 to 44 years]]/Integrated[[#This Row],[Population 35 to 44 years]]</f>
        <v>1.0532542924500977E-4</v>
      </c>
      <c r="AJ239" s="67">
        <f>Integrated[[#This Row],[Flu Deaths 45 to 54 years]]/Integrated[[#This Row],[Population 45 to 54 years]]</f>
        <v>9.6533016705038535E-5</v>
      </c>
      <c r="AK239" s="67">
        <f>Integrated[[#This Row],[Flu Deaths 55 to 64 years]]/Integrated[[#This Row],[Population 55 to 64 years]]</f>
        <v>1.3317262712507269E-4</v>
      </c>
      <c r="AL239" s="67">
        <f>Integrated[[#This Row],[Flu Deaths 65 to 74 years]]/Integrated[[#This Row],[Population 65 to 74 years]]</f>
        <v>3.2196518006200812E-4</v>
      </c>
      <c r="AM239" s="67">
        <f>Integrated[[#This Row],[Flu Deaths 75 to 84 years]]/Integrated[[#This Row],[Population 75 to 84 years]]</f>
        <v>1.1061836164696225E-3</v>
      </c>
      <c r="AN239" s="67">
        <f>Integrated[[#This Row],[Flu Deaths 85+ years]]/Integrated[[#This Row],[Population 85+ years]]</f>
        <v>4.3772436710127717E-3</v>
      </c>
      <c r="AO239" s="68">
        <f>Integrated[[#This Row],[Total Flu Deaths]]/Integrated[[#This Row],[Total population]]</f>
        <v>2.7251767747412287E-4</v>
      </c>
    </row>
    <row r="240" spans="1:41" x14ac:dyDescent="0.3">
      <c r="A240" s="44" t="s">
        <v>253</v>
      </c>
      <c r="B240" t="s">
        <v>246</v>
      </c>
      <c r="C240" s="45">
        <v>2017</v>
      </c>
      <c r="D240" s="51">
        <v>3889371</v>
      </c>
      <c r="E240" s="2">
        <v>1918374</v>
      </c>
      <c r="F240" s="2">
        <v>1971003</v>
      </c>
      <c r="G240" s="78">
        <f>Integrated[[#This Row],[Female Total population]]/Integrated[[#This Row],[Total population]]</f>
        <v>0.50676651828791852</v>
      </c>
      <c r="H240" s="2">
        <v>239286</v>
      </c>
      <c r="I240" s="2">
        <v>496508</v>
      </c>
      <c r="J240" s="2">
        <v>527608</v>
      </c>
      <c r="K240" s="2">
        <v>505233</v>
      </c>
      <c r="L240" s="2">
        <v>489153</v>
      </c>
      <c r="M240" s="2">
        <v>526728</v>
      </c>
      <c r="N240" s="2">
        <v>512723</v>
      </c>
      <c r="O240" s="2">
        <v>348768</v>
      </c>
      <c r="P240" s="2">
        <v>173666</v>
      </c>
      <c r="Q240" s="52">
        <v>69804</v>
      </c>
      <c r="R240" s="127">
        <f>Integrated[[#This Row],[Population 85+ years]]/Integrated[[#This Row],[Total population]]</f>
        <v>1.7947375038277397E-2</v>
      </c>
      <c r="S240" s="58">
        <v>120</v>
      </c>
      <c r="T240" s="59">
        <v>60</v>
      </c>
      <c r="U240" s="59">
        <v>60</v>
      </c>
      <c r="V240" s="59">
        <v>60</v>
      </c>
      <c r="W240" s="59">
        <v>60</v>
      </c>
      <c r="X240" s="59">
        <v>60</v>
      </c>
      <c r="Y240" s="59">
        <v>84</v>
      </c>
      <c r="Z240" s="59">
        <v>146</v>
      </c>
      <c r="AA240" s="59">
        <v>270</v>
      </c>
      <c r="AB240" s="59">
        <v>328</v>
      </c>
      <c r="AC240" s="59">
        <f>VLOOKUP($A240,'[1]Flu Deaths Updated'!$A$2:$N$460,14,FALSE)</f>
        <v>60</v>
      </c>
      <c r="AD240" s="60">
        <f t="shared" si="3"/>
        <v>1308</v>
      </c>
      <c r="AE240" s="66">
        <f>Integrated[[#This Row],[Flu Deaths &lt;5 years old]]/Integrated[[#This Row],[Population &lt;5 years]]</f>
        <v>5.0149193851708833E-4</v>
      </c>
      <c r="AF240" s="67">
        <f>Integrated[[#This Row],[Flu Deaths 5 to 14 years]]/Integrated[[#This Row],[Population 5 to 14 years]]</f>
        <v>1.2084397431662732E-4</v>
      </c>
      <c r="AG240" s="67">
        <f>Integrated[[#This Row],[Flu Deaths 15 to 24 years]]/Integrated[[#This Row],[Population 15 to 24 years]]</f>
        <v>1.1372079270973905E-4</v>
      </c>
      <c r="AH240" s="67">
        <f>Integrated[[#This Row],[Flu Deaths 25 to 34 years]]/Integrated[[#This Row],[Population 25 to 34 years]]</f>
        <v>1.1875708831370872E-4</v>
      </c>
      <c r="AI240" s="67">
        <f>Integrated[[#This Row],[Flu Deaths 35 to 44 years]]/Integrated[[#This Row],[Population 35 to 44 years]]</f>
        <v>1.2266100790550195E-4</v>
      </c>
      <c r="AJ240" s="67">
        <f>Integrated[[#This Row],[Flu Deaths 45 to 54 years]]/Integrated[[#This Row],[Population 45 to 54 years]]</f>
        <v>1.1391078507313073E-4</v>
      </c>
      <c r="AK240" s="67">
        <f>Integrated[[#This Row],[Flu Deaths 55 to 64 years]]/Integrated[[#This Row],[Population 55 to 64 years]]</f>
        <v>1.6383115249364667E-4</v>
      </c>
      <c r="AL240" s="67">
        <f>Integrated[[#This Row],[Flu Deaths 65 to 74 years]]/Integrated[[#This Row],[Population 65 to 74 years]]</f>
        <v>4.1861638682447931E-4</v>
      </c>
      <c r="AM240" s="67">
        <f>Integrated[[#This Row],[Flu Deaths 75 to 84 years]]/Integrated[[#This Row],[Population 75 to 84 years]]</f>
        <v>1.5547084633722203E-3</v>
      </c>
      <c r="AN240" s="67">
        <f>Integrated[[#This Row],[Flu Deaths 85+ years]]/Integrated[[#This Row],[Population 85+ years]]</f>
        <v>4.6988711248639042E-3</v>
      </c>
      <c r="AO240" s="68">
        <f>Integrated[[#This Row],[Total Flu Deaths]]/Integrated[[#This Row],[Total population]]</f>
        <v>3.3630116540695143E-4</v>
      </c>
    </row>
    <row r="241" spans="1:41" x14ac:dyDescent="0.3">
      <c r="A241" s="44" t="s">
        <v>526</v>
      </c>
      <c r="B241" t="s">
        <v>463</v>
      </c>
      <c r="C241" s="45">
        <v>2014</v>
      </c>
      <c r="D241" s="51">
        <v>6894869</v>
      </c>
      <c r="E241" s="2">
        <v>3441156</v>
      </c>
      <c r="F241" s="2">
        <v>3453713</v>
      </c>
      <c r="G241" s="78">
        <f>Integrated[[#This Row],[Female Total population]]/Integrated[[#This Row],[Total population]]</f>
        <v>0.50091060468298965</v>
      </c>
      <c r="H241" s="2">
        <v>444400</v>
      </c>
      <c r="I241" s="2">
        <v>879281</v>
      </c>
      <c r="J241" s="2">
        <v>927784</v>
      </c>
      <c r="K241" s="2">
        <v>978484</v>
      </c>
      <c r="L241" s="2">
        <v>912403</v>
      </c>
      <c r="M241" s="2">
        <v>963259</v>
      </c>
      <c r="N241" s="2">
        <v>879701</v>
      </c>
      <c r="O241" s="2">
        <v>521727</v>
      </c>
      <c r="P241" s="2">
        <v>262311</v>
      </c>
      <c r="Q241" s="52">
        <v>123232</v>
      </c>
      <c r="R241" s="127">
        <f>Integrated[[#This Row],[Population 85+ years]]/Integrated[[#This Row],[Total population]]</f>
        <v>1.7873000922860174E-2</v>
      </c>
      <c r="S241" s="58">
        <v>120</v>
      </c>
      <c r="T241" s="59">
        <v>60</v>
      </c>
      <c r="U241" s="59">
        <v>60</v>
      </c>
      <c r="V241" s="59">
        <v>66</v>
      </c>
      <c r="W241" s="59">
        <v>69</v>
      </c>
      <c r="X241" s="59">
        <v>60</v>
      </c>
      <c r="Y241" s="59">
        <v>80</v>
      </c>
      <c r="Z241" s="59">
        <v>87</v>
      </c>
      <c r="AA241" s="59">
        <v>148</v>
      </c>
      <c r="AB241" s="59">
        <v>329</v>
      </c>
      <c r="AC241" s="59">
        <f>VLOOKUP($A241,'[1]Flu Deaths Updated'!$A$2:$N$460,14,FALSE)</f>
        <v>60</v>
      </c>
      <c r="AD241" s="60">
        <f t="shared" si="3"/>
        <v>1139</v>
      </c>
      <c r="AE241" s="66">
        <f>Integrated[[#This Row],[Flu Deaths &lt;5 years old]]/Integrated[[#This Row],[Population &lt;5 years]]</f>
        <v>2.7002700270027002E-4</v>
      </c>
      <c r="AF241" s="67">
        <f>Integrated[[#This Row],[Flu Deaths 5 to 14 years]]/Integrated[[#This Row],[Population 5 to 14 years]]</f>
        <v>6.8237571379342892E-5</v>
      </c>
      <c r="AG241" s="67">
        <f>Integrated[[#This Row],[Flu Deaths 15 to 24 years]]/Integrated[[#This Row],[Population 15 to 24 years]]</f>
        <v>6.4670224966155909E-5</v>
      </c>
      <c r="AH241" s="67">
        <f>Integrated[[#This Row],[Flu Deaths 25 to 34 years]]/Integrated[[#This Row],[Population 25 to 34 years]]</f>
        <v>6.1319347071592386E-5</v>
      </c>
      <c r="AI241" s="67">
        <f>Integrated[[#This Row],[Flu Deaths 35 to 44 years]]/Integrated[[#This Row],[Population 35 to 44 years]]</f>
        <v>7.2336456587713987E-5</v>
      </c>
      <c r="AJ241" s="67">
        <f>Integrated[[#This Row],[Flu Deaths 45 to 54 years]]/Integrated[[#This Row],[Population 45 to 54 years]]</f>
        <v>7.1631824877836588E-5</v>
      </c>
      <c r="AK241" s="67">
        <f>Integrated[[#This Row],[Flu Deaths 55 to 64 years]]/Integrated[[#This Row],[Population 55 to 64 years]]</f>
        <v>9.0939989837456132E-5</v>
      </c>
      <c r="AL241" s="67">
        <f>Integrated[[#This Row],[Flu Deaths 65 to 74 years]]/Integrated[[#This Row],[Population 65 to 74 years]]</f>
        <v>1.6675387702764089E-4</v>
      </c>
      <c r="AM241" s="67">
        <f>Integrated[[#This Row],[Flu Deaths 75 to 84 years]]/Integrated[[#This Row],[Population 75 to 84 years]]</f>
        <v>5.6421575915611619E-4</v>
      </c>
      <c r="AN241" s="67">
        <f>Integrated[[#This Row],[Flu Deaths 85+ years]]/Integrated[[#This Row],[Population 85+ years]]</f>
        <v>2.6697611010127239E-3</v>
      </c>
      <c r="AO241" s="68">
        <f>Integrated[[#This Row],[Total Flu Deaths]]/Integrated[[#This Row],[Total population]]</f>
        <v>1.6519530682888972E-4</v>
      </c>
    </row>
    <row r="242" spans="1:41" x14ac:dyDescent="0.3">
      <c r="A242" s="44" t="s">
        <v>226</v>
      </c>
      <c r="B242" t="s">
        <v>197</v>
      </c>
      <c r="C242" s="45">
        <v>2014</v>
      </c>
      <c r="D242" s="51">
        <v>2715451</v>
      </c>
      <c r="E242" s="2">
        <v>1346769</v>
      </c>
      <c r="F242" s="2">
        <v>1368688</v>
      </c>
      <c r="G242" s="78">
        <f>Integrated[[#This Row],[Female Total population]]/Integrated[[#This Row],[Total population]]</f>
        <v>0.50403708260616742</v>
      </c>
      <c r="H242" s="2">
        <v>174654</v>
      </c>
      <c r="I242" s="2">
        <v>358056</v>
      </c>
      <c r="J242" s="2">
        <v>392821</v>
      </c>
      <c r="K242" s="2">
        <v>350219</v>
      </c>
      <c r="L242" s="2">
        <v>323341</v>
      </c>
      <c r="M242" s="2">
        <v>370941</v>
      </c>
      <c r="N242" s="2">
        <v>343766</v>
      </c>
      <c r="O242" s="2">
        <v>208958</v>
      </c>
      <c r="P242" s="2">
        <v>130559</v>
      </c>
      <c r="Q242" s="52">
        <v>62575</v>
      </c>
      <c r="R242" s="127">
        <f>Integrated[[#This Row],[Population 85+ years]]/Integrated[[#This Row],[Total population]]</f>
        <v>2.3044054192102894E-2</v>
      </c>
      <c r="S242" s="58">
        <v>120</v>
      </c>
      <c r="T242" s="59">
        <v>60</v>
      </c>
      <c r="U242" s="59">
        <v>60</v>
      </c>
      <c r="V242" s="59">
        <v>60</v>
      </c>
      <c r="W242" s="59">
        <v>60</v>
      </c>
      <c r="X242" s="59">
        <v>60</v>
      </c>
      <c r="Y242" s="59">
        <v>60</v>
      </c>
      <c r="Z242" s="59">
        <v>60</v>
      </c>
      <c r="AA242" s="59">
        <v>117</v>
      </c>
      <c r="AB242" s="59">
        <v>333</v>
      </c>
      <c r="AC242" s="59">
        <f>VLOOKUP($A242,'[1]Flu Deaths Updated'!$A$2:$N$460,14,FALSE)</f>
        <v>60</v>
      </c>
      <c r="AD242" s="60">
        <f t="shared" si="3"/>
        <v>1050</v>
      </c>
      <c r="AE242" s="66">
        <f>Integrated[[#This Row],[Flu Deaths &lt;5 years old]]/Integrated[[#This Row],[Population &lt;5 years]]</f>
        <v>6.8707272664811575E-4</v>
      </c>
      <c r="AF242" s="67">
        <f>Integrated[[#This Row],[Flu Deaths 5 to 14 years]]/Integrated[[#This Row],[Population 5 to 14 years]]</f>
        <v>1.6757155305315369E-4</v>
      </c>
      <c r="AG242" s="67">
        <f>Integrated[[#This Row],[Flu Deaths 15 to 24 years]]/Integrated[[#This Row],[Population 15 to 24 years]]</f>
        <v>1.5274132492916622E-4</v>
      </c>
      <c r="AH242" s="67">
        <f>Integrated[[#This Row],[Flu Deaths 25 to 34 years]]/Integrated[[#This Row],[Population 25 to 34 years]]</f>
        <v>1.713213731979133E-4</v>
      </c>
      <c r="AI242" s="67">
        <f>Integrated[[#This Row],[Flu Deaths 35 to 44 years]]/Integrated[[#This Row],[Population 35 to 44 years]]</f>
        <v>1.8556261037109428E-4</v>
      </c>
      <c r="AJ242" s="67">
        <f>Integrated[[#This Row],[Flu Deaths 45 to 54 years]]/Integrated[[#This Row],[Population 45 to 54 years]]</f>
        <v>1.6175079055698885E-4</v>
      </c>
      <c r="AK242" s="67">
        <f>Integrated[[#This Row],[Flu Deaths 55 to 64 years]]/Integrated[[#This Row],[Population 55 to 64 years]]</f>
        <v>1.745373306260654E-4</v>
      </c>
      <c r="AL242" s="67">
        <f>Integrated[[#This Row],[Flu Deaths 65 to 74 years]]/Integrated[[#This Row],[Population 65 to 74 years]]</f>
        <v>2.8713904229558094E-4</v>
      </c>
      <c r="AM242" s="67">
        <f>Integrated[[#This Row],[Flu Deaths 75 to 84 years]]/Integrated[[#This Row],[Population 75 to 84 years]]</f>
        <v>8.9614656975007471E-4</v>
      </c>
      <c r="AN242" s="67">
        <f>Integrated[[#This Row],[Flu Deaths 85+ years]]/Integrated[[#This Row],[Population 85+ years]]</f>
        <v>5.3216140631242512E-3</v>
      </c>
      <c r="AO242" s="68">
        <f>Integrated[[#This Row],[Total Flu Deaths]]/Integrated[[#This Row],[Total population]]</f>
        <v>3.8667609910839859E-4</v>
      </c>
    </row>
    <row r="243" spans="1:41" x14ac:dyDescent="0.3">
      <c r="A243" s="44" t="s">
        <v>198</v>
      </c>
      <c r="B243" t="s">
        <v>199</v>
      </c>
      <c r="C243" s="45">
        <v>2013</v>
      </c>
      <c r="D243" s="51">
        <v>2812703</v>
      </c>
      <c r="E243" s="2">
        <v>1382700</v>
      </c>
      <c r="F243" s="2">
        <v>1430008</v>
      </c>
      <c r="G243" s="78">
        <f>Integrated[[#This Row],[Female Total population]]/Integrated[[#This Row],[Total population]]</f>
        <v>0.50841059294209168</v>
      </c>
      <c r="H243" s="2">
        <v>188251</v>
      </c>
      <c r="I243" s="2">
        <v>380559</v>
      </c>
      <c r="J243" s="2">
        <v>390281</v>
      </c>
      <c r="K243" s="2">
        <v>368801</v>
      </c>
      <c r="L243" s="2">
        <v>353850</v>
      </c>
      <c r="M243" s="2">
        <v>383878</v>
      </c>
      <c r="N243" s="2">
        <v>341169</v>
      </c>
      <c r="O243" s="2">
        <v>228321</v>
      </c>
      <c r="P243" s="2">
        <v>128741</v>
      </c>
      <c r="Q243" s="52">
        <v>48819</v>
      </c>
      <c r="R243" s="127">
        <f>Integrated[[#This Row],[Population 85+ years]]/Integrated[[#This Row],[Total population]]</f>
        <v>1.7356613904845268E-2</v>
      </c>
      <c r="S243" s="58">
        <v>120</v>
      </c>
      <c r="T243" s="59">
        <v>60</v>
      </c>
      <c r="U243" s="59">
        <v>60</v>
      </c>
      <c r="V243" s="59">
        <v>60</v>
      </c>
      <c r="W243" s="59">
        <v>60</v>
      </c>
      <c r="X243" s="59">
        <v>60</v>
      </c>
      <c r="Y243" s="59">
        <v>60</v>
      </c>
      <c r="Z243" s="59">
        <v>130</v>
      </c>
      <c r="AA243" s="59">
        <v>189</v>
      </c>
      <c r="AB243" s="59">
        <v>335</v>
      </c>
      <c r="AC243" s="59">
        <f>VLOOKUP($A243,'[1]Flu Deaths Updated'!$A$2:$N$460,14,FALSE)</f>
        <v>60</v>
      </c>
      <c r="AD243" s="60">
        <f t="shared" si="3"/>
        <v>1194</v>
      </c>
      <c r="AE243" s="66">
        <f>Integrated[[#This Row],[Flu Deaths &lt;5 years old]]/Integrated[[#This Row],[Population &lt;5 years]]</f>
        <v>6.3744681303153766E-4</v>
      </c>
      <c r="AF243" s="67">
        <f>Integrated[[#This Row],[Flu Deaths 5 to 14 years]]/Integrated[[#This Row],[Population 5 to 14 years]]</f>
        <v>1.576628065556195E-4</v>
      </c>
      <c r="AG243" s="67">
        <f>Integrated[[#This Row],[Flu Deaths 15 to 24 years]]/Integrated[[#This Row],[Population 15 to 24 years]]</f>
        <v>1.5373538552991307E-4</v>
      </c>
      <c r="AH243" s="67">
        <f>Integrated[[#This Row],[Flu Deaths 25 to 34 years]]/Integrated[[#This Row],[Population 25 to 34 years]]</f>
        <v>1.6268936364055412E-4</v>
      </c>
      <c r="AI243" s="67">
        <f>Integrated[[#This Row],[Flu Deaths 35 to 44 years]]/Integrated[[#This Row],[Population 35 to 44 years]]</f>
        <v>1.695633743111488E-4</v>
      </c>
      <c r="AJ243" s="67">
        <f>Integrated[[#This Row],[Flu Deaths 45 to 54 years]]/Integrated[[#This Row],[Population 45 to 54 years]]</f>
        <v>1.5629965770374963E-4</v>
      </c>
      <c r="AK243" s="67">
        <f>Integrated[[#This Row],[Flu Deaths 55 to 64 years]]/Integrated[[#This Row],[Population 55 to 64 years]]</f>
        <v>1.7586591982272717E-4</v>
      </c>
      <c r="AL243" s="67">
        <f>Integrated[[#This Row],[Flu Deaths 65 to 74 years]]/Integrated[[#This Row],[Population 65 to 74 years]]</f>
        <v>5.6937382019174761E-4</v>
      </c>
      <c r="AM243" s="67">
        <f>Integrated[[#This Row],[Flu Deaths 75 to 84 years]]/Integrated[[#This Row],[Population 75 to 84 years]]</f>
        <v>1.4680637869831678E-3</v>
      </c>
      <c r="AN243" s="67">
        <f>Integrated[[#This Row],[Flu Deaths 85+ years]]/Integrated[[#This Row],[Population 85+ years]]</f>
        <v>6.8620823859562871E-3</v>
      </c>
      <c r="AO243" s="68">
        <f>Integrated[[#This Row],[Total Flu Deaths]]/Integrated[[#This Row],[Total population]]</f>
        <v>4.2450269367224339E-4</v>
      </c>
    </row>
    <row r="244" spans="1:41" x14ac:dyDescent="0.3">
      <c r="A244" s="44" t="s">
        <v>465</v>
      </c>
      <c r="B244" t="s">
        <v>423</v>
      </c>
      <c r="C244" s="45">
        <v>2014</v>
      </c>
      <c r="D244" s="51">
        <v>5167393</v>
      </c>
      <c r="E244" s="2">
        <v>2566789</v>
      </c>
      <c r="F244" s="2">
        <v>2600608</v>
      </c>
      <c r="G244" s="78">
        <f>Integrated[[#This Row],[Female Total population]]/Integrated[[#This Row],[Total population]]</f>
        <v>0.50327273346540513</v>
      </c>
      <c r="H244" s="2">
        <v>338367</v>
      </c>
      <c r="I244" s="2">
        <v>688127</v>
      </c>
      <c r="J244" s="2">
        <v>695863</v>
      </c>
      <c r="K244" s="2">
        <v>715395</v>
      </c>
      <c r="L244" s="2">
        <v>650777</v>
      </c>
      <c r="M244" s="2">
        <v>753045</v>
      </c>
      <c r="N244" s="2">
        <v>642178</v>
      </c>
      <c r="O244" s="2">
        <v>371245</v>
      </c>
      <c r="P244" s="2">
        <v>213373</v>
      </c>
      <c r="Q244" s="52">
        <v>100450</v>
      </c>
      <c r="R244" s="127">
        <f>Integrated[[#This Row],[Population 85+ years]]/Integrated[[#This Row],[Total population]]</f>
        <v>1.9439202708212824E-2</v>
      </c>
      <c r="S244" s="58">
        <v>120</v>
      </c>
      <c r="T244" s="59">
        <v>60</v>
      </c>
      <c r="U244" s="59">
        <v>60</v>
      </c>
      <c r="V244" s="59">
        <v>60</v>
      </c>
      <c r="W244" s="59">
        <v>65</v>
      </c>
      <c r="X244" s="59">
        <v>60</v>
      </c>
      <c r="Y244" s="59">
        <v>65</v>
      </c>
      <c r="Z244" s="59">
        <v>66</v>
      </c>
      <c r="AA244" s="59">
        <v>112</v>
      </c>
      <c r="AB244" s="59">
        <v>337</v>
      </c>
      <c r="AC244" s="59">
        <f>VLOOKUP($A244,'[1]Flu Deaths Updated'!$A$2:$N$460,14,FALSE)</f>
        <v>60</v>
      </c>
      <c r="AD244" s="60">
        <f t="shared" si="3"/>
        <v>1065</v>
      </c>
      <c r="AE244" s="66">
        <f>Integrated[[#This Row],[Flu Deaths &lt;5 years old]]/Integrated[[#This Row],[Population &lt;5 years]]</f>
        <v>3.5464451320607506E-4</v>
      </c>
      <c r="AF244" s="67">
        <f>Integrated[[#This Row],[Flu Deaths 5 to 14 years]]/Integrated[[#This Row],[Population 5 to 14 years]]</f>
        <v>8.7193207067881359E-5</v>
      </c>
      <c r="AG244" s="67">
        <f>Integrated[[#This Row],[Flu Deaths 15 to 24 years]]/Integrated[[#This Row],[Population 15 to 24 years]]</f>
        <v>8.6223868778768236E-5</v>
      </c>
      <c r="AH244" s="67">
        <f>Integrated[[#This Row],[Flu Deaths 25 to 34 years]]/Integrated[[#This Row],[Population 25 to 34 years]]</f>
        <v>8.3869750277818544E-5</v>
      </c>
      <c r="AI244" s="67">
        <f>Integrated[[#This Row],[Flu Deaths 35 to 44 years]]/Integrated[[#This Row],[Population 35 to 44 years]]</f>
        <v>9.2197480857498037E-5</v>
      </c>
      <c r="AJ244" s="67">
        <f>Integrated[[#This Row],[Flu Deaths 45 to 54 years]]/Integrated[[#This Row],[Population 45 to 54 years]]</f>
        <v>8.6316222802090178E-5</v>
      </c>
      <c r="AK244" s="67">
        <f>Integrated[[#This Row],[Flu Deaths 55 to 64 years]]/Integrated[[#This Row],[Population 55 to 64 years]]</f>
        <v>1.0121804234962892E-4</v>
      </c>
      <c r="AL244" s="67">
        <f>Integrated[[#This Row],[Flu Deaths 65 to 74 years]]/Integrated[[#This Row],[Population 65 to 74 years]]</f>
        <v>1.7778017212353029E-4</v>
      </c>
      <c r="AM244" s="67">
        <f>Integrated[[#This Row],[Flu Deaths 75 to 84 years]]/Integrated[[#This Row],[Population 75 to 84 years]]</f>
        <v>5.2490240095982149E-4</v>
      </c>
      <c r="AN244" s="67">
        <f>Integrated[[#This Row],[Flu Deaths 85+ years]]/Integrated[[#This Row],[Population 85+ years]]</f>
        <v>3.3549029367844698E-3</v>
      </c>
      <c r="AO244" s="68">
        <f>Integrated[[#This Row],[Total Flu Deaths]]/Integrated[[#This Row],[Total population]]</f>
        <v>2.0610005857886173E-4</v>
      </c>
    </row>
    <row r="245" spans="1:41" x14ac:dyDescent="0.3">
      <c r="A245" s="44" t="s">
        <v>310</v>
      </c>
      <c r="B245" t="s">
        <v>306</v>
      </c>
      <c r="C245" s="45">
        <v>2010</v>
      </c>
      <c r="D245" s="51">
        <v>4421853</v>
      </c>
      <c r="E245" s="2">
        <v>2161266</v>
      </c>
      <c r="F245" s="2">
        <v>2260589</v>
      </c>
      <c r="G245" s="78">
        <f>Integrated[[#This Row],[Female Total population]]/Integrated[[#This Row],[Total population]]</f>
        <v>0.51123115128431451</v>
      </c>
      <c r="H245" s="2">
        <v>304411</v>
      </c>
      <c r="I245" s="2">
        <v>605177</v>
      </c>
      <c r="J245" s="2">
        <v>660137</v>
      </c>
      <c r="K245" s="2">
        <v>589520</v>
      </c>
      <c r="L245" s="2">
        <v>580967</v>
      </c>
      <c r="M245" s="2">
        <v>645503</v>
      </c>
      <c r="N245" s="2">
        <v>500355</v>
      </c>
      <c r="O245" s="2">
        <v>296012</v>
      </c>
      <c r="P245" s="2">
        <v>177342</v>
      </c>
      <c r="Q245" s="52">
        <v>63745</v>
      </c>
      <c r="R245" s="127">
        <f>Integrated[[#This Row],[Population 85+ years]]/Integrated[[#This Row],[Total population]]</f>
        <v>1.4415902111626053E-2</v>
      </c>
      <c r="S245" s="58">
        <v>120</v>
      </c>
      <c r="T245" s="59">
        <v>60</v>
      </c>
      <c r="U245" s="59">
        <v>60</v>
      </c>
      <c r="V245" s="59">
        <v>60</v>
      </c>
      <c r="W245" s="59">
        <v>60</v>
      </c>
      <c r="X245" s="59">
        <v>60</v>
      </c>
      <c r="Y245" s="59">
        <v>66</v>
      </c>
      <c r="Z245" s="59">
        <v>137</v>
      </c>
      <c r="AA245" s="59">
        <v>247</v>
      </c>
      <c r="AB245" s="59">
        <v>338</v>
      </c>
      <c r="AC245" s="59">
        <f>VLOOKUP($A245,'[1]Flu Deaths Updated'!$A$2:$N$460,14,FALSE)</f>
        <v>60</v>
      </c>
      <c r="AD245" s="60">
        <f t="shared" si="3"/>
        <v>1268</v>
      </c>
      <c r="AE245" s="66">
        <f>Integrated[[#This Row],[Flu Deaths &lt;5 years old]]/Integrated[[#This Row],[Population &lt;5 years]]</f>
        <v>3.9420388882136322E-4</v>
      </c>
      <c r="AF245" s="67">
        <f>Integrated[[#This Row],[Flu Deaths 5 to 14 years]]/Integrated[[#This Row],[Population 5 to 14 years]]</f>
        <v>9.9144547793455465E-5</v>
      </c>
      <c r="AG245" s="67">
        <f>Integrated[[#This Row],[Flu Deaths 15 to 24 years]]/Integrated[[#This Row],[Population 15 to 24 years]]</f>
        <v>9.0890224301925211E-5</v>
      </c>
      <c r="AH245" s="67">
        <f>Integrated[[#This Row],[Flu Deaths 25 to 34 years]]/Integrated[[#This Row],[Population 25 to 34 years]]</f>
        <v>1.0177771746505632E-4</v>
      </c>
      <c r="AI245" s="67">
        <f>Integrated[[#This Row],[Flu Deaths 35 to 44 years]]/Integrated[[#This Row],[Population 35 to 44 years]]</f>
        <v>1.0327608969184136E-4</v>
      </c>
      <c r="AJ245" s="67">
        <f>Integrated[[#This Row],[Flu Deaths 45 to 54 years]]/Integrated[[#This Row],[Population 45 to 54 years]]</f>
        <v>9.2950768625397565E-5</v>
      </c>
      <c r="AK245" s="67">
        <f>Integrated[[#This Row],[Flu Deaths 55 to 64 years]]/Integrated[[#This Row],[Population 55 to 64 years]]</f>
        <v>1.3190634649398926E-4</v>
      </c>
      <c r="AL245" s="67">
        <f>Integrated[[#This Row],[Flu Deaths 65 to 74 years]]/Integrated[[#This Row],[Population 65 to 74 years]]</f>
        <v>4.6281907490236881E-4</v>
      </c>
      <c r="AM245" s="67">
        <f>Integrated[[#This Row],[Flu Deaths 75 to 84 years]]/Integrated[[#This Row],[Population 75 to 84 years]]</f>
        <v>1.3927890742181774E-3</v>
      </c>
      <c r="AN245" s="67">
        <f>Integrated[[#This Row],[Flu Deaths 85+ years]]/Integrated[[#This Row],[Population 85+ years]]</f>
        <v>5.3023766569927052E-3</v>
      </c>
      <c r="AO245" s="68">
        <f>Integrated[[#This Row],[Total Flu Deaths]]/Integrated[[#This Row],[Total population]]</f>
        <v>2.8675761044069084E-4</v>
      </c>
    </row>
    <row r="246" spans="1:41" x14ac:dyDescent="0.3">
      <c r="A246" s="44" t="s">
        <v>292</v>
      </c>
      <c r="B246" t="s">
        <v>260</v>
      </c>
      <c r="C246" s="45">
        <v>2010</v>
      </c>
      <c r="D246" s="51">
        <v>3545837</v>
      </c>
      <c r="E246" s="2">
        <v>1724834</v>
      </c>
      <c r="F246" s="2">
        <v>1821003</v>
      </c>
      <c r="G246" s="78">
        <f>Integrated[[#This Row],[Female Total population]]/Integrated[[#This Row],[Total population]]</f>
        <v>0.51356083204050273</v>
      </c>
      <c r="H246" s="2">
        <v>205288</v>
      </c>
      <c r="I246" s="2">
        <v>468088</v>
      </c>
      <c r="J246" s="2">
        <v>474267</v>
      </c>
      <c r="K246" s="2">
        <v>410867</v>
      </c>
      <c r="L246" s="2">
        <v>512577</v>
      </c>
      <c r="M246" s="2">
        <v>564184</v>
      </c>
      <c r="N246" s="2">
        <v>419809</v>
      </c>
      <c r="O246" s="2">
        <v>240006</v>
      </c>
      <c r="P246" s="2">
        <v>171026</v>
      </c>
      <c r="Q246" s="52">
        <v>80637</v>
      </c>
      <c r="R246" s="127">
        <f>Integrated[[#This Row],[Population 85+ years]]/Integrated[[#This Row],[Total population]]</f>
        <v>2.2741316084185483E-2</v>
      </c>
      <c r="S246" s="58">
        <v>120</v>
      </c>
      <c r="T246" s="59">
        <v>60</v>
      </c>
      <c r="U246" s="59">
        <v>60</v>
      </c>
      <c r="V246" s="59">
        <v>60</v>
      </c>
      <c r="W246" s="59">
        <v>60</v>
      </c>
      <c r="X246" s="59">
        <v>60</v>
      </c>
      <c r="Y246" s="59">
        <v>60</v>
      </c>
      <c r="Z246" s="59">
        <v>70</v>
      </c>
      <c r="AA246" s="59">
        <v>120</v>
      </c>
      <c r="AB246" s="59">
        <v>339</v>
      </c>
      <c r="AC246" s="59">
        <f>VLOOKUP($A246,'[1]Flu Deaths Updated'!$A$2:$N$460,14,FALSE)</f>
        <v>60</v>
      </c>
      <c r="AD246" s="60">
        <f t="shared" si="3"/>
        <v>1069</v>
      </c>
      <c r="AE246" s="66">
        <f>Integrated[[#This Row],[Flu Deaths &lt;5 years old]]/Integrated[[#This Row],[Population &lt;5 years]]</f>
        <v>5.8454463972565374E-4</v>
      </c>
      <c r="AF246" s="67">
        <f>Integrated[[#This Row],[Flu Deaths 5 to 14 years]]/Integrated[[#This Row],[Population 5 to 14 years]]</f>
        <v>1.2818102579002238E-4</v>
      </c>
      <c r="AG246" s="67">
        <f>Integrated[[#This Row],[Flu Deaths 15 to 24 years]]/Integrated[[#This Row],[Population 15 to 24 years]]</f>
        <v>1.2651101594671356E-4</v>
      </c>
      <c r="AH246" s="67">
        <f>Integrated[[#This Row],[Flu Deaths 25 to 34 years]]/Integrated[[#This Row],[Population 25 to 34 years]]</f>
        <v>1.4603265777003263E-4</v>
      </c>
      <c r="AI246" s="67">
        <f>Integrated[[#This Row],[Flu Deaths 35 to 44 years]]/Integrated[[#This Row],[Population 35 to 44 years]]</f>
        <v>1.1705558384398832E-4</v>
      </c>
      <c r="AJ246" s="67">
        <f>Integrated[[#This Row],[Flu Deaths 45 to 54 years]]/Integrated[[#This Row],[Population 45 to 54 years]]</f>
        <v>1.0634828353870368E-4</v>
      </c>
      <c r="AK246" s="67">
        <f>Integrated[[#This Row],[Flu Deaths 55 to 64 years]]/Integrated[[#This Row],[Population 55 to 64 years]]</f>
        <v>1.4292213840103474E-4</v>
      </c>
      <c r="AL246" s="67">
        <f>Integrated[[#This Row],[Flu Deaths 65 to 74 years]]/Integrated[[#This Row],[Population 65 to 74 years]]</f>
        <v>2.9165937518228709E-4</v>
      </c>
      <c r="AM246" s="67">
        <f>Integrated[[#This Row],[Flu Deaths 75 to 84 years]]/Integrated[[#This Row],[Population 75 to 84 years]]</f>
        <v>7.0164770268848012E-4</v>
      </c>
      <c r="AN246" s="67">
        <f>Integrated[[#This Row],[Flu Deaths 85+ years]]/Integrated[[#This Row],[Population 85+ years]]</f>
        <v>4.2040254473752741E-3</v>
      </c>
      <c r="AO246" s="68">
        <f>Integrated[[#This Row],[Total Flu Deaths]]/Integrated[[#This Row],[Total population]]</f>
        <v>3.0148029929181742E-4</v>
      </c>
    </row>
    <row r="247" spans="1:41" x14ac:dyDescent="0.3">
      <c r="A247" s="44" t="s">
        <v>495</v>
      </c>
      <c r="B247" t="s">
        <v>445</v>
      </c>
      <c r="C247" s="45">
        <v>2017</v>
      </c>
      <c r="D247" s="51">
        <v>6742401</v>
      </c>
      <c r="E247" s="2">
        <v>3349295</v>
      </c>
      <c r="F247" s="2">
        <v>3393106</v>
      </c>
      <c r="G247" s="78">
        <f>Integrated[[#This Row],[Female Total population]]/Integrated[[#This Row],[Total population]]</f>
        <v>0.50324891681761441</v>
      </c>
      <c r="H247" s="2">
        <v>430289</v>
      </c>
      <c r="I247" s="2">
        <v>903976</v>
      </c>
      <c r="J247" s="2">
        <v>936681</v>
      </c>
      <c r="K247" s="2">
        <v>909225</v>
      </c>
      <c r="L247" s="2">
        <v>834243</v>
      </c>
      <c r="M247" s="2">
        <v>833583</v>
      </c>
      <c r="N247" s="2">
        <v>801636</v>
      </c>
      <c r="O247" s="2">
        <v>637694</v>
      </c>
      <c r="P247" s="2">
        <v>331749</v>
      </c>
      <c r="Q247" s="52">
        <v>123325</v>
      </c>
      <c r="R247" s="127">
        <f>Integrated[[#This Row],[Population 85+ years]]/Integrated[[#This Row],[Total population]]</f>
        <v>1.8290961928844041E-2</v>
      </c>
      <c r="S247" s="58">
        <v>120</v>
      </c>
      <c r="T247" s="59">
        <v>60</v>
      </c>
      <c r="U247" s="59">
        <v>60</v>
      </c>
      <c r="V247" s="59">
        <v>60</v>
      </c>
      <c r="W247" s="59">
        <v>60</v>
      </c>
      <c r="X247" s="59">
        <v>60</v>
      </c>
      <c r="Y247" s="59">
        <v>80</v>
      </c>
      <c r="Z247" s="59">
        <v>144</v>
      </c>
      <c r="AA247" s="59">
        <v>213</v>
      </c>
      <c r="AB247" s="59">
        <v>339</v>
      </c>
      <c r="AC247" s="59">
        <f>VLOOKUP($A247,'[1]Flu Deaths Updated'!$A$2:$N$460,14,FALSE)</f>
        <v>60</v>
      </c>
      <c r="AD247" s="60">
        <f t="shared" si="3"/>
        <v>1256</v>
      </c>
      <c r="AE247" s="66">
        <f>Integrated[[#This Row],[Flu Deaths &lt;5 years old]]/Integrated[[#This Row],[Population &lt;5 years]]</f>
        <v>2.788823325718296E-4</v>
      </c>
      <c r="AF247" s="67">
        <f>Integrated[[#This Row],[Flu Deaths 5 to 14 years]]/Integrated[[#This Row],[Population 5 to 14 years]]</f>
        <v>6.6373443542748926E-5</v>
      </c>
      <c r="AG247" s="67">
        <f>Integrated[[#This Row],[Flu Deaths 15 to 24 years]]/Integrated[[#This Row],[Population 15 to 24 years]]</f>
        <v>6.4055959286032278E-5</v>
      </c>
      <c r="AH247" s="67">
        <f>Integrated[[#This Row],[Flu Deaths 25 to 34 years]]/Integrated[[#This Row],[Population 25 to 34 years]]</f>
        <v>6.5990266435700729E-5</v>
      </c>
      <c r="AI247" s="67">
        <f>Integrated[[#This Row],[Flu Deaths 35 to 44 years]]/Integrated[[#This Row],[Population 35 to 44 years]]</f>
        <v>7.1921490500969138E-5</v>
      </c>
      <c r="AJ247" s="67">
        <f>Integrated[[#This Row],[Flu Deaths 45 to 54 years]]/Integrated[[#This Row],[Population 45 to 54 years]]</f>
        <v>7.1978435260795865E-5</v>
      </c>
      <c r="AK247" s="67">
        <f>Integrated[[#This Row],[Flu Deaths 55 to 64 years]]/Integrated[[#This Row],[Population 55 to 64 years]]</f>
        <v>9.9795917349021252E-5</v>
      </c>
      <c r="AL247" s="67">
        <f>Integrated[[#This Row],[Flu Deaths 65 to 74 years]]/Integrated[[#This Row],[Population 65 to 74 years]]</f>
        <v>2.2581363475271838E-4</v>
      </c>
      <c r="AM247" s="67">
        <f>Integrated[[#This Row],[Flu Deaths 75 to 84 years]]/Integrated[[#This Row],[Population 75 to 84 years]]</f>
        <v>6.4205167159509142E-4</v>
      </c>
      <c r="AN247" s="67">
        <f>Integrated[[#This Row],[Flu Deaths 85+ years]]/Integrated[[#This Row],[Population 85+ years]]</f>
        <v>2.7488343807013987E-3</v>
      </c>
      <c r="AO247" s="68">
        <f>Integrated[[#This Row],[Total Flu Deaths]]/Integrated[[#This Row],[Total population]]</f>
        <v>1.8628378822321603E-4</v>
      </c>
    </row>
    <row r="248" spans="1:41" x14ac:dyDescent="0.3">
      <c r="A248" s="44" t="s">
        <v>326</v>
      </c>
      <c r="B248" t="s">
        <v>306</v>
      </c>
      <c r="C248" s="45">
        <v>2011</v>
      </c>
      <c r="D248" s="51">
        <v>4465332</v>
      </c>
      <c r="E248" s="2">
        <v>2181395</v>
      </c>
      <c r="F248" s="2">
        <v>2283939</v>
      </c>
      <c r="G248" s="78">
        <f>Integrated[[#This Row],[Female Total population]]/Integrated[[#This Row],[Total population]]</f>
        <v>0.51148246087860882</v>
      </c>
      <c r="H248" s="2">
        <v>309778</v>
      </c>
      <c r="I248" s="2">
        <v>607826</v>
      </c>
      <c r="J248" s="2">
        <v>662704</v>
      </c>
      <c r="K248" s="2">
        <v>604340</v>
      </c>
      <c r="L248" s="2">
        <v>569577</v>
      </c>
      <c r="M248" s="2">
        <v>646485</v>
      </c>
      <c r="N248" s="2">
        <v>517834</v>
      </c>
      <c r="O248" s="2">
        <v>303682</v>
      </c>
      <c r="P248" s="2">
        <v>178375</v>
      </c>
      <c r="Q248" s="52">
        <v>65747</v>
      </c>
      <c r="R248" s="127">
        <f>Integrated[[#This Row],[Population 85+ years]]/Integrated[[#This Row],[Total population]]</f>
        <v>1.4723877194349715E-2</v>
      </c>
      <c r="S248" s="58">
        <v>120</v>
      </c>
      <c r="T248" s="59">
        <v>60</v>
      </c>
      <c r="U248" s="59">
        <v>60</v>
      </c>
      <c r="V248" s="59">
        <v>60</v>
      </c>
      <c r="W248" s="59">
        <v>60</v>
      </c>
      <c r="X248" s="59">
        <v>60</v>
      </c>
      <c r="Y248" s="59">
        <v>83</v>
      </c>
      <c r="Z248" s="59">
        <v>80</v>
      </c>
      <c r="AA248" s="59">
        <v>242</v>
      </c>
      <c r="AB248" s="59">
        <v>341</v>
      </c>
      <c r="AC248" s="59">
        <f>VLOOKUP($A248,'[1]Flu Deaths Updated'!$A$2:$N$460,14,FALSE)</f>
        <v>60</v>
      </c>
      <c r="AD248" s="60">
        <f t="shared" si="3"/>
        <v>1226</v>
      </c>
      <c r="AE248" s="66">
        <f>Integrated[[#This Row],[Flu Deaths &lt;5 years old]]/Integrated[[#This Row],[Population &lt;5 years]]</f>
        <v>3.8737418409312476E-4</v>
      </c>
      <c r="AF248" s="67">
        <f>Integrated[[#This Row],[Flu Deaths 5 to 14 years]]/Integrated[[#This Row],[Population 5 to 14 years]]</f>
        <v>9.8712460473885624E-5</v>
      </c>
      <c r="AG248" s="67">
        <f>Integrated[[#This Row],[Flu Deaths 15 to 24 years]]/Integrated[[#This Row],[Population 15 to 24 years]]</f>
        <v>9.053815881600232E-5</v>
      </c>
      <c r="AH248" s="67">
        <f>Integrated[[#This Row],[Flu Deaths 25 to 34 years]]/Integrated[[#This Row],[Population 25 to 34 years]]</f>
        <v>9.9281861203958041E-5</v>
      </c>
      <c r="AI248" s="67">
        <f>Integrated[[#This Row],[Flu Deaths 35 to 44 years]]/Integrated[[#This Row],[Population 35 to 44 years]]</f>
        <v>1.0534133225182899E-4</v>
      </c>
      <c r="AJ248" s="67">
        <f>Integrated[[#This Row],[Flu Deaths 45 to 54 years]]/Integrated[[#This Row],[Population 45 to 54 years]]</f>
        <v>9.2809577948444282E-5</v>
      </c>
      <c r="AK248" s="67">
        <f>Integrated[[#This Row],[Flu Deaths 55 to 64 years]]/Integrated[[#This Row],[Population 55 to 64 years]]</f>
        <v>1.6028302506208554E-4</v>
      </c>
      <c r="AL248" s="67">
        <f>Integrated[[#This Row],[Flu Deaths 65 to 74 years]]/Integrated[[#This Row],[Population 65 to 74 years]]</f>
        <v>2.6343346000092199E-4</v>
      </c>
      <c r="AM248" s="67">
        <f>Integrated[[#This Row],[Flu Deaths 75 to 84 years]]/Integrated[[#This Row],[Population 75 to 84 years]]</f>
        <v>1.3566923615977574E-3</v>
      </c>
      <c r="AN248" s="67">
        <f>Integrated[[#This Row],[Flu Deaths 85+ years]]/Integrated[[#This Row],[Population 85+ years]]</f>
        <v>5.1865484356700686E-3</v>
      </c>
      <c r="AO248" s="68">
        <f>Integrated[[#This Row],[Total Flu Deaths]]/Integrated[[#This Row],[Total population]]</f>
        <v>2.7455965200347927E-4</v>
      </c>
    </row>
    <row r="249" spans="1:41" x14ac:dyDescent="0.3">
      <c r="A249" s="44" t="s">
        <v>229</v>
      </c>
      <c r="B249" t="s">
        <v>197</v>
      </c>
      <c r="C249" s="45">
        <v>2009</v>
      </c>
      <c r="D249" s="51">
        <v>2939403</v>
      </c>
      <c r="E249" s="2">
        <v>1448667</v>
      </c>
      <c r="F249" s="2">
        <v>1490736</v>
      </c>
      <c r="G249" s="78">
        <f>Integrated[[#This Row],[Female Total population]]/Integrated[[#This Row],[Total population]]</f>
        <v>0.50715604495198519</v>
      </c>
      <c r="H249" s="2">
        <v>194722</v>
      </c>
      <c r="I249" s="2">
        <v>381361</v>
      </c>
      <c r="J249" s="2">
        <v>441216</v>
      </c>
      <c r="K249" s="2">
        <v>351309</v>
      </c>
      <c r="L249" s="2">
        <v>380840</v>
      </c>
      <c r="M249" s="2">
        <v>432329</v>
      </c>
      <c r="N249" s="2">
        <v>326690</v>
      </c>
      <c r="O249" s="2">
        <v>206671</v>
      </c>
      <c r="P249" s="2">
        <v>154557</v>
      </c>
      <c r="Q249" s="52">
        <v>69877</v>
      </c>
      <c r="R249" s="127">
        <f>Integrated[[#This Row],[Population 85+ years]]/Integrated[[#This Row],[Total population]]</f>
        <v>2.3772514350703187E-2</v>
      </c>
      <c r="S249" s="58">
        <v>120</v>
      </c>
      <c r="T249" s="59">
        <v>60</v>
      </c>
      <c r="U249" s="59">
        <v>60</v>
      </c>
      <c r="V249" s="59">
        <v>60</v>
      </c>
      <c r="W249" s="59">
        <v>67</v>
      </c>
      <c r="X249" s="59">
        <v>60</v>
      </c>
      <c r="Y249" s="59">
        <v>65</v>
      </c>
      <c r="Z249" s="59">
        <v>71</v>
      </c>
      <c r="AA249" s="59">
        <v>158</v>
      </c>
      <c r="AB249" s="59">
        <v>342</v>
      </c>
      <c r="AC249" s="59">
        <f>VLOOKUP($A249,'[1]Flu Deaths Updated'!$A$2:$N$460,14,FALSE)</f>
        <v>60</v>
      </c>
      <c r="AD249" s="60">
        <f t="shared" si="3"/>
        <v>1123</v>
      </c>
      <c r="AE249" s="66">
        <f>Integrated[[#This Row],[Flu Deaths &lt;5 years old]]/Integrated[[#This Row],[Population &lt;5 years]]</f>
        <v>6.1626318546440569E-4</v>
      </c>
      <c r="AF249" s="67">
        <f>Integrated[[#This Row],[Flu Deaths 5 to 14 years]]/Integrated[[#This Row],[Population 5 to 14 years]]</f>
        <v>1.57331242575932E-4</v>
      </c>
      <c r="AG249" s="67">
        <f>Integrated[[#This Row],[Flu Deaths 15 to 24 years]]/Integrated[[#This Row],[Population 15 to 24 years]]</f>
        <v>1.3598781549173193E-4</v>
      </c>
      <c r="AH249" s="67">
        <f>Integrated[[#This Row],[Flu Deaths 25 to 34 years]]/Integrated[[#This Row],[Population 25 to 34 years]]</f>
        <v>1.7078981751107998E-4</v>
      </c>
      <c r="AI249" s="67">
        <f>Integrated[[#This Row],[Flu Deaths 35 to 44 years]]/Integrated[[#This Row],[Population 35 to 44 years]]</f>
        <v>1.575464762104821E-4</v>
      </c>
      <c r="AJ249" s="67">
        <f>Integrated[[#This Row],[Flu Deaths 45 to 54 years]]/Integrated[[#This Row],[Population 45 to 54 years]]</f>
        <v>1.5497456797947858E-4</v>
      </c>
      <c r="AK249" s="67">
        <f>Integrated[[#This Row],[Flu Deaths 55 to 64 years]]/Integrated[[#This Row],[Population 55 to 64 years]]</f>
        <v>1.9896538002387584E-4</v>
      </c>
      <c r="AL249" s="67">
        <f>Integrated[[#This Row],[Flu Deaths 65 to 74 years]]/Integrated[[#This Row],[Population 65 to 74 years]]</f>
        <v>3.4354118381388777E-4</v>
      </c>
      <c r="AM249" s="67">
        <f>Integrated[[#This Row],[Flu Deaths 75 to 84 years]]/Integrated[[#This Row],[Population 75 to 84 years]]</f>
        <v>1.0222765711032176E-3</v>
      </c>
      <c r="AN249" s="67">
        <f>Integrated[[#This Row],[Flu Deaths 85+ years]]/Integrated[[#This Row],[Population 85+ years]]</f>
        <v>4.8943142951185653E-3</v>
      </c>
      <c r="AO249" s="68">
        <f>Integrated[[#This Row],[Total Flu Deaths]]/Integrated[[#This Row],[Total population]]</f>
        <v>3.8205036873133761E-4</v>
      </c>
    </row>
    <row r="250" spans="1:41" x14ac:dyDescent="0.3">
      <c r="A250" s="44" t="s">
        <v>206</v>
      </c>
      <c r="B250" t="s">
        <v>199</v>
      </c>
      <c r="C250" s="45">
        <v>2011</v>
      </c>
      <c r="D250" s="51">
        <v>2827543</v>
      </c>
      <c r="E250" s="2">
        <v>1389008</v>
      </c>
      <c r="F250" s="2">
        <v>1438537</v>
      </c>
      <c r="G250" s="78">
        <f>Integrated[[#This Row],[Female Total population]]/Integrated[[#This Row],[Total population]]</f>
        <v>0.50875866432446826</v>
      </c>
      <c r="H250" s="2">
        <v>192752</v>
      </c>
      <c r="I250" s="2">
        <v>383496</v>
      </c>
      <c r="J250" s="2">
        <v>395610</v>
      </c>
      <c r="K250" s="2">
        <v>367237</v>
      </c>
      <c r="L250" s="2">
        <v>364162</v>
      </c>
      <c r="M250" s="2">
        <v>392042</v>
      </c>
      <c r="N250" s="2">
        <v>334050</v>
      </c>
      <c r="O250" s="2">
        <v>220256</v>
      </c>
      <c r="P250" s="2">
        <v>129185</v>
      </c>
      <c r="Q250" s="52">
        <v>48747</v>
      </c>
      <c r="R250" s="127">
        <f>Integrated[[#This Row],[Population 85+ years]]/Integrated[[#This Row],[Total population]]</f>
        <v>1.7240056119394116E-2</v>
      </c>
      <c r="S250" s="58">
        <v>120</v>
      </c>
      <c r="T250" s="59">
        <v>60</v>
      </c>
      <c r="U250" s="59">
        <v>60</v>
      </c>
      <c r="V250" s="59">
        <v>60</v>
      </c>
      <c r="W250" s="59">
        <v>60</v>
      </c>
      <c r="X250" s="59">
        <v>60</v>
      </c>
      <c r="Y250" s="59">
        <v>66</v>
      </c>
      <c r="Z250" s="59">
        <v>78</v>
      </c>
      <c r="AA250" s="59">
        <v>192</v>
      </c>
      <c r="AB250" s="59">
        <v>343</v>
      </c>
      <c r="AC250" s="59">
        <f>VLOOKUP($A250,'[1]Flu Deaths Updated'!$A$2:$N$460,14,FALSE)</f>
        <v>60</v>
      </c>
      <c r="AD250" s="60">
        <f t="shared" si="3"/>
        <v>1159</v>
      </c>
      <c r="AE250" s="66">
        <f>Integrated[[#This Row],[Flu Deaths &lt;5 years old]]/Integrated[[#This Row],[Population &lt;5 years]]</f>
        <v>6.2256163360172652E-4</v>
      </c>
      <c r="AF250" s="67">
        <f>Integrated[[#This Row],[Flu Deaths 5 to 14 years]]/Integrated[[#This Row],[Population 5 to 14 years]]</f>
        <v>1.5645534764378247E-4</v>
      </c>
      <c r="AG250" s="67">
        <f>Integrated[[#This Row],[Flu Deaths 15 to 24 years]]/Integrated[[#This Row],[Population 15 to 24 years]]</f>
        <v>1.5166451808599379E-4</v>
      </c>
      <c r="AH250" s="67">
        <f>Integrated[[#This Row],[Flu Deaths 25 to 34 years]]/Integrated[[#This Row],[Population 25 to 34 years]]</f>
        <v>1.6338223000405733E-4</v>
      </c>
      <c r="AI250" s="67">
        <f>Integrated[[#This Row],[Flu Deaths 35 to 44 years]]/Integrated[[#This Row],[Population 35 to 44 years]]</f>
        <v>1.6476183676495626E-4</v>
      </c>
      <c r="AJ250" s="67">
        <f>Integrated[[#This Row],[Flu Deaths 45 to 54 years]]/Integrated[[#This Row],[Population 45 to 54 years]]</f>
        <v>1.5304482682977844E-4</v>
      </c>
      <c r="AK250" s="67">
        <f>Integrated[[#This Row],[Flu Deaths 55 to 64 years]]/Integrated[[#This Row],[Population 55 to 64 years]]</f>
        <v>1.9757521329142344E-4</v>
      </c>
      <c r="AL250" s="67">
        <f>Integrated[[#This Row],[Flu Deaths 65 to 74 years]]/Integrated[[#This Row],[Population 65 to 74 years]]</f>
        <v>3.5413337207612958E-4</v>
      </c>
      <c r="AM250" s="67">
        <f>Integrated[[#This Row],[Flu Deaths 75 to 84 years]]/Integrated[[#This Row],[Population 75 to 84 years]]</f>
        <v>1.4862406626156288E-3</v>
      </c>
      <c r="AN250" s="67">
        <f>Integrated[[#This Row],[Flu Deaths 85+ years]]/Integrated[[#This Row],[Population 85+ years]]</f>
        <v>7.0363304408476417E-3</v>
      </c>
      <c r="AO250" s="68">
        <f>Integrated[[#This Row],[Total Flu Deaths]]/Integrated[[#This Row],[Total population]]</f>
        <v>4.0989650732102041E-4</v>
      </c>
    </row>
    <row r="251" spans="1:41" x14ac:dyDescent="0.3">
      <c r="A251" s="44" t="s">
        <v>305</v>
      </c>
      <c r="B251" t="s">
        <v>306</v>
      </c>
      <c r="C251" s="45">
        <v>2013</v>
      </c>
      <c r="D251" s="51">
        <v>4325940</v>
      </c>
      <c r="E251" s="2">
        <v>2112594</v>
      </c>
      <c r="F251" s="2">
        <v>2213350</v>
      </c>
      <c r="G251" s="78">
        <f>Integrated[[#This Row],[Female Total population]]/Integrated[[#This Row],[Total population]]</f>
        <v>0.51164602375437473</v>
      </c>
      <c r="H251" s="2">
        <v>295449</v>
      </c>
      <c r="I251" s="2">
        <v>583087</v>
      </c>
      <c r="J251" s="2">
        <v>628195</v>
      </c>
      <c r="K251" s="2">
        <v>607349</v>
      </c>
      <c r="L251" s="2">
        <v>535566</v>
      </c>
      <c r="M251" s="2">
        <v>606658</v>
      </c>
      <c r="N251" s="2">
        <v>524388</v>
      </c>
      <c r="O251" s="2">
        <v>309592</v>
      </c>
      <c r="P251" s="2">
        <v>172423</v>
      </c>
      <c r="Q251" s="52">
        <v>64959</v>
      </c>
      <c r="R251" s="127">
        <f>Integrated[[#This Row],[Population 85+ years]]/Integrated[[#This Row],[Total population]]</f>
        <v>1.5016158337841024E-2</v>
      </c>
      <c r="S251" s="58">
        <v>120</v>
      </c>
      <c r="T251" s="59">
        <v>60</v>
      </c>
      <c r="U251" s="59">
        <v>60</v>
      </c>
      <c r="V251" s="59">
        <v>60</v>
      </c>
      <c r="W251" s="59">
        <v>69</v>
      </c>
      <c r="X251" s="59">
        <v>60</v>
      </c>
      <c r="Y251" s="59">
        <v>110</v>
      </c>
      <c r="Z251" s="59">
        <v>127</v>
      </c>
      <c r="AA251" s="59">
        <v>190</v>
      </c>
      <c r="AB251" s="59">
        <v>344</v>
      </c>
      <c r="AC251" s="59">
        <f>VLOOKUP($A251,'[1]Flu Deaths Updated'!$A$2:$N$460,14,FALSE)</f>
        <v>60</v>
      </c>
      <c r="AD251" s="60">
        <f t="shared" si="3"/>
        <v>1260</v>
      </c>
      <c r="AE251" s="66">
        <f>Integrated[[#This Row],[Flu Deaths &lt;5 years old]]/Integrated[[#This Row],[Population &lt;5 years]]</f>
        <v>4.0616146949219663E-4</v>
      </c>
      <c r="AF251" s="67">
        <f>Integrated[[#This Row],[Flu Deaths 5 to 14 years]]/Integrated[[#This Row],[Population 5 to 14 years]]</f>
        <v>1.029005963089556E-4</v>
      </c>
      <c r="AG251" s="67">
        <f>Integrated[[#This Row],[Flu Deaths 15 to 24 years]]/Integrated[[#This Row],[Population 15 to 24 years]]</f>
        <v>9.5511743964851679E-5</v>
      </c>
      <c r="AH251" s="67">
        <f>Integrated[[#This Row],[Flu Deaths 25 to 34 years]]/Integrated[[#This Row],[Population 25 to 34 years]]</f>
        <v>9.8789987305486626E-5</v>
      </c>
      <c r="AI251" s="67">
        <f>Integrated[[#This Row],[Flu Deaths 35 to 44 years]]/Integrated[[#This Row],[Population 35 to 44 years]]</f>
        <v>1.1203101018361883E-4</v>
      </c>
      <c r="AJ251" s="67">
        <f>Integrated[[#This Row],[Flu Deaths 45 to 54 years]]/Integrated[[#This Row],[Population 45 to 54 years]]</f>
        <v>1.1373788856324321E-4</v>
      </c>
      <c r="AK251" s="67">
        <f>Integrated[[#This Row],[Flu Deaths 55 to 64 years]]/Integrated[[#This Row],[Population 55 to 64 years]]</f>
        <v>2.0976833947382472E-4</v>
      </c>
      <c r="AL251" s="67">
        <f>Integrated[[#This Row],[Flu Deaths 65 to 74 years]]/Integrated[[#This Row],[Population 65 to 74 years]]</f>
        <v>4.1021731827695806E-4</v>
      </c>
      <c r="AM251" s="67">
        <f>Integrated[[#This Row],[Flu Deaths 75 to 84 years]]/Integrated[[#This Row],[Population 75 to 84 years]]</f>
        <v>1.1019411563422514E-3</v>
      </c>
      <c r="AN251" s="67">
        <f>Integrated[[#This Row],[Flu Deaths 85+ years]]/Integrated[[#This Row],[Population 85+ years]]</f>
        <v>5.2956480241383025E-3</v>
      </c>
      <c r="AO251" s="68">
        <f>Integrated[[#This Row],[Total Flu Deaths]]/Integrated[[#This Row],[Total population]]</f>
        <v>2.9126617567511339E-4</v>
      </c>
    </row>
    <row r="252" spans="1:41" x14ac:dyDescent="0.3">
      <c r="A252" s="44" t="s">
        <v>319</v>
      </c>
      <c r="B252" t="s">
        <v>306</v>
      </c>
      <c r="C252" s="45">
        <v>2009</v>
      </c>
      <c r="D252" s="51">
        <v>4411546</v>
      </c>
      <c r="E252" s="2">
        <v>2144570</v>
      </c>
      <c r="F252" s="2">
        <v>2266977</v>
      </c>
      <c r="G252" s="78">
        <f>Integrated[[#This Row],[Female Total population]]/Integrated[[#This Row],[Total population]]</f>
        <v>0.51387359442698777</v>
      </c>
      <c r="H252" s="2">
        <v>310108</v>
      </c>
      <c r="I252" s="2">
        <v>609296</v>
      </c>
      <c r="J252" s="2">
        <v>677528</v>
      </c>
      <c r="K252" s="2">
        <v>583887</v>
      </c>
      <c r="L252" s="2">
        <v>587555</v>
      </c>
      <c r="M252" s="2">
        <v>634599</v>
      </c>
      <c r="N252" s="2">
        <v>475135</v>
      </c>
      <c r="O252" s="2">
        <v>286359</v>
      </c>
      <c r="P252" s="2">
        <v>183214</v>
      </c>
      <c r="Q252" s="52">
        <v>65584</v>
      </c>
      <c r="R252" s="127">
        <f>Integrated[[#This Row],[Population 85+ years]]/Integrated[[#This Row],[Total population]]</f>
        <v>1.4866443645833003E-2</v>
      </c>
      <c r="S252" s="58">
        <v>120</v>
      </c>
      <c r="T252" s="59">
        <v>60</v>
      </c>
      <c r="U252" s="59">
        <v>60</v>
      </c>
      <c r="V252" s="59">
        <v>60</v>
      </c>
      <c r="W252" s="59">
        <v>60</v>
      </c>
      <c r="X252" s="59">
        <v>60</v>
      </c>
      <c r="Y252" s="59">
        <v>60</v>
      </c>
      <c r="Z252" s="59">
        <v>103</v>
      </c>
      <c r="AA252" s="59">
        <v>243</v>
      </c>
      <c r="AB252" s="59">
        <v>345</v>
      </c>
      <c r="AC252" s="59">
        <f>VLOOKUP($A252,'[1]Flu Deaths Updated'!$A$2:$N$460,14,FALSE)</f>
        <v>60</v>
      </c>
      <c r="AD252" s="60">
        <f t="shared" si="3"/>
        <v>1231</v>
      </c>
      <c r="AE252" s="66">
        <f>Integrated[[#This Row],[Flu Deaths &lt;5 years old]]/Integrated[[#This Row],[Population &lt;5 years]]</f>
        <v>3.8696196163917086E-4</v>
      </c>
      <c r="AF252" s="67">
        <f>Integrated[[#This Row],[Flu Deaths 5 to 14 years]]/Integrated[[#This Row],[Population 5 to 14 years]]</f>
        <v>9.8474304771408312E-5</v>
      </c>
      <c r="AG252" s="67">
        <f>Integrated[[#This Row],[Flu Deaths 15 to 24 years]]/Integrated[[#This Row],[Population 15 to 24 years]]</f>
        <v>8.8557225679233926E-5</v>
      </c>
      <c r="AH252" s="67">
        <f>Integrated[[#This Row],[Flu Deaths 25 to 34 years]]/Integrated[[#This Row],[Population 25 to 34 years]]</f>
        <v>1.0275960930796541E-4</v>
      </c>
      <c r="AI252" s="67">
        <f>Integrated[[#This Row],[Flu Deaths 35 to 44 years]]/Integrated[[#This Row],[Population 35 to 44 years]]</f>
        <v>1.0211809958216677E-4</v>
      </c>
      <c r="AJ252" s="67">
        <f>Integrated[[#This Row],[Flu Deaths 45 to 54 years]]/Integrated[[#This Row],[Population 45 to 54 years]]</f>
        <v>9.4547895600213675E-5</v>
      </c>
      <c r="AK252" s="67">
        <f>Integrated[[#This Row],[Flu Deaths 55 to 64 years]]/Integrated[[#This Row],[Population 55 to 64 years]]</f>
        <v>1.2627989939701349E-4</v>
      </c>
      <c r="AL252" s="67">
        <f>Integrated[[#This Row],[Flu Deaths 65 to 74 years]]/Integrated[[#This Row],[Population 65 to 74 years]]</f>
        <v>3.596883632084202E-4</v>
      </c>
      <c r="AM252" s="67">
        <f>Integrated[[#This Row],[Flu Deaths 75 to 84 years]]/Integrated[[#This Row],[Population 75 to 84 years]]</f>
        <v>1.3263178578056263E-3</v>
      </c>
      <c r="AN252" s="67">
        <f>Integrated[[#This Row],[Flu Deaths 85+ years]]/Integrated[[#This Row],[Population 85+ years]]</f>
        <v>5.260429373017809E-3</v>
      </c>
      <c r="AO252" s="68">
        <f>Integrated[[#This Row],[Total Flu Deaths]]/Integrated[[#This Row],[Total population]]</f>
        <v>2.7904049963436853E-4</v>
      </c>
    </row>
    <row r="253" spans="1:41" x14ac:dyDescent="0.3">
      <c r="A253" s="44" t="s">
        <v>281</v>
      </c>
      <c r="B253" t="s">
        <v>251</v>
      </c>
      <c r="C253" s="45">
        <v>2014</v>
      </c>
      <c r="D253" s="51">
        <v>4506075</v>
      </c>
      <c r="E253" s="2">
        <v>2183534</v>
      </c>
      <c r="F253" s="2">
        <v>2322543</v>
      </c>
      <c r="G253" s="78">
        <f>Integrated[[#This Row],[Female Total population]]/Integrated[[#This Row],[Total population]]</f>
        <v>0.51542484312844328</v>
      </c>
      <c r="H253" s="2">
        <v>281161</v>
      </c>
      <c r="I253" s="2">
        <v>585534</v>
      </c>
      <c r="J253" s="2">
        <v>635014</v>
      </c>
      <c r="K253" s="2">
        <v>584336</v>
      </c>
      <c r="L253" s="2">
        <v>572881</v>
      </c>
      <c r="M253" s="2">
        <v>630864</v>
      </c>
      <c r="N253" s="2">
        <v>570525</v>
      </c>
      <c r="O253" s="2">
        <v>369390</v>
      </c>
      <c r="P253" s="2">
        <v>201088</v>
      </c>
      <c r="Q253" s="52">
        <v>74806</v>
      </c>
      <c r="R253" s="127">
        <f>Integrated[[#This Row],[Population 85+ years]]/Integrated[[#This Row],[Total population]]</f>
        <v>1.6601144011140517E-2</v>
      </c>
      <c r="S253" s="58">
        <v>120</v>
      </c>
      <c r="T253" s="59">
        <v>60</v>
      </c>
      <c r="U253" s="59">
        <v>60</v>
      </c>
      <c r="V253" s="59">
        <v>70</v>
      </c>
      <c r="W253" s="59">
        <v>86</v>
      </c>
      <c r="X253" s="59">
        <v>60</v>
      </c>
      <c r="Y253" s="59">
        <v>98</v>
      </c>
      <c r="Z253" s="59">
        <v>177</v>
      </c>
      <c r="AA253" s="59">
        <v>261</v>
      </c>
      <c r="AB253" s="59">
        <v>345</v>
      </c>
      <c r="AC253" s="59">
        <f>VLOOKUP($A253,'[1]Flu Deaths Updated'!$A$2:$N$460,14,FALSE)</f>
        <v>60</v>
      </c>
      <c r="AD253" s="60">
        <f t="shared" si="3"/>
        <v>1397</v>
      </c>
      <c r="AE253" s="66">
        <f>Integrated[[#This Row],[Flu Deaths &lt;5 years old]]/Integrated[[#This Row],[Population &lt;5 years]]</f>
        <v>4.2680172570164427E-4</v>
      </c>
      <c r="AF253" s="67">
        <f>Integrated[[#This Row],[Flu Deaths 5 to 14 years]]/Integrated[[#This Row],[Population 5 to 14 years]]</f>
        <v>1.0247056533010892E-4</v>
      </c>
      <c r="AG253" s="67">
        <f>Integrated[[#This Row],[Flu Deaths 15 to 24 years]]/Integrated[[#This Row],[Population 15 to 24 years]]</f>
        <v>9.4486105818139437E-5</v>
      </c>
      <c r="AH253" s="67">
        <f>Integrated[[#This Row],[Flu Deaths 25 to 34 years]]/Integrated[[#This Row],[Population 25 to 34 years]]</f>
        <v>1.026806494893349E-4</v>
      </c>
      <c r="AI253" s="67">
        <f>Integrated[[#This Row],[Flu Deaths 35 to 44 years]]/Integrated[[#This Row],[Population 35 to 44 years]]</f>
        <v>1.2218942502893271E-4</v>
      </c>
      <c r="AJ253" s="67">
        <f>Integrated[[#This Row],[Flu Deaths 45 to 54 years]]/Integrated[[#This Row],[Population 45 to 54 years]]</f>
        <v>1.3632098201831139E-4</v>
      </c>
      <c r="AK253" s="67">
        <f>Integrated[[#This Row],[Flu Deaths 55 to 64 years]]/Integrated[[#This Row],[Population 55 to 64 years]]</f>
        <v>1.7177161386442311E-4</v>
      </c>
      <c r="AL253" s="67">
        <f>Integrated[[#This Row],[Flu Deaths 65 to 74 years]]/Integrated[[#This Row],[Population 65 to 74 years]]</f>
        <v>4.7916835864533422E-4</v>
      </c>
      <c r="AM253" s="67">
        <f>Integrated[[#This Row],[Flu Deaths 75 to 84 years]]/Integrated[[#This Row],[Population 75 to 84 years]]</f>
        <v>1.2979392106938256E-3</v>
      </c>
      <c r="AN253" s="67">
        <f>Integrated[[#This Row],[Flu Deaths 85+ years]]/Integrated[[#This Row],[Population 85+ years]]</f>
        <v>4.6119295243697029E-3</v>
      </c>
      <c r="AO253" s="68">
        <f>Integrated[[#This Row],[Total Flu Deaths]]/Integrated[[#This Row],[Total population]]</f>
        <v>3.1002590946666443E-4</v>
      </c>
    </row>
    <row r="254" spans="1:41" x14ac:dyDescent="0.3">
      <c r="A254" s="44" t="s">
        <v>461</v>
      </c>
      <c r="B254" t="s">
        <v>423</v>
      </c>
      <c r="C254" s="45">
        <v>2009</v>
      </c>
      <c r="D254" s="51">
        <v>5168946</v>
      </c>
      <c r="E254" s="2">
        <v>2569748</v>
      </c>
      <c r="F254" s="2">
        <v>2599199</v>
      </c>
      <c r="G254" s="78">
        <f>Integrated[[#This Row],[Female Total population]]/Integrated[[#This Row],[Total population]]</f>
        <v>0.50284893670779307</v>
      </c>
      <c r="H254" s="2">
        <v>354951</v>
      </c>
      <c r="I254" s="2">
        <v>681606</v>
      </c>
      <c r="J254" s="2">
        <v>743419</v>
      </c>
      <c r="K254" s="2">
        <v>673968</v>
      </c>
      <c r="L254" s="2">
        <v>731434</v>
      </c>
      <c r="M254" s="2">
        <v>791888</v>
      </c>
      <c r="N254" s="2">
        <v>554676</v>
      </c>
      <c r="O254" s="2">
        <v>321529</v>
      </c>
      <c r="P254" s="2">
        <v>219739</v>
      </c>
      <c r="Q254" s="52">
        <v>98753</v>
      </c>
      <c r="R254" s="127">
        <f>Integrated[[#This Row],[Population 85+ years]]/Integrated[[#This Row],[Total population]]</f>
        <v>1.9105055460049303E-2</v>
      </c>
      <c r="S254" s="58">
        <v>120</v>
      </c>
      <c r="T254" s="59">
        <v>60</v>
      </c>
      <c r="U254" s="59">
        <v>60</v>
      </c>
      <c r="V254" s="59">
        <v>60</v>
      </c>
      <c r="W254" s="59">
        <v>66</v>
      </c>
      <c r="X254" s="59">
        <v>60</v>
      </c>
      <c r="Y254" s="59">
        <v>60</v>
      </c>
      <c r="Z254" s="59">
        <v>60</v>
      </c>
      <c r="AA254" s="59">
        <v>116</v>
      </c>
      <c r="AB254" s="59">
        <v>348</v>
      </c>
      <c r="AC254" s="59">
        <f>VLOOKUP($A254,'[1]Flu Deaths Updated'!$A$2:$N$460,14,FALSE)</f>
        <v>60</v>
      </c>
      <c r="AD254" s="60">
        <f t="shared" si="3"/>
        <v>1070</v>
      </c>
      <c r="AE254" s="66">
        <f>Integrated[[#This Row],[Flu Deaths &lt;5 years old]]/Integrated[[#This Row],[Population &lt;5 years]]</f>
        <v>3.3807483286425451E-4</v>
      </c>
      <c r="AF254" s="67">
        <f>Integrated[[#This Row],[Flu Deaths 5 to 14 years]]/Integrated[[#This Row],[Population 5 to 14 years]]</f>
        <v>8.8027394125051716E-5</v>
      </c>
      <c r="AG254" s="67">
        <f>Integrated[[#This Row],[Flu Deaths 15 to 24 years]]/Integrated[[#This Row],[Population 15 to 24 years]]</f>
        <v>8.0708187442075059E-5</v>
      </c>
      <c r="AH254" s="67">
        <f>Integrated[[#This Row],[Flu Deaths 25 to 34 years]]/Integrated[[#This Row],[Population 25 to 34 years]]</f>
        <v>8.902499821950004E-5</v>
      </c>
      <c r="AI254" s="67">
        <f>Integrated[[#This Row],[Flu Deaths 35 to 44 years]]/Integrated[[#This Row],[Population 35 to 44 years]]</f>
        <v>8.2030641178835E-5</v>
      </c>
      <c r="AJ254" s="67">
        <f>Integrated[[#This Row],[Flu Deaths 45 to 54 years]]/Integrated[[#This Row],[Population 45 to 54 years]]</f>
        <v>8.334511951185016E-5</v>
      </c>
      <c r="AK254" s="67">
        <f>Integrated[[#This Row],[Flu Deaths 55 to 64 years]]/Integrated[[#This Row],[Population 55 to 64 years]]</f>
        <v>1.0817125673366073E-4</v>
      </c>
      <c r="AL254" s="67">
        <f>Integrated[[#This Row],[Flu Deaths 65 to 74 years]]/Integrated[[#This Row],[Population 65 to 74 years]]</f>
        <v>1.8660836192069768E-4</v>
      </c>
      <c r="AM254" s="67">
        <f>Integrated[[#This Row],[Flu Deaths 75 to 84 years]]/Integrated[[#This Row],[Population 75 to 84 years]]</f>
        <v>5.2789900745884894E-4</v>
      </c>
      <c r="AN254" s="67">
        <f>Integrated[[#This Row],[Flu Deaths 85+ years]]/Integrated[[#This Row],[Population 85+ years]]</f>
        <v>3.523943576397679E-3</v>
      </c>
      <c r="AO254" s="68">
        <f>Integrated[[#This Row],[Total Flu Deaths]]/Integrated[[#This Row],[Total population]]</f>
        <v>2.070054514015043E-4</v>
      </c>
    </row>
    <row r="255" spans="1:41" x14ac:dyDescent="0.3">
      <c r="A255" s="44" t="s">
        <v>217</v>
      </c>
      <c r="B255" t="s">
        <v>194</v>
      </c>
      <c r="C255" s="45">
        <v>2012</v>
      </c>
      <c r="D255" s="51">
        <v>2781980</v>
      </c>
      <c r="E255" s="2">
        <v>1380266</v>
      </c>
      <c r="F255" s="2">
        <v>1401717</v>
      </c>
      <c r="G255" s="78">
        <f>Integrated[[#This Row],[Female Total population]]/Integrated[[#This Row],[Total population]]</f>
        <v>0.50385588681442717</v>
      </c>
      <c r="H255" s="2">
        <v>198414</v>
      </c>
      <c r="I255" s="2">
        <v>391285</v>
      </c>
      <c r="J255" s="2">
        <v>400929</v>
      </c>
      <c r="K255" s="2">
        <v>369501</v>
      </c>
      <c r="L255" s="2">
        <v>342314</v>
      </c>
      <c r="M255" s="2">
        <v>392853</v>
      </c>
      <c r="N255" s="2">
        <v>323831</v>
      </c>
      <c r="O255" s="2">
        <v>186473</v>
      </c>
      <c r="P255" s="2">
        <v>121504</v>
      </c>
      <c r="Q255" s="52">
        <v>57115</v>
      </c>
      <c r="R255" s="127">
        <f>Integrated[[#This Row],[Population 85+ years]]/Integrated[[#This Row],[Total population]]</f>
        <v>2.0530341699077637E-2</v>
      </c>
      <c r="S255" s="58">
        <v>120</v>
      </c>
      <c r="T255" s="59">
        <v>60</v>
      </c>
      <c r="U255" s="59">
        <v>60</v>
      </c>
      <c r="V255" s="59">
        <v>60</v>
      </c>
      <c r="W255" s="59">
        <v>60</v>
      </c>
      <c r="X255" s="59">
        <v>60</v>
      </c>
      <c r="Y255" s="59">
        <v>60</v>
      </c>
      <c r="Z255" s="59">
        <v>60</v>
      </c>
      <c r="AA255" s="59">
        <v>154</v>
      </c>
      <c r="AB255" s="59">
        <v>348</v>
      </c>
      <c r="AC255" s="59">
        <f>VLOOKUP($A255,'[1]Flu Deaths Updated'!$A$2:$N$460,14,FALSE)</f>
        <v>60</v>
      </c>
      <c r="AD255" s="60">
        <f t="shared" si="3"/>
        <v>1102</v>
      </c>
      <c r="AE255" s="66">
        <f>Integrated[[#This Row],[Flu Deaths &lt;5 years old]]/Integrated[[#This Row],[Population &lt;5 years]]</f>
        <v>6.0479603253802653E-4</v>
      </c>
      <c r="AF255" s="67">
        <f>Integrated[[#This Row],[Flu Deaths 5 to 14 years]]/Integrated[[#This Row],[Population 5 to 14 years]]</f>
        <v>1.533409151896955E-4</v>
      </c>
      <c r="AG255" s="67">
        <f>Integrated[[#This Row],[Flu Deaths 15 to 24 years]]/Integrated[[#This Row],[Population 15 to 24 years]]</f>
        <v>1.4965243222615475E-4</v>
      </c>
      <c r="AH255" s="67">
        <f>Integrated[[#This Row],[Flu Deaths 25 to 34 years]]/Integrated[[#This Row],[Population 25 to 34 years]]</f>
        <v>1.62381157290508E-4</v>
      </c>
      <c r="AI255" s="67">
        <f>Integrated[[#This Row],[Flu Deaths 35 to 44 years]]/Integrated[[#This Row],[Population 35 to 44 years]]</f>
        <v>1.7527766904070532E-4</v>
      </c>
      <c r="AJ255" s="67">
        <f>Integrated[[#This Row],[Flu Deaths 45 to 54 years]]/Integrated[[#This Row],[Population 45 to 54 years]]</f>
        <v>1.5272888332276959E-4</v>
      </c>
      <c r="AK255" s="67">
        <f>Integrated[[#This Row],[Flu Deaths 55 to 64 years]]/Integrated[[#This Row],[Population 55 to 64 years]]</f>
        <v>1.852818291022169E-4</v>
      </c>
      <c r="AL255" s="67">
        <f>Integrated[[#This Row],[Flu Deaths 65 to 74 years]]/Integrated[[#This Row],[Population 65 to 74 years]]</f>
        <v>3.2176239991848685E-4</v>
      </c>
      <c r="AM255" s="67">
        <f>Integrated[[#This Row],[Flu Deaths 75 to 84 years]]/Integrated[[#This Row],[Population 75 to 84 years]]</f>
        <v>1.2674479852515144E-3</v>
      </c>
      <c r="AN255" s="67">
        <f>Integrated[[#This Row],[Flu Deaths 85+ years]]/Integrated[[#This Row],[Population 85+ years]]</f>
        <v>6.092970323032478E-3</v>
      </c>
      <c r="AO255" s="68">
        <f>Integrated[[#This Row],[Total Flu Deaths]]/Integrated[[#This Row],[Total population]]</f>
        <v>3.9612074853162137E-4</v>
      </c>
    </row>
    <row r="256" spans="1:41" x14ac:dyDescent="0.3">
      <c r="A256" s="44" t="s">
        <v>502</v>
      </c>
      <c r="B256" t="s">
        <v>445</v>
      </c>
      <c r="C256" s="45">
        <v>2013</v>
      </c>
      <c r="D256" s="51">
        <v>6470992</v>
      </c>
      <c r="E256" s="2">
        <v>3217196</v>
      </c>
      <c r="F256" s="2">
        <v>3253796</v>
      </c>
      <c r="G256" s="78">
        <f>Integrated[[#This Row],[Female Total population]]/Integrated[[#This Row],[Total population]]</f>
        <v>0.50282800535064798</v>
      </c>
      <c r="H256" s="2">
        <v>446795</v>
      </c>
      <c r="I256" s="2">
        <v>902952</v>
      </c>
      <c r="J256" s="2">
        <v>915366</v>
      </c>
      <c r="K256" s="2">
        <v>865107</v>
      </c>
      <c r="L256" s="2">
        <v>829065</v>
      </c>
      <c r="M256" s="2">
        <v>837958</v>
      </c>
      <c r="N256" s="2">
        <v>746514</v>
      </c>
      <c r="O256" s="2">
        <v>527761</v>
      </c>
      <c r="P256" s="2">
        <v>291112</v>
      </c>
      <c r="Q256" s="52">
        <v>106947</v>
      </c>
      <c r="R256" s="127">
        <f>Integrated[[#This Row],[Population 85+ years]]/Integrated[[#This Row],[Total population]]</f>
        <v>1.6527141433647266E-2</v>
      </c>
      <c r="S256" s="58">
        <v>120</v>
      </c>
      <c r="T256" s="59">
        <v>60</v>
      </c>
      <c r="U256" s="59">
        <v>60</v>
      </c>
      <c r="V256" s="59">
        <v>60</v>
      </c>
      <c r="W256" s="59">
        <v>60</v>
      </c>
      <c r="X256" s="59">
        <v>60</v>
      </c>
      <c r="Y256" s="59">
        <v>65</v>
      </c>
      <c r="Z256" s="59">
        <v>88</v>
      </c>
      <c r="AA256" s="59">
        <v>197</v>
      </c>
      <c r="AB256" s="59">
        <v>348</v>
      </c>
      <c r="AC256" s="59">
        <f>VLOOKUP($A256,'[1]Flu Deaths Updated'!$A$2:$N$460,14,FALSE)</f>
        <v>60</v>
      </c>
      <c r="AD256" s="60">
        <f t="shared" si="3"/>
        <v>1178</v>
      </c>
      <c r="AE256" s="66">
        <f>Integrated[[#This Row],[Flu Deaths &lt;5 years old]]/Integrated[[#This Row],[Population &lt;5 years]]</f>
        <v>2.6857954990543761E-4</v>
      </c>
      <c r="AF256" s="67">
        <f>Integrated[[#This Row],[Flu Deaths 5 to 14 years]]/Integrated[[#This Row],[Population 5 to 14 years]]</f>
        <v>6.6448714881854178E-5</v>
      </c>
      <c r="AG256" s="67">
        <f>Integrated[[#This Row],[Flu Deaths 15 to 24 years]]/Integrated[[#This Row],[Population 15 to 24 years]]</f>
        <v>6.5547551471214791E-5</v>
      </c>
      <c r="AH256" s="67">
        <f>Integrated[[#This Row],[Flu Deaths 25 to 34 years]]/Integrated[[#This Row],[Population 25 to 34 years]]</f>
        <v>6.9355582604232777E-5</v>
      </c>
      <c r="AI256" s="67">
        <f>Integrated[[#This Row],[Flu Deaths 35 to 44 years]]/Integrated[[#This Row],[Population 35 to 44 years]]</f>
        <v>7.2370682636463971E-5</v>
      </c>
      <c r="AJ256" s="67">
        <f>Integrated[[#This Row],[Flu Deaths 45 to 54 years]]/Integrated[[#This Row],[Population 45 to 54 years]]</f>
        <v>7.1602634022230235E-5</v>
      </c>
      <c r="AK256" s="67">
        <f>Integrated[[#This Row],[Flu Deaths 55 to 64 years]]/Integrated[[#This Row],[Population 55 to 64 years]]</f>
        <v>8.7071374414947336E-5</v>
      </c>
      <c r="AL256" s="67">
        <f>Integrated[[#This Row],[Flu Deaths 65 to 74 years]]/Integrated[[#This Row],[Population 65 to 74 years]]</f>
        <v>1.6674214275022218E-4</v>
      </c>
      <c r="AM256" s="67">
        <f>Integrated[[#This Row],[Flu Deaths 75 to 84 years]]/Integrated[[#This Row],[Population 75 to 84 years]]</f>
        <v>6.7671549094506578E-4</v>
      </c>
      <c r="AN256" s="67">
        <f>Integrated[[#This Row],[Flu Deaths 85+ years]]/Integrated[[#This Row],[Population 85+ years]]</f>
        <v>3.2539482173412999E-3</v>
      </c>
      <c r="AO256" s="68">
        <f>Integrated[[#This Row],[Total Flu Deaths]]/Integrated[[#This Row],[Total population]]</f>
        <v>1.8204318595974156E-4</v>
      </c>
    </row>
    <row r="257" spans="1:41" x14ac:dyDescent="0.3">
      <c r="A257" s="44" t="s">
        <v>316</v>
      </c>
      <c r="B257" t="s">
        <v>251</v>
      </c>
      <c r="C257" s="45">
        <v>2011</v>
      </c>
      <c r="D257" s="51">
        <v>4724744</v>
      </c>
      <c r="E257" s="2">
        <v>2293531</v>
      </c>
      <c r="F257" s="2">
        <v>2431218</v>
      </c>
      <c r="G257" s="78">
        <f>Integrated[[#This Row],[Female Total population]]/Integrated[[#This Row],[Total population]]</f>
        <v>0.51457137148594723</v>
      </c>
      <c r="H257" s="2">
        <v>301831</v>
      </c>
      <c r="I257" s="2">
        <v>622682</v>
      </c>
      <c r="J257" s="2">
        <v>676136</v>
      </c>
      <c r="K257" s="2">
        <v>600446</v>
      </c>
      <c r="L257" s="2">
        <v>621034</v>
      </c>
      <c r="M257" s="2">
        <v>685716</v>
      </c>
      <c r="N257" s="2">
        <v>571826</v>
      </c>
      <c r="O257" s="2">
        <v>360983</v>
      </c>
      <c r="P257" s="2">
        <v>209885</v>
      </c>
      <c r="Q257" s="52">
        <v>75203</v>
      </c>
      <c r="R257" s="127">
        <f>Integrated[[#This Row],[Population 85+ years]]/Integrated[[#This Row],[Total population]]</f>
        <v>1.5916841208751205E-2</v>
      </c>
      <c r="S257" s="58">
        <v>120</v>
      </c>
      <c r="T257" s="59">
        <v>60</v>
      </c>
      <c r="U257" s="59">
        <v>60</v>
      </c>
      <c r="V257" s="59">
        <v>60</v>
      </c>
      <c r="W257" s="59">
        <v>60</v>
      </c>
      <c r="X257" s="59">
        <v>60</v>
      </c>
      <c r="Y257" s="59">
        <v>70</v>
      </c>
      <c r="Z257" s="59">
        <v>131</v>
      </c>
      <c r="AA257" s="59">
        <v>292</v>
      </c>
      <c r="AB257" s="59">
        <v>348</v>
      </c>
      <c r="AC257" s="59">
        <f>VLOOKUP($A257,'[1]Flu Deaths Updated'!$A$2:$N$460,14,FALSE)</f>
        <v>60</v>
      </c>
      <c r="AD257" s="60">
        <f t="shared" si="3"/>
        <v>1321</v>
      </c>
      <c r="AE257" s="66">
        <f>Integrated[[#This Row],[Flu Deaths &lt;5 years old]]/Integrated[[#This Row],[Population &lt;5 years]]</f>
        <v>3.9757347654813453E-4</v>
      </c>
      <c r="AF257" s="67">
        <f>Integrated[[#This Row],[Flu Deaths 5 to 14 years]]/Integrated[[#This Row],[Population 5 to 14 years]]</f>
        <v>9.6357370214652106E-5</v>
      </c>
      <c r="AG257" s="67">
        <f>Integrated[[#This Row],[Flu Deaths 15 to 24 years]]/Integrated[[#This Row],[Population 15 to 24 years]]</f>
        <v>8.8739543523788116E-5</v>
      </c>
      <c r="AH257" s="67">
        <f>Integrated[[#This Row],[Flu Deaths 25 to 34 years]]/Integrated[[#This Row],[Population 25 to 34 years]]</f>
        <v>9.9925721880069152E-5</v>
      </c>
      <c r="AI257" s="67">
        <f>Integrated[[#This Row],[Flu Deaths 35 to 44 years]]/Integrated[[#This Row],[Population 35 to 44 years]]</f>
        <v>9.6613067883561936E-5</v>
      </c>
      <c r="AJ257" s="67">
        <f>Integrated[[#This Row],[Flu Deaths 45 to 54 years]]/Integrated[[#This Row],[Population 45 to 54 years]]</f>
        <v>8.7499781250546877E-5</v>
      </c>
      <c r="AK257" s="67">
        <f>Integrated[[#This Row],[Flu Deaths 55 to 64 years]]/Integrated[[#This Row],[Population 55 to 64 years]]</f>
        <v>1.2241486046454692E-4</v>
      </c>
      <c r="AL257" s="67">
        <f>Integrated[[#This Row],[Flu Deaths 65 to 74 years]]/Integrated[[#This Row],[Population 65 to 74 years]]</f>
        <v>3.6289797580495479E-4</v>
      </c>
      <c r="AM257" s="67">
        <f>Integrated[[#This Row],[Flu Deaths 75 to 84 years]]/Integrated[[#This Row],[Population 75 to 84 years]]</f>
        <v>1.391238058937037E-3</v>
      </c>
      <c r="AN257" s="67">
        <f>Integrated[[#This Row],[Flu Deaths 85+ years]]/Integrated[[#This Row],[Population 85+ years]]</f>
        <v>4.6274749677539459E-3</v>
      </c>
      <c r="AO257" s="68">
        <f>Integrated[[#This Row],[Total Flu Deaths]]/Integrated[[#This Row],[Total population]]</f>
        <v>2.7959186783453241E-4</v>
      </c>
    </row>
    <row r="258" spans="1:41" x14ac:dyDescent="0.3">
      <c r="A258" s="44" t="s">
        <v>312</v>
      </c>
      <c r="B258" t="s">
        <v>251</v>
      </c>
      <c r="C258" s="45">
        <v>2010</v>
      </c>
      <c r="D258" s="51">
        <v>4690668</v>
      </c>
      <c r="E258" s="2">
        <v>2275372</v>
      </c>
      <c r="F258" s="2">
        <v>2415298</v>
      </c>
      <c r="G258" s="78">
        <f>Integrated[[#This Row],[Female Total population]]/Integrated[[#This Row],[Total population]]</f>
        <v>0.51491557279261713</v>
      </c>
      <c r="H258" s="2">
        <v>301579</v>
      </c>
      <c r="I258" s="2">
        <v>625577</v>
      </c>
      <c r="J258" s="2">
        <v>670850</v>
      </c>
      <c r="K258" s="2">
        <v>596854</v>
      </c>
      <c r="L258" s="2">
        <v>631299</v>
      </c>
      <c r="M258" s="2">
        <v>682297</v>
      </c>
      <c r="N258" s="2">
        <v>553787</v>
      </c>
      <c r="O258" s="2">
        <v>351780</v>
      </c>
      <c r="P258" s="2">
        <v>206771</v>
      </c>
      <c r="Q258" s="52">
        <v>73891</v>
      </c>
      <c r="R258" s="127">
        <f>Integrated[[#This Row],[Population 85+ years]]/Integrated[[#This Row],[Total population]]</f>
        <v>1.5752766983295342E-2</v>
      </c>
      <c r="S258" s="58">
        <v>120</v>
      </c>
      <c r="T258" s="59">
        <v>60</v>
      </c>
      <c r="U258" s="59">
        <v>60</v>
      </c>
      <c r="V258" s="59">
        <v>60</v>
      </c>
      <c r="W258" s="59">
        <v>65</v>
      </c>
      <c r="X258" s="59">
        <v>60</v>
      </c>
      <c r="Y258" s="59">
        <v>85</v>
      </c>
      <c r="Z258" s="59">
        <v>153</v>
      </c>
      <c r="AA258" s="59">
        <v>263</v>
      </c>
      <c r="AB258" s="59">
        <v>348</v>
      </c>
      <c r="AC258" s="59">
        <f>VLOOKUP($A258,'[1]Flu Deaths Updated'!$A$2:$N$460,14,FALSE)</f>
        <v>60</v>
      </c>
      <c r="AD258" s="60">
        <f t="shared" ref="AD258:AD321" si="4">SUM(S258:AC258)</f>
        <v>1334</v>
      </c>
      <c r="AE258" s="66">
        <f>Integrated[[#This Row],[Flu Deaths &lt;5 years old]]/Integrated[[#This Row],[Population &lt;5 years]]</f>
        <v>3.9790568971977494E-4</v>
      </c>
      <c r="AF258" s="67">
        <f>Integrated[[#This Row],[Flu Deaths 5 to 14 years]]/Integrated[[#This Row],[Population 5 to 14 years]]</f>
        <v>9.5911454545163902E-5</v>
      </c>
      <c r="AG258" s="67">
        <f>Integrated[[#This Row],[Flu Deaths 15 to 24 years]]/Integrated[[#This Row],[Population 15 to 24 years]]</f>
        <v>8.9438771707535215E-5</v>
      </c>
      <c r="AH258" s="67">
        <f>Integrated[[#This Row],[Flu Deaths 25 to 34 years]]/Integrated[[#This Row],[Population 25 to 34 years]]</f>
        <v>1.0052709707901764E-4</v>
      </c>
      <c r="AI258" s="67">
        <f>Integrated[[#This Row],[Flu Deaths 35 to 44 years]]/Integrated[[#This Row],[Population 35 to 44 years]]</f>
        <v>9.5042127422980237E-5</v>
      </c>
      <c r="AJ258" s="67">
        <f>Integrated[[#This Row],[Flu Deaths 45 to 54 years]]/Integrated[[#This Row],[Population 45 to 54 years]]</f>
        <v>9.5266430894463847E-5</v>
      </c>
      <c r="AK258" s="67">
        <f>Integrated[[#This Row],[Flu Deaths 55 to 64 years]]/Integrated[[#This Row],[Population 55 to 64 years]]</f>
        <v>1.5348861565908916E-4</v>
      </c>
      <c r="AL258" s="67">
        <f>Integrated[[#This Row],[Flu Deaths 65 to 74 years]]/Integrated[[#This Row],[Population 65 to 74 years]]</f>
        <v>4.3493092273580078E-4</v>
      </c>
      <c r="AM258" s="67">
        <f>Integrated[[#This Row],[Flu Deaths 75 to 84 years]]/Integrated[[#This Row],[Population 75 to 84 years]]</f>
        <v>1.2719385213593782E-3</v>
      </c>
      <c r="AN258" s="67">
        <f>Integrated[[#This Row],[Flu Deaths 85+ years]]/Integrated[[#This Row],[Population 85+ years]]</f>
        <v>4.7096398749509414E-3</v>
      </c>
      <c r="AO258" s="68">
        <f>Integrated[[#This Row],[Total Flu Deaths]]/Integrated[[#This Row],[Total population]]</f>
        <v>2.8439446151379716E-4</v>
      </c>
    </row>
    <row r="259" spans="1:41" x14ac:dyDescent="0.3">
      <c r="A259" s="44" t="s">
        <v>444</v>
      </c>
      <c r="B259" t="s">
        <v>445</v>
      </c>
      <c r="C259" s="45">
        <v>2009</v>
      </c>
      <c r="D259" s="51">
        <v>6324865</v>
      </c>
      <c r="E259" s="2">
        <v>3169300</v>
      </c>
      <c r="F259" s="2">
        <v>3155565</v>
      </c>
      <c r="G259" s="78">
        <f>Integrated[[#This Row],[Female Total population]]/Integrated[[#This Row],[Total population]]</f>
        <v>0.49891420607396364</v>
      </c>
      <c r="H259" s="2">
        <v>500521</v>
      </c>
      <c r="I259" s="2">
        <v>900250</v>
      </c>
      <c r="J259" s="2">
        <v>858317</v>
      </c>
      <c r="K259" s="2">
        <v>919476</v>
      </c>
      <c r="L259" s="2">
        <v>858841</v>
      </c>
      <c r="M259" s="2">
        <v>819801</v>
      </c>
      <c r="N259" s="2">
        <v>651796</v>
      </c>
      <c r="O259" s="2">
        <v>422675</v>
      </c>
      <c r="P259" s="2">
        <v>294847</v>
      </c>
      <c r="Q259" s="52">
        <v>96577</v>
      </c>
      <c r="R259" s="127">
        <f>Integrated[[#This Row],[Population 85+ years]]/Integrated[[#This Row],[Total population]]</f>
        <v>1.5269416817592155E-2</v>
      </c>
      <c r="S259" s="58">
        <v>120</v>
      </c>
      <c r="T259" s="59">
        <v>60</v>
      </c>
      <c r="U259" s="59">
        <v>60</v>
      </c>
      <c r="V259" s="59">
        <v>65</v>
      </c>
      <c r="W259" s="59">
        <v>82</v>
      </c>
      <c r="X259" s="59">
        <v>60</v>
      </c>
      <c r="Y259" s="59">
        <v>77</v>
      </c>
      <c r="Z259" s="59">
        <v>161</v>
      </c>
      <c r="AA259" s="59">
        <v>278</v>
      </c>
      <c r="AB259" s="59">
        <v>350</v>
      </c>
      <c r="AC259" s="59">
        <f>VLOOKUP($A259,'[1]Flu Deaths Updated'!$A$2:$N$460,14,FALSE)</f>
        <v>60</v>
      </c>
      <c r="AD259" s="60">
        <f t="shared" si="4"/>
        <v>1373</v>
      </c>
      <c r="AE259" s="66">
        <f>Integrated[[#This Row],[Flu Deaths &lt;5 years old]]/Integrated[[#This Row],[Population &lt;5 years]]</f>
        <v>2.3975018031211477E-4</v>
      </c>
      <c r="AF259" s="67">
        <f>Integrated[[#This Row],[Flu Deaths 5 to 14 years]]/Integrated[[#This Row],[Population 5 to 14 years]]</f>
        <v>6.6648153290752572E-5</v>
      </c>
      <c r="AG259" s="67">
        <f>Integrated[[#This Row],[Flu Deaths 15 to 24 years]]/Integrated[[#This Row],[Population 15 to 24 years]]</f>
        <v>6.9904242838019048E-5</v>
      </c>
      <c r="AH259" s="67">
        <f>Integrated[[#This Row],[Flu Deaths 25 to 34 years]]/Integrated[[#This Row],[Population 25 to 34 years]]</f>
        <v>6.5254558030878459E-5</v>
      </c>
      <c r="AI259" s="67">
        <f>Integrated[[#This Row],[Flu Deaths 35 to 44 years]]/Integrated[[#This Row],[Population 35 to 44 years]]</f>
        <v>7.5683391920041085E-5</v>
      </c>
      <c r="AJ259" s="67">
        <f>Integrated[[#This Row],[Flu Deaths 45 to 54 years]]/Integrated[[#This Row],[Population 45 to 54 years]]</f>
        <v>1.0002427418361286E-4</v>
      </c>
      <c r="AK259" s="67">
        <f>Integrated[[#This Row],[Flu Deaths 55 to 64 years]]/Integrated[[#This Row],[Population 55 to 64 years]]</f>
        <v>1.1813512203204684E-4</v>
      </c>
      <c r="AL259" s="67">
        <f>Integrated[[#This Row],[Flu Deaths 65 to 74 years]]/Integrated[[#This Row],[Population 65 to 74 years]]</f>
        <v>3.8090731649612585E-4</v>
      </c>
      <c r="AM259" s="67">
        <f>Integrated[[#This Row],[Flu Deaths 75 to 84 years]]/Integrated[[#This Row],[Population 75 to 84 years]]</f>
        <v>9.4286189108249362E-4</v>
      </c>
      <c r="AN259" s="67">
        <f>Integrated[[#This Row],[Flu Deaths 85+ years]]/Integrated[[#This Row],[Population 85+ years]]</f>
        <v>3.6240512751483274E-3</v>
      </c>
      <c r="AO259" s="68">
        <f>Integrated[[#This Row],[Total Flu Deaths]]/Integrated[[#This Row],[Total population]]</f>
        <v>2.1707973213657526E-4</v>
      </c>
    </row>
    <row r="260" spans="1:41" x14ac:dyDescent="0.3">
      <c r="A260" s="44" t="s">
        <v>230</v>
      </c>
      <c r="B260" t="s">
        <v>197</v>
      </c>
      <c r="C260" s="45">
        <v>2015</v>
      </c>
      <c r="D260" s="51">
        <v>2860431</v>
      </c>
      <c r="E260" s="2">
        <v>1424155</v>
      </c>
      <c r="F260" s="2">
        <v>1436280</v>
      </c>
      <c r="G260" s="78">
        <f>Integrated[[#This Row],[Female Total population]]/Integrated[[#This Row],[Total population]]</f>
        <v>0.50212013504258624</v>
      </c>
      <c r="H260" s="2">
        <v>181662</v>
      </c>
      <c r="I260" s="2">
        <v>374514</v>
      </c>
      <c r="J260" s="2">
        <v>414300</v>
      </c>
      <c r="K260" s="2">
        <v>366692</v>
      </c>
      <c r="L260" s="2">
        <v>337763</v>
      </c>
      <c r="M260" s="2">
        <v>381940</v>
      </c>
      <c r="N260" s="2">
        <v>367965</v>
      </c>
      <c r="O260" s="2">
        <v>230534</v>
      </c>
      <c r="P260" s="2">
        <v>138282</v>
      </c>
      <c r="Q260" s="52">
        <v>67110</v>
      </c>
      <c r="R260" s="127">
        <f>Integrated[[#This Row],[Population 85+ years]]/Integrated[[#This Row],[Total population]]</f>
        <v>2.346149933349205E-2</v>
      </c>
      <c r="S260" s="58">
        <v>120</v>
      </c>
      <c r="T260" s="59">
        <v>60</v>
      </c>
      <c r="U260" s="59">
        <v>60</v>
      </c>
      <c r="V260" s="59">
        <v>60</v>
      </c>
      <c r="W260" s="59">
        <v>60</v>
      </c>
      <c r="X260" s="59">
        <v>60</v>
      </c>
      <c r="Y260" s="59">
        <v>66</v>
      </c>
      <c r="Z260" s="59">
        <v>68</v>
      </c>
      <c r="AA260" s="59">
        <v>120</v>
      </c>
      <c r="AB260" s="59">
        <v>353</v>
      </c>
      <c r="AC260" s="59">
        <f>VLOOKUP($A260,'[1]Flu Deaths Updated'!$A$2:$N$460,14,FALSE)</f>
        <v>60</v>
      </c>
      <c r="AD260" s="60">
        <f t="shared" si="4"/>
        <v>1087</v>
      </c>
      <c r="AE260" s="66">
        <f>Integrated[[#This Row],[Flu Deaths &lt;5 years old]]/Integrated[[#This Row],[Population &lt;5 years]]</f>
        <v>6.6056742742015388E-4</v>
      </c>
      <c r="AF260" s="67">
        <f>Integrated[[#This Row],[Flu Deaths 5 to 14 years]]/Integrated[[#This Row],[Population 5 to 14 years]]</f>
        <v>1.6020762908729714E-4</v>
      </c>
      <c r="AG260" s="67">
        <f>Integrated[[#This Row],[Flu Deaths 15 to 24 years]]/Integrated[[#This Row],[Population 15 to 24 years]]</f>
        <v>1.448225923244026E-4</v>
      </c>
      <c r="AH260" s="67">
        <f>Integrated[[#This Row],[Flu Deaths 25 to 34 years]]/Integrated[[#This Row],[Population 25 to 34 years]]</f>
        <v>1.6362505863231269E-4</v>
      </c>
      <c r="AI260" s="67">
        <f>Integrated[[#This Row],[Flu Deaths 35 to 44 years]]/Integrated[[#This Row],[Population 35 to 44 years]]</f>
        <v>1.7763935066896018E-4</v>
      </c>
      <c r="AJ260" s="67">
        <f>Integrated[[#This Row],[Flu Deaths 45 to 54 years]]/Integrated[[#This Row],[Population 45 to 54 years]]</f>
        <v>1.5709273707912238E-4</v>
      </c>
      <c r="AK260" s="67">
        <f>Integrated[[#This Row],[Flu Deaths 55 to 64 years]]/Integrated[[#This Row],[Population 55 to 64 years]]</f>
        <v>1.793648852472382E-4</v>
      </c>
      <c r="AL260" s="67">
        <f>Integrated[[#This Row],[Flu Deaths 65 to 74 years]]/Integrated[[#This Row],[Population 65 to 74 years]]</f>
        <v>2.9496733670521485E-4</v>
      </c>
      <c r="AM260" s="67">
        <f>Integrated[[#This Row],[Flu Deaths 75 to 84 years]]/Integrated[[#This Row],[Population 75 to 84 years]]</f>
        <v>8.6779190350154032E-4</v>
      </c>
      <c r="AN260" s="67">
        <f>Integrated[[#This Row],[Flu Deaths 85+ years]]/Integrated[[#This Row],[Population 85+ years]]</f>
        <v>5.2600208612725375E-3</v>
      </c>
      <c r="AO260" s="68">
        <f>Integrated[[#This Row],[Total Flu Deaths]]/Integrated[[#This Row],[Total population]]</f>
        <v>3.8001266242744536E-4</v>
      </c>
    </row>
    <row r="261" spans="1:41" x14ac:dyDescent="0.3">
      <c r="A261" s="44" t="s">
        <v>207</v>
      </c>
      <c r="B261" t="s">
        <v>199</v>
      </c>
      <c r="C261" s="45">
        <v>2012</v>
      </c>
      <c r="D261" s="51">
        <v>2802853</v>
      </c>
      <c r="E261" s="2">
        <v>1375074</v>
      </c>
      <c r="F261" s="2">
        <v>1427783</v>
      </c>
      <c r="G261" s="78">
        <f>Integrated[[#This Row],[Female Total population]]/Integrated[[#This Row],[Total population]]</f>
        <v>0.50940345426606393</v>
      </c>
      <c r="H261" s="2">
        <v>188620</v>
      </c>
      <c r="I261" s="2">
        <v>378181</v>
      </c>
      <c r="J261" s="2">
        <v>386288</v>
      </c>
      <c r="K261" s="2">
        <v>361725</v>
      </c>
      <c r="L261" s="2">
        <v>355543</v>
      </c>
      <c r="M261" s="2">
        <v>388039</v>
      </c>
      <c r="N261" s="2">
        <v>340881</v>
      </c>
      <c r="O261" s="2">
        <v>225881</v>
      </c>
      <c r="P261" s="2">
        <v>129990</v>
      </c>
      <c r="Q261" s="52">
        <v>48292</v>
      </c>
      <c r="R261" s="127">
        <f>Integrated[[#This Row],[Population 85+ years]]/Integrated[[#This Row],[Total population]]</f>
        <v>1.7229587138533488E-2</v>
      </c>
      <c r="S261" s="58">
        <v>120</v>
      </c>
      <c r="T261" s="59">
        <v>60</v>
      </c>
      <c r="U261" s="59">
        <v>60</v>
      </c>
      <c r="V261" s="59">
        <v>60</v>
      </c>
      <c r="W261" s="59">
        <v>60</v>
      </c>
      <c r="X261" s="59">
        <v>60</v>
      </c>
      <c r="Y261" s="59">
        <v>65</v>
      </c>
      <c r="Z261" s="59">
        <v>80</v>
      </c>
      <c r="AA261" s="59">
        <v>163</v>
      </c>
      <c r="AB261" s="59">
        <v>353</v>
      </c>
      <c r="AC261" s="59">
        <f>VLOOKUP($A261,'[1]Flu Deaths Updated'!$A$2:$N$460,14,FALSE)</f>
        <v>60</v>
      </c>
      <c r="AD261" s="60">
        <f t="shared" si="4"/>
        <v>1141</v>
      </c>
      <c r="AE261" s="66">
        <f>Integrated[[#This Row],[Flu Deaths &lt;5 years old]]/Integrated[[#This Row],[Population &lt;5 years]]</f>
        <v>6.3619976672675224E-4</v>
      </c>
      <c r="AF261" s="67">
        <f>Integrated[[#This Row],[Flu Deaths 5 to 14 years]]/Integrated[[#This Row],[Population 5 to 14 years]]</f>
        <v>1.5865418939608282E-4</v>
      </c>
      <c r="AG261" s="67">
        <f>Integrated[[#This Row],[Flu Deaths 15 to 24 years]]/Integrated[[#This Row],[Population 15 to 24 years]]</f>
        <v>1.5532452470695441E-4</v>
      </c>
      <c r="AH261" s="67">
        <f>Integrated[[#This Row],[Flu Deaths 25 to 34 years]]/Integrated[[#This Row],[Population 25 to 34 years]]</f>
        <v>1.6587186398507153E-4</v>
      </c>
      <c r="AI261" s="67">
        <f>Integrated[[#This Row],[Flu Deaths 35 to 44 years]]/Integrated[[#This Row],[Population 35 to 44 years]]</f>
        <v>1.6875595919480906E-4</v>
      </c>
      <c r="AJ261" s="67">
        <f>Integrated[[#This Row],[Flu Deaths 45 to 54 years]]/Integrated[[#This Row],[Population 45 to 54 years]]</f>
        <v>1.546236331915091E-4</v>
      </c>
      <c r="AK261" s="67">
        <f>Integrated[[#This Row],[Flu Deaths 55 to 64 years]]/Integrated[[#This Row],[Population 55 to 64 years]]</f>
        <v>1.9068237889468759E-4</v>
      </c>
      <c r="AL261" s="67">
        <f>Integrated[[#This Row],[Flu Deaths 65 to 74 years]]/Integrated[[#This Row],[Population 65 to 74 years]]</f>
        <v>3.5416878799013639E-4</v>
      </c>
      <c r="AM261" s="67">
        <f>Integrated[[#This Row],[Flu Deaths 75 to 84 years]]/Integrated[[#This Row],[Population 75 to 84 years]]</f>
        <v>1.2539426109700745E-3</v>
      </c>
      <c r="AN261" s="67">
        <f>Integrated[[#This Row],[Flu Deaths 85+ years]]/Integrated[[#This Row],[Population 85+ years]]</f>
        <v>7.3096993290814212E-3</v>
      </c>
      <c r="AO261" s="68">
        <f>Integrated[[#This Row],[Total Flu Deaths]]/Integrated[[#This Row],[Total population]]</f>
        <v>4.0708520924928994E-4</v>
      </c>
    </row>
    <row r="262" spans="1:41" x14ac:dyDescent="0.3">
      <c r="A262" s="44" t="s">
        <v>470</v>
      </c>
      <c r="B262" t="s">
        <v>423</v>
      </c>
      <c r="C262" s="45">
        <v>2010</v>
      </c>
      <c r="D262" s="51">
        <v>5228533</v>
      </c>
      <c r="E262" s="2">
        <v>2595037</v>
      </c>
      <c r="F262" s="2">
        <v>2633499</v>
      </c>
      <c r="G262" s="78">
        <f>Integrated[[#This Row],[Female Total population]]/Integrated[[#This Row],[Total population]]</f>
        <v>0.5036783740295796</v>
      </c>
      <c r="H262" s="2">
        <v>352503</v>
      </c>
      <c r="I262" s="2">
        <v>701361</v>
      </c>
      <c r="J262" s="2">
        <v>733885</v>
      </c>
      <c r="K262" s="2">
        <v>692729</v>
      </c>
      <c r="L262" s="2">
        <v>713704</v>
      </c>
      <c r="M262" s="2">
        <v>798301</v>
      </c>
      <c r="N262" s="2">
        <v>583556</v>
      </c>
      <c r="O262" s="2">
        <v>331649</v>
      </c>
      <c r="P262" s="2">
        <v>223478</v>
      </c>
      <c r="Q262" s="52">
        <v>98443</v>
      </c>
      <c r="R262" s="127">
        <f>Integrated[[#This Row],[Population 85+ years]]/Integrated[[#This Row],[Total population]]</f>
        <v>1.8828034555773102E-2</v>
      </c>
      <c r="S262" s="58">
        <v>120</v>
      </c>
      <c r="T262" s="59">
        <v>60</v>
      </c>
      <c r="U262" s="59">
        <v>60</v>
      </c>
      <c r="V262" s="59">
        <v>60</v>
      </c>
      <c r="W262" s="59">
        <v>60</v>
      </c>
      <c r="X262" s="59">
        <v>60</v>
      </c>
      <c r="Y262" s="59">
        <v>60</v>
      </c>
      <c r="Z262" s="59">
        <v>60</v>
      </c>
      <c r="AA262" s="59">
        <v>114</v>
      </c>
      <c r="AB262" s="59">
        <v>355</v>
      </c>
      <c r="AC262" s="59">
        <f>VLOOKUP($A262,'[1]Flu Deaths Updated'!$A$2:$N$460,14,FALSE)</f>
        <v>60</v>
      </c>
      <c r="AD262" s="60">
        <f t="shared" si="4"/>
        <v>1069</v>
      </c>
      <c r="AE262" s="66">
        <f>Integrated[[#This Row],[Flu Deaths &lt;5 years old]]/Integrated[[#This Row],[Population &lt;5 years]]</f>
        <v>3.4042263470098128E-4</v>
      </c>
      <c r="AF262" s="67">
        <f>Integrated[[#This Row],[Flu Deaths 5 to 14 years]]/Integrated[[#This Row],[Population 5 to 14 years]]</f>
        <v>8.5547956045460178E-5</v>
      </c>
      <c r="AG262" s="67">
        <f>Integrated[[#This Row],[Flu Deaths 15 to 24 years]]/Integrated[[#This Row],[Population 15 to 24 years]]</f>
        <v>8.1756678498674855E-5</v>
      </c>
      <c r="AH262" s="67">
        <f>Integrated[[#This Row],[Flu Deaths 25 to 34 years]]/Integrated[[#This Row],[Population 25 to 34 years]]</f>
        <v>8.6613957261786351E-5</v>
      </c>
      <c r="AI262" s="67">
        <f>Integrated[[#This Row],[Flu Deaths 35 to 44 years]]/Integrated[[#This Row],[Population 35 to 44 years]]</f>
        <v>8.4068465358187703E-5</v>
      </c>
      <c r="AJ262" s="67">
        <f>Integrated[[#This Row],[Flu Deaths 45 to 54 years]]/Integrated[[#This Row],[Population 45 to 54 years]]</f>
        <v>7.5159620243492122E-5</v>
      </c>
      <c r="AK262" s="67">
        <f>Integrated[[#This Row],[Flu Deaths 55 to 64 years]]/Integrated[[#This Row],[Population 55 to 64 years]]</f>
        <v>1.0281789579748987E-4</v>
      </c>
      <c r="AL262" s="67">
        <f>Integrated[[#This Row],[Flu Deaths 65 to 74 years]]/Integrated[[#This Row],[Population 65 to 74 years]]</f>
        <v>1.8091415924667345E-4</v>
      </c>
      <c r="AM262" s="67">
        <f>Integrated[[#This Row],[Flu Deaths 75 to 84 years]]/Integrated[[#This Row],[Population 75 to 84 years]]</f>
        <v>5.1011732698520663E-4</v>
      </c>
      <c r="AN262" s="67">
        <f>Integrated[[#This Row],[Flu Deaths 85+ years]]/Integrated[[#This Row],[Population 85+ years]]</f>
        <v>3.6061477200004062E-3</v>
      </c>
      <c r="AO262" s="68">
        <f>Integrated[[#This Row],[Total Flu Deaths]]/Integrated[[#This Row],[Total population]]</f>
        <v>2.0445505460135759E-4</v>
      </c>
    </row>
    <row r="263" spans="1:41" x14ac:dyDescent="0.3">
      <c r="A263" s="44" t="s">
        <v>523</v>
      </c>
      <c r="B263" t="s">
        <v>463</v>
      </c>
      <c r="C263" s="45">
        <v>2012</v>
      </c>
      <c r="D263" s="51">
        <v>6707582</v>
      </c>
      <c r="E263" s="2">
        <v>3344743</v>
      </c>
      <c r="F263" s="2">
        <v>3362839</v>
      </c>
      <c r="G263" s="78">
        <f>Integrated[[#This Row],[Female Total population]]/Integrated[[#This Row],[Total population]]</f>
        <v>0.50134892126551711</v>
      </c>
      <c r="H263" s="2">
        <v>436159</v>
      </c>
      <c r="I263" s="2">
        <v>861307</v>
      </c>
      <c r="J263" s="2">
        <v>925620</v>
      </c>
      <c r="K263" s="2">
        <v>938288</v>
      </c>
      <c r="L263" s="2">
        <v>909609</v>
      </c>
      <c r="M263" s="2">
        <v>976823</v>
      </c>
      <c r="N263" s="2">
        <v>831139</v>
      </c>
      <c r="O263" s="2">
        <v>460598</v>
      </c>
      <c r="P263" s="2">
        <v>257394</v>
      </c>
      <c r="Q263" s="52">
        <v>113590</v>
      </c>
      <c r="R263" s="127">
        <f>Integrated[[#This Row],[Population 85+ years]]/Integrated[[#This Row],[Total population]]</f>
        <v>1.6934567479011065E-2</v>
      </c>
      <c r="S263" s="58">
        <v>120</v>
      </c>
      <c r="T263" s="59">
        <v>60</v>
      </c>
      <c r="U263" s="59">
        <v>60</v>
      </c>
      <c r="V263" s="59">
        <v>60</v>
      </c>
      <c r="W263" s="59">
        <v>60</v>
      </c>
      <c r="X263" s="59">
        <v>60</v>
      </c>
      <c r="Y263" s="59">
        <v>60</v>
      </c>
      <c r="Z263" s="59">
        <v>65</v>
      </c>
      <c r="AA263" s="59">
        <v>165</v>
      </c>
      <c r="AB263" s="59">
        <v>356</v>
      </c>
      <c r="AC263" s="59">
        <f>VLOOKUP($A263,'[1]Flu Deaths Updated'!$A$2:$N$460,14,FALSE)</f>
        <v>60</v>
      </c>
      <c r="AD263" s="60">
        <f t="shared" si="4"/>
        <v>1126</v>
      </c>
      <c r="AE263" s="66">
        <f>Integrated[[#This Row],[Flu Deaths &lt;5 years old]]/Integrated[[#This Row],[Population &lt;5 years]]</f>
        <v>2.7512902404856944E-4</v>
      </c>
      <c r="AF263" s="67">
        <f>Integrated[[#This Row],[Flu Deaths 5 to 14 years]]/Integrated[[#This Row],[Population 5 to 14 years]]</f>
        <v>6.9661572470675379E-5</v>
      </c>
      <c r="AG263" s="67">
        <f>Integrated[[#This Row],[Flu Deaths 15 to 24 years]]/Integrated[[#This Row],[Population 15 to 24 years]]</f>
        <v>6.482141699617554E-5</v>
      </c>
      <c r="AH263" s="67">
        <f>Integrated[[#This Row],[Flu Deaths 25 to 34 years]]/Integrated[[#This Row],[Population 25 to 34 years]]</f>
        <v>6.3946251044455434E-5</v>
      </c>
      <c r="AI263" s="67">
        <f>Integrated[[#This Row],[Flu Deaths 35 to 44 years]]/Integrated[[#This Row],[Population 35 to 44 years]]</f>
        <v>6.5962408023667306E-5</v>
      </c>
      <c r="AJ263" s="67">
        <f>Integrated[[#This Row],[Flu Deaths 45 to 54 years]]/Integrated[[#This Row],[Population 45 to 54 years]]</f>
        <v>6.1423615127817428E-5</v>
      </c>
      <c r="AK263" s="67">
        <f>Integrated[[#This Row],[Flu Deaths 55 to 64 years]]/Integrated[[#This Row],[Population 55 to 64 years]]</f>
        <v>7.2190090947482914E-5</v>
      </c>
      <c r="AL263" s="67">
        <f>Integrated[[#This Row],[Flu Deaths 65 to 74 years]]/Integrated[[#This Row],[Population 65 to 74 years]]</f>
        <v>1.4112089066821827E-4</v>
      </c>
      <c r="AM263" s="67">
        <f>Integrated[[#This Row],[Flu Deaths 75 to 84 years]]/Integrated[[#This Row],[Population 75 to 84 years]]</f>
        <v>6.4104058369658971E-4</v>
      </c>
      <c r="AN263" s="67">
        <f>Integrated[[#This Row],[Flu Deaths 85+ years]]/Integrated[[#This Row],[Population 85+ years]]</f>
        <v>3.1340787041112773E-3</v>
      </c>
      <c r="AO263" s="68">
        <f>Integrated[[#This Row],[Total Flu Deaths]]/Integrated[[#This Row],[Total population]]</f>
        <v>1.6786973308712439E-4</v>
      </c>
    </row>
    <row r="264" spans="1:41" x14ac:dyDescent="0.3">
      <c r="A264" s="44" t="s">
        <v>314</v>
      </c>
      <c r="B264" t="s">
        <v>251</v>
      </c>
      <c r="C264" s="45">
        <v>2009</v>
      </c>
      <c r="D264" s="51">
        <v>4633360</v>
      </c>
      <c r="E264" s="2">
        <v>2244203</v>
      </c>
      <c r="F264" s="2">
        <v>2389158</v>
      </c>
      <c r="G264" s="78">
        <f>Integrated[[#This Row],[Female Total population]]/Integrated[[#This Row],[Total population]]</f>
        <v>0.51564264378334512</v>
      </c>
      <c r="H264" s="2">
        <v>308243</v>
      </c>
      <c r="I264" s="2">
        <v>619736</v>
      </c>
      <c r="J264" s="2">
        <v>656072</v>
      </c>
      <c r="K264" s="2">
        <v>602085</v>
      </c>
      <c r="L264" s="2">
        <v>631367</v>
      </c>
      <c r="M264" s="2">
        <v>665583</v>
      </c>
      <c r="N264" s="2">
        <v>525605</v>
      </c>
      <c r="O264" s="2">
        <v>336019</v>
      </c>
      <c r="P264" s="2">
        <v>213648</v>
      </c>
      <c r="Q264" s="52">
        <v>76514</v>
      </c>
      <c r="R264" s="127">
        <f>Integrated[[#This Row],[Population 85+ years]]/Integrated[[#This Row],[Total population]]</f>
        <v>1.6513717906659529E-2</v>
      </c>
      <c r="S264" s="58">
        <v>120</v>
      </c>
      <c r="T264" s="59">
        <v>60</v>
      </c>
      <c r="U264" s="59">
        <v>60</v>
      </c>
      <c r="V264" s="59">
        <v>60</v>
      </c>
      <c r="W264" s="59">
        <v>73</v>
      </c>
      <c r="X264" s="59">
        <v>60</v>
      </c>
      <c r="Y264" s="59">
        <v>77</v>
      </c>
      <c r="Z264" s="59">
        <v>113</v>
      </c>
      <c r="AA264" s="59">
        <v>261</v>
      </c>
      <c r="AB264" s="59">
        <v>356</v>
      </c>
      <c r="AC264" s="59">
        <f>VLOOKUP($A264,'[1]Flu Deaths Updated'!$A$2:$N$460,14,FALSE)</f>
        <v>60</v>
      </c>
      <c r="AD264" s="60">
        <f t="shared" si="4"/>
        <v>1300</v>
      </c>
      <c r="AE264" s="66">
        <f>Integrated[[#This Row],[Flu Deaths &lt;5 years old]]/Integrated[[#This Row],[Population &lt;5 years]]</f>
        <v>3.8930324451812371E-4</v>
      </c>
      <c r="AF264" s="67">
        <f>Integrated[[#This Row],[Flu Deaths 5 to 14 years]]/Integrated[[#This Row],[Population 5 to 14 years]]</f>
        <v>9.6815418178062911E-5</v>
      </c>
      <c r="AG264" s="67">
        <f>Integrated[[#This Row],[Flu Deaths 15 to 24 years]]/Integrated[[#This Row],[Population 15 to 24 years]]</f>
        <v>9.1453377068370539E-5</v>
      </c>
      <c r="AH264" s="67">
        <f>Integrated[[#This Row],[Flu Deaths 25 to 34 years]]/Integrated[[#This Row],[Population 25 to 34 years]]</f>
        <v>9.9653703380751894E-5</v>
      </c>
      <c r="AI264" s="67">
        <f>Integrated[[#This Row],[Flu Deaths 35 to 44 years]]/Integrated[[#This Row],[Population 35 to 44 years]]</f>
        <v>9.5031891118794619E-5</v>
      </c>
      <c r="AJ264" s="67">
        <f>Integrated[[#This Row],[Flu Deaths 45 to 54 years]]/Integrated[[#This Row],[Population 45 to 54 years]]</f>
        <v>1.0967828204746816E-4</v>
      </c>
      <c r="AK264" s="67">
        <f>Integrated[[#This Row],[Flu Deaths 55 to 64 years]]/Integrated[[#This Row],[Population 55 to 64 years]]</f>
        <v>1.4649784534013184E-4</v>
      </c>
      <c r="AL264" s="67">
        <f>Integrated[[#This Row],[Flu Deaths 65 to 74 years]]/Integrated[[#This Row],[Population 65 to 74 years]]</f>
        <v>3.3629050738202305E-4</v>
      </c>
      <c r="AM264" s="67">
        <f>Integrated[[#This Row],[Flu Deaths 75 to 84 years]]/Integrated[[#This Row],[Population 75 to 84 years]]</f>
        <v>1.2216355875084252E-3</v>
      </c>
      <c r="AN264" s="67">
        <f>Integrated[[#This Row],[Flu Deaths 85+ years]]/Integrated[[#This Row],[Population 85+ years]]</f>
        <v>4.6527432888098909E-3</v>
      </c>
      <c r="AO264" s="68">
        <f>Integrated[[#This Row],[Total Flu Deaths]]/Integrated[[#This Row],[Total population]]</f>
        <v>2.8057392475438992E-4</v>
      </c>
    </row>
    <row r="265" spans="1:41" x14ac:dyDescent="0.3">
      <c r="A265" s="44" t="s">
        <v>290</v>
      </c>
      <c r="B265" t="s">
        <v>246</v>
      </c>
      <c r="C265" s="45">
        <v>2012</v>
      </c>
      <c r="D265" s="51">
        <v>4188969</v>
      </c>
      <c r="E265" s="2">
        <v>2058676</v>
      </c>
      <c r="F265" s="2">
        <v>2130294</v>
      </c>
      <c r="G265" s="78">
        <f>Integrated[[#This Row],[Female Total population]]/Integrated[[#This Row],[Total population]]</f>
        <v>0.5085485235149747</v>
      </c>
      <c r="H265" s="2">
        <v>270647</v>
      </c>
      <c r="I265" s="2">
        <v>548252</v>
      </c>
      <c r="J265" s="2">
        <v>570208</v>
      </c>
      <c r="K265" s="2">
        <v>544293</v>
      </c>
      <c r="L265" s="2">
        <v>558410</v>
      </c>
      <c r="M265" s="2">
        <v>613432</v>
      </c>
      <c r="N265" s="2">
        <v>520168</v>
      </c>
      <c r="O265" s="2">
        <v>318213</v>
      </c>
      <c r="P265" s="2">
        <v>176893</v>
      </c>
      <c r="Q265" s="52">
        <v>69100</v>
      </c>
      <c r="R265" s="127">
        <f>Integrated[[#This Row],[Population 85+ years]]/Integrated[[#This Row],[Total population]]</f>
        <v>1.6495705745256172E-2</v>
      </c>
      <c r="S265" s="58">
        <v>120</v>
      </c>
      <c r="T265" s="59">
        <v>60</v>
      </c>
      <c r="U265" s="59">
        <v>60</v>
      </c>
      <c r="V265" s="59">
        <v>60</v>
      </c>
      <c r="W265" s="59">
        <v>60</v>
      </c>
      <c r="X265" s="59">
        <v>60</v>
      </c>
      <c r="Y265" s="59">
        <v>73</v>
      </c>
      <c r="Z265" s="59">
        <v>115</v>
      </c>
      <c r="AA265" s="59">
        <v>244</v>
      </c>
      <c r="AB265" s="59">
        <v>357</v>
      </c>
      <c r="AC265" s="59">
        <f>VLOOKUP($A265,'[1]Flu Deaths Updated'!$A$2:$N$460,14,FALSE)</f>
        <v>60</v>
      </c>
      <c r="AD265" s="60">
        <f t="shared" si="4"/>
        <v>1269</v>
      </c>
      <c r="AE265" s="66">
        <f>Integrated[[#This Row],[Flu Deaths &lt;5 years old]]/Integrated[[#This Row],[Population &lt;5 years]]</f>
        <v>4.4338196987219516E-4</v>
      </c>
      <c r="AF265" s="67">
        <f>Integrated[[#This Row],[Flu Deaths 5 to 14 years]]/Integrated[[#This Row],[Population 5 to 14 years]]</f>
        <v>1.094387252577282E-4</v>
      </c>
      <c r="AG265" s="67">
        <f>Integrated[[#This Row],[Flu Deaths 15 to 24 years]]/Integrated[[#This Row],[Population 15 to 24 years]]</f>
        <v>1.05224760087547E-4</v>
      </c>
      <c r="AH265" s="67">
        <f>Integrated[[#This Row],[Flu Deaths 25 to 34 years]]/Integrated[[#This Row],[Population 25 to 34 years]]</f>
        <v>1.1023474488924164E-4</v>
      </c>
      <c r="AI265" s="67">
        <f>Integrated[[#This Row],[Flu Deaths 35 to 44 years]]/Integrated[[#This Row],[Population 35 to 44 years]]</f>
        <v>1.0744793252269837E-4</v>
      </c>
      <c r="AJ265" s="67">
        <f>Integrated[[#This Row],[Flu Deaths 45 to 54 years]]/Integrated[[#This Row],[Population 45 to 54 years]]</f>
        <v>9.7810352247681897E-5</v>
      </c>
      <c r="AK265" s="67">
        <f>Integrated[[#This Row],[Flu Deaths 55 to 64 years]]/Integrated[[#This Row],[Population 55 to 64 years]]</f>
        <v>1.4033927500346042E-4</v>
      </c>
      <c r="AL265" s="67">
        <f>Integrated[[#This Row],[Flu Deaths 65 to 74 years]]/Integrated[[#This Row],[Population 65 to 74 years]]</f>
        <v>3.6139315489939127E-4</v>
      </c>
      <c r="AM265" s="67">
        <f>Integrated[[#This Row],[Flu Deaths 75 to 84 years]]/Integrated[[#This Row],[Population 75 to 84 years]]</f>
        <v>1.379364926820168E-3</v>
      </c>
      <c r="AN265" s="67">
        <f>Integrated[[#This Row],[Flu Deaths 85+ years]]/Integrated[[#This Row],[Population 85+ years]]</f>
        <v>5.1664254703328513E-3</v>
      </c>
      <c r="AO265" s="68">
        <f>Integrated[[#This Row],[Total Flu Deaths]]/Integrated[[#This Row],[Total population]]</f>
        <v>3.0293850348379279E-4</v>
      </c>
    </row>
    <row r="266" spans="1:41" x14ac:dyDescent="0.3">
      <c r="A266" s="44" t="s">
        <v>322</v>
      </c>
      <c r="B266" t="s">
        <v>251</v>
      </c>
      <c r="C266" s="45">
        <v>2012</v>
      </c>
      <c r="D266" s="51">
        <v>4750734</v>
      </c>
      <c r="E266" s="2">
        <v>2306658</v>
      </c>
      <c r="F266" s="2">
        <v>2444078</v>
      </c>
      <c r="G266" s="78">
        <f>Integrated[[#This Row],[Female Total population]]/Integrated[[#This Row],[Total population]]</f>
        <v>0.51446323873321465</v>
      </c>
      <c r="H266" s="2">
        <v>302851</v>
      </c>
      <c r="I266" s="2">
        <v>623139</v>
      </c>
      <c r="J266" s="2">
        <v>672523</v>
      </c>
      <c r="K266" s="2">
        <v>603197</v>
      </c>
      <c r="L266" s="2">
        <v>615611</v>
      </c>
      <c r="M266" s="2">
        <v>685690</v>
      </c>
      <c r="N266" s="2">
        <v>587842</v>
      </c>
      <c r="O266" s="2">
        <v>373280</v>
      </c>
      <c r="P266" s="2">
        <v>209917</v>
      </c>
      <c r="Q266" s="52">
        <v>77173</v>
      </c>
      <c r="R266" s="127">
        <f>Integrated[[#This Row],[Population 85+ years]]/Integrated[[#This Row],[Total population]]</f>
        <v>1.6244437175392267E-2</v>
      </c>
      <c r="S266" s="58">
        <v>120</v>
      </c>
      <c r="T266" s="59">
        <v>60</v>
      </c>
      <c r="U266" s="59">
        <v>60</v>
      </c>
      <c r="V266" s="59">
        <v>60</v>
      </c>
      <c r="W266" s="59">
        <v>60</v>
      </c>
      <c r="X266" s="59">
        <v>60</v>
      </c>
      <c r="Y266" s="59">
        <v>75</v>
      </c>
      <c r="Z266" s="59">
        <v>128</v>
      </c>
      <c r="AA266" s="59">
        <v>270</v>
      </c>
      <c r="AB266" s="59">
        <v>358</v>
      </c>
      <c r="AC266" s="59">
        <f>VLOOKUP($A266,'[1]Flu Deaths Updated'!$A$2:$N$460,14,FALSE)</f>
        <v>60</v>
      </c>
      <c r="AD266" s="60">
        <f t="shared" si="4"/>
        <v>1311</v>
      </c>
      <c r="AE266" s="66">
        <f>Integrated[[#This Row],[Flu Deaths &lt;5 years old]]/Integrated[[#This Row],[Population &lt;5 years]]</f>
        <v>3.9623445192520416E-4</v>
      </c>
      <c r="AF266" s="67">
        <f>Integrated[[#This Row],[Flu Deaths 5 to 14 years]]/Integrated[[#This Row],[Population 5 to 14 years]]</f>
        <v>9.6286703287709488E-5</v>
      </c>
      <c r="AG266" s="67">
        <f>Integrated[[#This Row],[Flu Deaths 15 to 24 years]]/Integrated[[#This Row],[Population 15 to 24 years]]</f>
        <v>8.9216279591924734E-5</v>
      </c>
      <c r="AH266" s="67">
        <f>Integrated[[#This Row],[Flu Deaths 25 to 34 years]]/Integrated[[#This Row],[Population 25 to 34 years]]</f>
        <v>9.9469990732712536E-5</v>
      </c>
      <c r="AI266" s="67">
        <f>Integrated[[#This Row],[Flu Deaths 35 to 44 years]]/Integrated[[#This Row],[Population 35 to 44 years]]</f>
        <v>9.7464145377519241E-5</v>
      </c>
      <c r="AJ266" s="67">
        <f>Integrated[[#This Row],[Flu Deaths 45 to 54 years]]/Integrated[[#This Row],[Population 45 to 54 years]]</f>
        <v>8.7503099068091992E-5</v>
      </c>
      <c r="AK266" s="67">
        <f>Integrated[[#This Row],[Flu Deaths 55 to 64 years]]/Integrated[[#This Row],[Population 55 to 64 years]]</f>
        <v>1.2758530353394279E-4</v>
      </c>
      <c r="AL266" s="67">
        <f>Integrated[[#This Row],[Flu Deaths 65 to 74 years]]/Integrated[[#This Row],[Population 65 to 74 years]]</f>
        <v>3.4290612944706388E-4</v>
      </c>
      <c r="AM266" s="67">
        <f>Integrated[[#This Row],[Flu Deaths 75 to 84 years]]/Integrated[[#This Row],[Population 75 to 84 years]]</f>
        <v>1.286222649904486E-3</v>
      </c>
      <c r="AN266" s="67">
        <f>Integrated[[#This Row],[Flu Deaths 85+ years]]/Integrated[[#This Row],[Population 85+ years]]</f>
        <v>4.6389281225299008E-3</v>
      </c>
      <c r="AO266" s="68">
        <f>Integrated[[#This Row],[Total Flu Deaths]]/Integrated[[#This Row],[Total population]]</f>
        <v>2.7595735732625736E-4</v>
      </c>
    </row>
    <row r="267" spans="1:41" x14ac:dyDescent="0.3">
      <c r="A267" s="44" t="s">
        <v>210</v>
      </c>
      <c r="B267" t="s">
        <v>194</v>
      </c>
      <c r="C267" s="45">
        <v>2015</v>
      </c>
      <c r="D267" s="51">
        <v>2767816</v>
      </c>
      <c r="E267" s="2">
        <v>1377333</v>
      </c>
      <c r="F267" s="2">
        <v>1390490</v>
      </c>
      <c r="G267" s="78">
        <f>Integrated[[#This Row],[Female Total population]]/Integrated[[#This Row],[Total population]]</f>
        <v>0.50237804825176235</v>
      </c>
      <c r="H267" s="2">
        <v>190776</v>
      </c>
      <c r="I267" s="2">
        <v>385336</v>
      </c>
      <c r="J267" s="2">
        <v>401724</v>
      </c>
      <c r="K267" s="2">
        <v>369680</v>
      </c>
      <c r="L267" s="2">
        <v>332563</v>
      </c>
      <c r="M267" s="2">
        <v>362775</v>
      </c>
      <c r="N267" s="2">
        <v>342681</v>
      </c>
      <c r="O267" s="2">
        <v>207999</v>
      </c>
      <c r="P267" s="2">
        <v>119072</v>
      </c>
      <c r="Q267" s="52">
        <v>56242</v>
      </c>
      <c r="R267" s="127">
        <f>Integrated[[#This Row],[Population 85+ years]]/Integrated[[#This Row],[Total population]]</f>
        <v>2.0319992369434964E-2</v>
      </c>
      <c r="S267" s="58">
        <v>120</v>
      </c>
      <c r="T267" s="59">
        <v>60</v>
      </c>
      <c r="U267" s="59">
        <v>60</v>
      </c>
      <c r="V267" s="59">
        <v>60</v>
      </c>
      <c r="W267" s="59">
        <v>60</v>
      </c>
      <c r="X267" s="59">
        <v>60</v>
      </c>
      <c r="Y267" s="59">
        <v>60</v>
      </c>
      <c r="Z267" s="59">
        <v>78</v>
      </c>
      <c r="AA267" s="59">
        <v>139</v>
      </c>
      <c r="AB267" s="59">
        <v>360</v>
      </c>
      <c r="AC267" s="59">
        <f>VLOOKUP($A267,'[1]Flu Deaths Updated'!$A$2:$N$460,14,FALSE)</f>
        <v>60</v>
      </c>
      <c r="AD267" s="60">
        <f t="shared" si="4"/>
        <v>1117</v>
      </c>
      <c r="AE267" s="66">
        <f>Integrated[[#This Row],[Flu Deaths &lt;5 years old]]/Integrated[[#This Row],[Population &lt;5 years]]</f>
        <v>6.2900993835702601E-4</v>
      </c>
      <c r="AF267" s="67">
        <f>Integrated[[#This Row],[Flu Deaths 5 to 14 years]]/Integrated[[#This Row],[Population 5 to 14 years]]</f>
        <v>1.5570826499470593E-4</v>
      </c>
      <c r="AG267" s="67">
        <f>Integrated[[#This Row],[Flu Deaths 15 to 24 years]]/Integrated[[#This Row],[Population 15 to 24 years]]</f>
        <v>1.4935627445708993E-4</v>
      </c>
      <c r="AH267" s="67">
        <f>Integrated[[#This Row],[Flu Deaths 25 to 34 years]]/Integrated[[#This Row],[Population 25 to 34 years]]</f>
        <v>1.6230253191949794E-4</v>
      </c>
      <c r="AI267" s="67">
        <f>Integrated[[#This Row],[Flu Deaths 35 to 44 years]]/Integrated[[#This Row],[Population 35 to 44 years]]</f>
        <v>1.8041694355655922E-4</v>
      </c>
      <c r="AJ267" s="67">
        <f>Integrated[[#This Row],[Flu Deaths 45 to 54 years]]/Integrated[[#This Row],[Population 45 to 54 years]]</f>
        <v>1.6539177175935497E-4</v>
      </c>
      <c r="AK267" s="67">
        <f>Integrated[[#This Row],[Flu Deaths 55 to 64 years]]/Integrated[[#This Row],[Population 55 to 64 years]]</f>
        <v>1.7508995246307791E-4</v>
      </c>
      <c r="AL267" s="67">
        <f>Integrated[[#This Row],[Flu Deaths 65 to 74 years]]/Integrated[[#This Row],[Population 65 to 74 years]]</f>
        <v>3.7500180289328313E-4</v>
      </c>
      <c r="AM267" s="67">
        <f>Integrated[[#This Row],[Flu Deaths 75 to 84 years]]/Integrated[[#This Row],[Population 75 to 84 years]]</f>
        <v>1.1673609244826659E-3</v>
      </c>
      <c r="AN267" s="67">
        <f>Integrated[[#This Row],[Flu Deaths 85+ years]]/Integrated[[#This Row],[Population 85+ years]]</f>
        <v>6.4009103516944636E-3</v>
      </c>
      <c r="AO267" s="68">
        <f>Integrated[[#This Row],[Total Flu Deaths]]/Integrated[[#This Row],[Total population]]</f>
        <v>4.0356728915505945E-4</v>
      </c>
    </row>
    <row r="268" spans="1:41" x14ac:dyDescent="0.3">
      <c r="A268" s="44" t="s">
        <v>284</v>
      </c>
      <c r="B268" t="s">
        <v>260</v>
      </c>
      <c r="C268" s="45">
        <v>2014</v>
      </c>
      <c r="D268" s="51">
        <v>3592053</v>
      </c>
      <c r="E268" s="2">
        <v>1750621</v>
      </c>
      <c r="F268" s="2">
        <v>1841432</v>
      </c>
      <c r="G268" s="78">
        <f>Integrated[[#This Row],[Female Total population]]/Integrated[[#This Row],[Total population]]</f>
        <v>0.51264054288731264</v>
      </c>
      <c r="H268" s="2">
        <v>194085</v>
      </c>
      <c r="I268" s="2">
        <v>453501</v>
      </c>
      <c r="J268" s="2">
        <v>489998</v>
      </c>
      <c r="K268" s="2">
        <v>433453</v>
      </c>
      <c r="L268" s="2">
        <v>459879</v>
      </c>
      <c r="M268" s="2">
        <v>564053</v>
      </c>
      <c r="N268" s="2">
        <v>469408</v>
      </c>
      <c r="O268" s="2">
        <v>281217</v>
      </c>
      <c r="P268" s="2">
        <v>163452</v>
      </c>
      <c r="Q268" s="52">
        <v>86815</v>
      </c>
      <c r="R268" s="127">
        <f>Integrated[[#This Row],[Population 85+ years]]/Integrated[[#This Row],[Total population]]</f>
        <v>2.4168630028565837E-2</v>
      </c>
      <c r="S268" s="58">
        <v>120</v>
      </c>
      <c r="T268" s="59">
        <v>60</v>
      </c>
      <c r="U268" s="59">
        <v>60</v>
      </c>
      <c r="V268" s="59">
        <v>60</v>
      </c>
      <c r="W268" s="59">
        <v>60</v>
      </c>
      <c r="X268" s="59">
        <v>60</v>
      </c>
      <c r="Y268" s="59">
        <v>60</v>
      </c>
      <c r="Z268" s="59">
        <v>75</v>
      </c>
      <c r="AA268" s="59">
        <v>128</v>
      </c>
      <c r="AB268" s="59">
        <v>364</v>
      </c>
      <c r="AC268" s="59">
        <f>VLOOKUP($A268,'[1]Flu Deaths Updated'!$A$2:$N$460,14,FALSE)</f>
        <v>60</v>
      </c>
      <c r="AD268" s="60">
        <f t="shared" si="4"/>
        <v>1107</v>
      </c>
      <c r="AE268" s="66">
        <f>Integrated[[#This Row],[Flu Deaths &lt;5 years old]]/Integrated[[#This Row],[Population &lt;5 years]]</f>
        <v>6.1828580261225746E-4</v>
      </c>
      <c r="AF268" s="67">
        <f>Integrated[[#This Row],[Flu Deaths 5 to 14 years]]/Integrated[[#This Row],[Population 5 to 14 years]]</f>
        <v>1.3230400814992691E-4</v>
      </c>
      <c r="AG268" s="67">
        <f>Integrated[[#This Row],[Flu Deaths 15 to 24 years]]/Integrated[[#This Row],[Population 15 to 24 years]]</f>
        <v>1.2244947938563016E-4</v>
      </c>
      <c r="AH268" s="67">
        <f>Integrated[[#This Row],[Flu Deaths 25 to 34 years]]/Integrated[[#This Row],[Population 25 to 34 years]]</f>
        <v>1.3842331233144078E-4</v>
      </c>
      <c r="AI268" s="67">
        <f>Integrated[[#This Row],[Flu Deaths 35 to 44 years]]/Integrated[[#This Row],[Population 35 to 44 years]]</f>
        <v>1.3046910165500055E-4</v>
      </c>
      <c r="AJ268" s="67">
        <f>Integrated[[#This Row],[Flu Deaths 45 to 54 years]]/Integrated[[#This Row],[Population 45 to 54 years]]</f>
        <v>1.0637298268070554E-4</v>
      </c>
      <c r="AK268" s="67">
        <f>Integrated[[#This Row],[Flu Deaths 55 to 64 years]]/Integrated[[#This Row],[Population 55 to 64 years]]</f>
        <v>1.2782057399959097E-4</v>
      </c>
      <c r="AL268" s="67">
        <f>Integrated[[#This Row],[Flu Deaths 65 to 74 years]]/Integrated[[#This Row],[Population 65 to 74 years]]</f>
        <v>2.6669795922721598E-4</v>
      </c>
      <c r="AM268" s="67">
        <f>Integrated[[#This Row],[Flu Deaths 75 to 84 years]]/Integrated[[#This Row],[Population 75 to 84 years]]</f>
        <v>7.8310451998140121E-4</v>
      </c>
      <c r="AN268" s="67">
        <f>Integrated[[#This Row],[Flu Deaths 85+ years]]/Integrated[[#This Row],[Population 85+ years]]</f>
        <v>4.1928238207683006E-3</v>
      </c>
      <c r="AO268" s="68">
        <f>Integrated[[#This Row],[Total Flu Deaths]]/Integrated[[#This Row],[Total population]]</f>
        <v>3.0818030802997617E-4</v>
      </c>
    </row>
    <row r="269" spans="1:41" x14ac:dyDescent="0.3">
      <c r="A269" s="44" t="s">
        <v>259</v>
      </c>
      <c r="B269" t="s">
        <v>260</v>
      </c>
      <c r="C269" s="45">
        <v>2009</v>
      </c>
      <c r="D269" s="51">
        <v>3494487</v>
      </c>
      <c r="E269" s="2">
        <v>1704135</v>
      </c>
      <c r="F269" s="2">
        <v>1790352</v>
      </c>
      <c r="G269" s="78">
        <f>Integrated[[#This Row],[Female Total population]]/Integrated[[#This Row],[Total population]]</f>
        <v>0.51233614547714734</v>
      </c>
      <c r="H269" s="2">
        <v>212561</v>
      </c>
      <c r="I269" s="2">
        <v>459495</v>
      </c>
      <c r="J269" s="2">
        <v>478052</v>
      </c>
      <c r="K269" s="2">
        <v>403277</v>
      </c>
      <c r="L269" s="2">
        <v>519808</v>
      </c>
      <c r="M269" s="2">
        <v>548360</v>
      </c>
      <c r="N269" s="2">
        <v>397054</v>
      </c>
      <c r="O269" s="2">
        <v>233958</v>
      </c>
      <c r="P269" s="2">
        <v>164929</v>
      </c>
      <c r="Q269" s="52">
        <v>77310</v>
      </c>
      <c r="R269" s="127">
        <f>Integrated[[#This Row],[Population 85+ years]]/Integrated[[#This Row],[Total population]]</f>
        <v>2.2123418973943813E-2</v>
      </c>
      <c r="S269" s="58">
        <v>120</v>
      </c>
      <c r="T269" s="59">
        <v>60</v>
      </c>
      <c r="U269" s="59">
        <v>60</v>
      </c>
      <c r="V269" s="59">
        <v>60</v>
      </c>
      <c r="W269" s="59">
        <v>60</v>
      </c>
      <c r="X269" s="59">
        <v>60</v>
      </c>
      <c r="Y269" s="59">
        <v>60</v>
      </c>
      <c r="Z269" s="59">
        <v>67</v>
      </c>
      <c r="AA269" s="59">
        <v>175</v>
      </c>
      <c r="AB269" s="59">
        <v>364</v>
      </c>
      <c r="AC269" s="59">
        <f>VLOOKUP($A269,'[1]Flu Deaths Updated'!$A$2:$N$460,14,FALSE)</f>
        <v>60</v>
      </c>
      <c r="AD269" s="60">
        <f t="shared" si="4"/>
        <v>1146</v>
      </c>
      <c r="AE269" s="66">
        <f>Integrated[[#This Row],[Flu Deaths &lt;5 years old]]/Integrated[[#This Row],[Population &lt;5 years]]</f>
        <v>5.6454382506668677E-4</v>
      </c>
      <c r="AF269" s="67">
        <f>Integrated[[#This Row],[Flu Deaths 5 to 14 years]]/Integrated[[#This Row],[Population 5 to 14 years]]</f>
        <v>1.3057813469134592E-4</v>
      </c>
      <c r="AG269" s="67">
        <f>Integrated[[#This Row],[Flu Deaths 15 to 24 years]]/Integrated[[#This Row],[Population 15 to 24 years]]</f>
        <v>1.2550935881452228E-4</v>
      </c>
      <c r="AH269" s="67">
        <f>Integrated[[#This Row],[Flu Deaths 25 to 34 years]]/Integrated[[#This Row],[Population 25 to 34 years]]</f>
        <v>1.4878111075017917E-4</v>
      </c>
      <c r="AI269" s="67">
        <f>Integrated[[#This Row],[Flu Deaths 35 to 44 years]]/Integrated[[#This Row],[Population 35 to 44 years]]</f>
        <v>1.1542723467126323E-4</v>
      </c>
      <c r="AJ269" s="67">
        <f>Integrated[[#This Row],[Flu Deaths 45 to 54 years]]/Integrated[[#This Row],[Population 45 to 54 years]]</f>
        <v>1.0941717120140054E-4</v>
      </c>
      <c r="AK269" s="67">
        <f>Integrated[[#This Row],[Flu Deaths 55 to 64 years]]/Integrated[[#This Row],[Population 55 to 64 years]]</f>
        <v>1.511129468535766E-4</v>
      </c>
      <c r="AL269" s="67">
        <f>Integrated[[#This Row],[Flu Deaths 65 to 74 years]]/Integrated[[#This Row],[Population 65 to 74 years]]</f>
        <v>2.8637618717889535E-4</v>
      </c>
      <c r="AM269" s="67">
        <f>Integrated[[#This Row],[Flu Deaths 75 to 84 years]]/Integrated[[#This Row],[Population 75 to 84 years]]</f>
        <v>1.0610626390749958E-3</v>
      </c>
      <c r="AN269" s="67">
        <f>Integrated[[#This Row],[Flu Deaths 85+ years]]/Integrated[[#This Row],[Population 85+ years]]</f>
        <v>4.7083171646617513E-3</v>
      </c>
      <c r="AO269" s="68">
        <f>Integrated[[#This Row],[Total Flu Deaths]]/Integrated[[#This Row],[Total population]]</f>
        <v>3.2794513186055633E-4</v>
      </c>
    </row>
    <row r="270" spans="1:41" x14ac:dyDescent="0.3">
      <c r="A270" s="44" t="s">
        <v>513</v>
      </c>
      <c r="B270" t="s">
        <v>463</v>
      </c>
      <c r="C270" s="45">
        <v>2011</v>
      </c>
      <c r="D270" s="51">
        <v>6628098</v>
      </c>
      <c r="E270" s="2">
        <v>3302333</v>
      </c>
      <c r="F270" s="2">
        <v>3325765</v>
      </c>
      <c r="G270" s="78">
        <f>Integrated[[#This Row],[Female Total population]]/Integrated[[#This Row],[Total population]]</f>
        <v>0.50176762624813331</v>
      </c>
      <c r="H270" s="2">
        <v>431462</v>
      </c>
      <c r="I270" s="2">
        <v>858704</v>
      </c>
      <c r="J270" s="2">
        <v>921622</v>
      </c>
      <c r="K270" s="2">
        <v>915296</v>
      </c>
      <c r="L270" s="2">
        <v>912927</v>
      </c>
      <c r="M270" s="2">
        <v>978334</v>
      </c>
      <c r="N270" s="2">
        <v>805861</v>
      </c>
      <c r="O270" s="2">
        <v>437065</v>
      </c>
      <c r="P270" s="2">
        <v>256574</v>
      </c>
      <c r="Q270" s="52">
        <v>111316</v>
      </c>
      <c r="R270" s="127">
        <f>Integrated[[#This Row],[Population 85+ years]]/Integrated[[#This Row],[Total population]]</f>
        <v>1.679456157709195E-2</v>
      </c>
      <c r="S270" s="58">
        <v>120</v>
      </c>
      <c r="T270" s="59">
        <v>60</v>
      </c>
      <c r="U270" s="59">
        <v>60</v>
      </c>
      <c r="V270" s="59">
        <v>60</v>
      </c>
      <c r="W270" s="59">
        <v>60</v>
      </c>
      <c r="X270" s="59">
        <v>60</v>
      </c>
      <c r="Y270" s="59">
        <v>67</v>
      </c>
      <c r="Z270" s="59">
        <v>86</v>
      </c>
      <c r="AA270" s="59">
        <v>168</v>
      </c>
      <c r="AB270" s="59">
        <v>365</v>
      </c>
      <c r="AC270" s="59">
        <f>VLOOKUP($A270,'[1]Flu Deaths Updated'!$A$2:$N$460,14,FALSE)</f>
        <v>60</v>
      </c>
      <c r="AD270" s="60">
        <f t="shared" si="4"/>
        <v>1166</v>
      </c>
      <c r="AE270" s="66">
        <f>Integrated[[#This Row],[Flu Deaths &lt;5 years old]]/Integrated[[#This Row],[Population &lt;5 years]]</f>
        <v>2.7812414534767837E-4</v>
      </c>
      <c r="AF270" s="67">
        <f>Integrated[[#This Row],[Flu Deaths 5 to 14 years]]/Integrated[[#This Row],[Population 5 to 14 years]]</f>
        <v>6.987273845236543E-5</v>
      </c>
      <c r="AG270" s="67">
        <f>Integrated[[#This Row],[Flu Deaths 15 to 24 years]]/Integrated[[#This Row],[Population 15 to 24 years]]</f>
        <v>6.5102612567842345E-5</v>
      </c>
      <c r="AH270" s="67">
        <f>Integrated[[#This Row],[Flu Deaths 25 to 34 years]]/Integrated[[#This Row],[Population 25 to 34 years]]</f>
        <v>6.5552564416319968E-5</v>
      </c>
      <c r="AI270" s="67">
        <f>Integrated[[#This Row],[Flu Deaths 35 to 44 years]]/Integrated[[#This Row],[Population 35 to 44 years]]</f>
        <v>6.5722670049193422E-5</v>
      </c>
      <c r="AJ270" s="67">
        <f>Integrated[[#This Row],[Flu Deaths 45 to 54 years]]/Integrated[[#This Row],[Population 45 to 54 years]]</f>
        <v>6.1328748668655085E-5</v>
      </c>
      <c r="AK270" s="67">
        <f>Integrated[[#This Row],[Flu Deaths 55 to 64 years]]/Integrated[[#This Row],[Population 55 to 64 years]]</f>
        <v>8.3140889061513083E-5</v>
      </c>
      <c r="AL270" s="67">
        <f>Integrated[[#This Row],[Flu Deaths 65 to 74 years]]/Integrated[[#This Row],[Population 65 to 74 years]]</f>
        <v>1.9676707125942366E-4</v>
      </c>
      <c r="AM270" s="67">
        <f>Integrated[[#This Row],[Flu Deaths 75 to 84 years]]/Integrated[[#This Row],[Population 75 to 84 years]]</f>
        <v>6.5478185630656266E-4</v>
      </c>
      <c r="AN270" s="67">
        <f>Integrated[[#This Row],[Flu Deaths 85+ years]]/Integrated[[#This Row],[Population 85+ years]]</f>
        <v>3.278953609544001E-3</v>
      </c>
      <c r="AO270" s="68">
        <f>Integrated[[#This Row],[Total Flu Deaths]]/Integrated[[#This Row],[Total population]]</f>
        <v>1.7591773688319033E-4</v>
      </c>
    </row>
    <row r="271" spans="1:41" x14ac:dyDescent="0.3">
      <c r="A271" s="44" t="s">
        <v>515</v>
      </c>
      <c r="B271" t="s">
        <v>463</v>
      </c>
      <c r="C271" s="45">
        <v>2016</v>
      </c>
      <c r="D271" s="51">
        <v>6963268</v>
      </c>
      <c r="E271" s="2">
        <v>3474006</v>
      </c>
      <c r="F271" s="2">
        <v>3489263</v>
      </c>
      <c r="G271" s="78">
        <f>Integrated[[#This Row],[Female Total population]]/Integrated[[#This Row],[Total population]]</f>
        <v>0.50109560625844074</v>
      </c>
      <c r="H271" s="2">
        <v>440855</v>
      </c>
      <c r="I271" s="2">
        <v>877135</v>
      </c>
      <c r="J271" s="2">
        <v>919130</v>
      </c>
      <c r="K271" s="2">
        <v>1010342</v>
      </c>
      <c r="L271" s="2">
        <v>911040</v>
      </c>
      <c r="M271" s="2">
        <v>940256</v>
      </c>
      <c r="N271" s="2">
        <v>896966</v>
      </c>
      <c r="O271" s="2">
        <v>574161</v>
      </c>
      <c r="P271" s="2">
        <v>269883</v>
      </c>
      <c r="Q271" s="52">
        <v>123983</v>
      </c>
      <c r="R271" s="127">
        <f>Integrated[[#This Row],[Population 85+ years]]/Integrated[[#This Row],[Total population]]</f>
        <v>1.7805289125738089E-2</v>
      </c>
      <c r="S271" s="58">
        <v>120</v>
      </c>
      <c r="T271" s="59">
        <v>60</v>
      </c>
      <c r="U271" s="59">
        <v>60</v>
      </c>
      <c r="V271" s="59">
        <v>60</v>
      </c>
      <c r="W271" s="59">
        <v>60</v>
      </c>
      <c r="X271" s="59">
        <v>60</v>
      </c>
      <c r="Y271" s="59">
        <v>84</v>
      </c>
      <c r="Z271" s="59">
        <v>106</v>
      </c>
      <c r="AA271" s="59">
        <v>178</v>
      </c>
      <c r="AB271" s="59">
        <v>365</v>
      </c>
      <c r="AC271" s="59">
        <f>VLOOKUP($A271,'[1]Flu Deaths Updated'!$A$2:$N$460,14,FALSE)</f>
        <v>60</v>
      </c>
      <c r="AD271" s="60">
        <f t="shared" si="4"/>
        <v>1213</v>
      </c>
      <c r="AE271" s="66">
        <f>Integrated[[#This Row],[Flu Deaths &lt;5 years old]]/Integrated[[#This Row],[Population &lt;5 years]]</f>
        <v>2.7219834185843416E-4</v>
      </c>
      <c r="AF271" s="67">
        <f>Integrated[[#This Row],[Flu Deaths 5 to 14 years]]/Integrated[[#This Row],[Population 5 to 14 years]]</f>
        <v>6.8404521538873724E-5</v>
      </c>
      <c r="AG271" s="67">
        <f>Integrated[[#This Row],[Flu Deaths 15 to 24 years]]/Integrated[[#This Row],[Population 15 to 24 years]]</f>
        <v>6.5279122648591596E-5</v>
      </c>
      <c r="AH271" s="67">
        <f>Integrated[[#This Row],[Flu Deaths 25 to 34 years]]/Integrated[[#This Row],[Population 25 to 34 years]]</f>
        <v>5.9385831728266271E-5</v>
      </c>
      <c r="AI271" s="67">
        <f>Integrated[[#This Row],[Flu Deaths 35 to 44 years]]/Integrated[[#This Row],[Population 35 to 44 years]]</f>
        <v>6.585879873551106E-5</v>
      </c>
      <c r="AJ271" s="67">
        <f>Integrated[[#This Row],[Flu Deaths 45 to 54 years]]/Integrated[[#This Row],[Population 45 to 54 years]]</f>
        <v>6.3812408535547763E-5</v>
      </c>
      <c r="AK271" s="67">
        <f>Integrated[[#This Row],[Flu Deaths 55 to 64 years]]/Integrated[[#This Row],[Population 55 to 64 years]]</f>
        <v>9.3649034634534645E-5</v>
      </c>
      <c r="AL271" s="67">
        <f>Integrated[[#This Row],[Flu Deaths 65 to 74 years]]/Integrated[[#This Row],[Population 65 to 74 years]]</f>
        <v>1.8461720667199618E-4</v>
      </c>
      <c r="AM271" s="67">
        <f>Integrated[[#This Row],[Flu Deaths 75 to 84 years]]/Integrated[[#This Row],[Population 75 to 84 years]]</f>
        <v>6.5954506211951102E-4</v>
      </c>
      <c r="AN271" s="67">
        <f>Integrated[[#This Row],[Flu Deaths 85+ years]]/Integrated[[#This Row],[Population 85+ years]]</f>
        <v>2.9439519934184527E-3</v>
      </c>
      <c r="AO271" s="68">
        <f>Integrated[[#This Row],[Total Flu Deaths]]/Integrated[[#This Row],[Total population]]</f>
        <v>1.7419981537404564E-4</v>
      </c>
    </row>
    <row r="272" spans="1:41" x14ac:dyDescent="0.3">
      <c r="A272" s="44" t="s">
        <v>440</v>
      </c>
      <c r="B272" t="s">
        <v>423</v>
      </c>
      <c r="C272" s="45">
        <v>2012</v>
      </c>
      <c r="D272" s="51">
        <v>5031800</v>
      </c>
      <c r="E272" s="2">
        <v>2497697</v>
      </c>
      <c r="F272" s="2">
        <v>2534104</v>
      </c>
      <c r="G272" s="78">
        <f>Integrated[[#This Row],[Female Total population]]/Integrated[[#This Row],[Total population]]</f>
        <v>0.50361779085019276</v>
      </c>
      <c r="H272" s="2">
        <v>335497</v>
      </c>
      <c r="I272" s="2">
        <v>672743</v>
      </c>
      <c r="J272" s="2">
        <v>693533</v>
      </c>
      <c r="K272" s="2">
        <v>686849</v>
      </c>
      <c r="L272" s="2">
        <v>655299</v>
      </c>
      <c r="M272" s="2">
        <v>758623</v>
      </c>
      <c r="N272" s="2">
        <v>594010</v>
      </c>
      <c r="O272" s="2">
        <v>333098</v>
      </c>
      <c r="P272" s="2">
        <v>206401</v>
      </c>
      <c r="Q272" s="52">
        <v>94994</v>
      </c>
      <c r="R272" s="127">
        <f>Integrated[[#This Row],[Population 85+ years]]/Integrated[[#This Row],[Total population]]</f>
        <v>1.8878731269128344E-2</v>
      </c>
      <c r="S272" s="58">
        <v>120</v>
      </c>
      <c r="T272" s="59">
        <v>60</v>
      </c>
      <c r="U272" s="59">
        <v>60</v>
      </c>
      <c r="V272" s="59">
        <v>60</v>
      </c>
      <c r="W272" s="59">
        <v>60</v>
      </c>
      <c r="X272" s="59">
        <v>60</v>
      </c>
      <c r="Y272" s="59">
        <v>60</v>
      </c>
      <c r="Z272" s="59">
        <v>70</v>
      </c>
      <c r="AA272" s="59">
        <v>141</v>
      </c>
      <c r="AB272" s="59">
        <v>366</v>
      </c>
      <c r="AC272" s="59">
        <f>VLOOKUP($A272,'[1]Flu Deaths Updated'!$A$2:$N$460,14,FALSE)</f>
        <v>60</v>
      </c>
      <c r="AD272" s="60">
        <f t="shared" si="4"/>
        <v>1117</v>
      </c>
      <c r="AE272" s="66">
        <f>Integrated[[#This Row],[Flu Deaths &lt;5 years old]]/Integrated[[#This Row],[Population &lt;5 years]]</f>
        <v>3.5767831008921093E-4</v>
      </c>
      <c r="AF272" s="67">
        <f>Integrated[[#This Row],[Flu Deaths 5 to 14 years]]/Integrated[[#This Row],[Population 5 to 14 years]]</f>
        <v>8.9187104139322151E-5</v>
      </c>
      <c r="AG272" s="67">
        <f>Integrated[[#This Row],[Flu Deaths 15 to 24 years]]/Integrated[[#This Row],[Population 15 to 24 years]]</f>
        <v>8.6513547300561035E-5</v>
      </c>
      <c r="AH272" s="67">
        <f>Integrated[[#This Row],[Flu Deaths 25 to 34 years]]/Integrated[[#This Row],[Population 25 to 34 years]]</f>
        <v>8.7355444937679168E-5</v>
      </c>
      <c r="AI272" s="67">
        <f>Integrated[[#This Row],[Flu Deaths 35 to 44 years]]/Integrated[[#This Row],[Population 35 to 44 years]]</f>
        <v>9.1561256769810424E-5</v>
      </c>
      <c r="AJ272" s="67">
        <f>Integrated[[#This Row],[Flu Deaths 45 to 54 years]]/Integrated[[#This Row],[Population 45 to 54 years]]</f>
        <v>7.9090668223874051E-5</v>
      </c>
      <c r="AK272" s="67">
        <f>Integrated[[#This Row],[Flu Deaths 55 to 64 years]]/Integrated[[#This Row],[Population 55 to 64 years]]</f>
        <v>1.0100840053197757E-4</v>
      </c>
      <c r="AL272" s="67">
        <f>Integrated[[#This Row],[Flu Deaths 65 to 74 years]]/Integrated[[#This Row],[Population 65 to 74 years]]</f>
        <v>2.1014836474551033E-4</v>
      </c>
      <c r="AM272" s="67">
        <f>Integrated[[#This Row],[Flu Deaths 75 to 84 years]]/Integrated[[#This Row],[Population 75 to 84 years]]</f>
        <v>6.8313622511518841E-4</v>
      </c>
      <c r="AN272" s="67">
        <f>Integrated[[#This Row],[Flu Deaths 85+ years]]/Integrated[[#This Row],[Population 85+ years]]</f>
        <v>3.8528749184158998E-3</v>
      </c>
      <c r="AO272" s="68">
        <f>Integrated[[#This Row],[Total Flu Deaths]]/Integrated[[#This Row],[Total population]]</f>
        <v>2.2198815533208793E-4</v>
      </c>
    </row>
    <row r="273" spans="1:41" x14ac:dyDescent="0.3">
      <c r="A273" s="44" t="s">
        <v>213</v>
      </c>
      <c r="B273" t="s">
        <v>194</v>
      </c>
      <c r="C273" s="45">
        <v>2011</v>
      </c>
      <c r="D273" s="51">
        <v>2734051</v>
      </c>
      <c r="E273" s="2">
        <v>1355641</v>
      </c>
      <c r="F273" s="2">
        <v>1378415</v>
      </c>
      <c r="G273" s="78">
        <f>Integrated[[#This Row],[Female Total population]]/Integrated[[#This Row],[Total population]]</f>
        <v>0.5041657964683175</v>
      </c>
      <c r="H273" s="2">
        <v>194894</v>
      </c>
      <c r="I273" s="2">
        <v>386913</v>
      </c>
      <c r="J273" s="2">
        <v>388617</v>
      </c>
      <c r="K273" s="2">
        <v>358031</v>
      </c>
      <c r="L273" s="2">
        <v>346166</v>
      </c>
      <c r="M273" s="2">
        <v>393861</v>
      </c>
      <c r="N273" s="2">
        <v>311081</v>
      </c>
      <c r="O273" s="2">
        <v>179058</v>
      </c>
      <c r="P273" s="2">
        <v>120710</v>
      </c>
      <c r="Q273" s="52">
        <v>55140</v>
      </c>
      <c r="R273" s="127">
        <f>Integrated[[#This Row],[Population 85+ years]]/Integrated[[#This Row],[Total population]]</f>
        <v>2.0167875434657218E-2</v>
      </c>
      <c r="S273" s="58">
        <v>120</v>
      </c>
      <c r="T273" s="59">
        <v>60</v>
      </c>
      <c r="U273" s="59">
        <v>60</v>
      </c>
      <c r="V273" s="59">
        <v>60</v>
      </c>
      <c r="W273" s="59">
        <v>60</v>
      </c>
      <c r="X273" s="59">
        <v>60</v>
      </c>
      <c r="Y273" s="59">
        <v>60</v>
      </c>
      <c r="Z273" s="59">
        <v>60</v>
      </c>
      <c r="AA273" s="59">
        <v>127</v>
      </c>
      <c r="AB273" s="59">
        <v>374</v>
      </c>
      <c r="AC273" s="59">
        <f>VLOOKUP($A273,'[1]Flu Deaths Updated'!$A$2:$N$460,14,FALSE)</f>
        <v>60</v>
      </c>
      <c r="AD273" s="60">
        <f t="shared" si="4"/>
        <v>1101</v>
      </c>
      <c r="AE273" s="66">
        <f>Integrated[[#This Row],[Flu Deaths &lt;5 years old]]/Integrated[[#This Row],[Population &lt;5 years]]</f>
        <v>6.1571931408868413E-4</v>
      </c>
      <c r="AF273" s="67">
        <f>Integrated[[#This Row],[Flu Deaths 5 to 14 years]]/Integrated[[#This Row],[Population 5 to 14 years]]</f>
        <v>1.550736212016655E-4</v>
      </c>
      <c r="AG273" s="67">
        <f>Integrated[[#This Row],[Flu Deaths 15 to 24 years]]/Integrated[[#This Row],[Population 15 to 24 years]]</f>
        <v>1.5439365750854954E-4</v>
      </c>
      <c r="AH273" s="67">
        <f>Integrated[[#This Row],[Flu Deaths 25 to 34 years]]/Integrated[[#This Row],[Population 25 to 34 years]]</f>
        <v>1.6758325396404222E-4</v>
      </c>
      <c r="AI273" s="67">
        <f>Integrated[[#This Row],[Flu Deaths 35 to 44 years]]/Integrated[[#This Row],[Population 35 to 44 years]]</f>
        <v>1.7332724762108353E-4</v>
      </c>
      <c r="AJ273" s="67">
        <f>Integrated[[#This Row],[Flu Deaths 45 to 54 years]]/Integrated[[#This Row],[Population 45 to 54 years]]</f>
        <v>1.5233800757119898E-4</v>
      </c>
      <c r="AK273" s="67">
        <f>Integrated[[#This Row],[Flu Deaths 55 to 64 years]]/Integrated[[#This Row],[Population 55 to 64 years]]</f>
        <v>1.9287581048022862E-4</v>
      </c>
      <c r="AL273" s="67">
        <f>Integrated[[#This Row],[Flu Deaths 65 to 74 years]]/Integrated[[#This Row],[Population 65 to 74 years]]</f>
        <v>3.3508695506483934E-4</v>
      </c>
      <c r="AM273" s="67">
        <f>Integrated[[#This Row],[Flu Deaths 75 to 84 years]]/Integrated[[#This Row],[Population 75 to 84 years]]</f>
        <v>1.0521083588766464E-3</v>
      </c>
      <c r="AN273" s="67">
        <f>Integrated[[#This Row],[Flu Deaths 85+ years]]/Integrated[[#This Row],[Population 85+ years]]</f>
        <v>6.7827348567283275E-3</v>
      </c>
      <c r="AO273" s="68">
        <f>Integrated[[#This Row],[Total Flu Deaths]]/Integrated[[#This Row],[Total population]]</f>
        <v>4.0269914496840036E-4</v>
      </c>
    </row>
    <row r="274" spans="1:41" x14ac:dyDescent="0.3">
      <c r="A274" s="44" t="s">
        <v>245</v>
      </c>
      <c r="B274" t="s">
        <v>246</v>
      </c>
      <c r="C274" s="45">
        <v>2014</v>
      </c>
      <c r="D274" s="51">
        <v>4028763</v>
      </c>
      <c r="E274" s="2">
        <v>1979534</v>
      </c>
      <c r="F274" s="2">
        <v>2049234</v>
      </c>
      <c r="G274" s="78">
        <f>Integrated[[#This Row],[Female Total population]]/Integrated[[#This Row],[Total population]]</f>
        <v>0.50865091840845444</v>
      </c>
      <c r="H274" s="2">
        <v>256554</v>
      </c>
      <c r="I274" s="2">
        <v>523719</v>
      </c>
      <c r="J274" s="2">
        <v>551286</v>
      </c>
      <c r="K274" s="2">
        <v>524713</v>
      </c>
      <c r="L274" s="2">
        <v>520029</v>
      </c>
      <c r="M274" s="2">
        <v>572343</v>
      </c>
      <c r="N274" s="2">
        <v>517571</v>
      </c>
      <c r="O274" s="2">
        <v>323161</v>
      </c>
      <c r="P274" s="2">
        <v>171420</v>
      </c>
      <c r="Q274" s="52">
        <v>68936</v>
      </c>
      <c r="R274" s="127">
        <f>Integrated[[#This Row],[Population 85+ years]]/Integrated[[#This Row],[Total population]]</f>
        <v>1.7110959368917954E-2</v>
      </c>
      <c r="S274" s="58">
        <v>120</v>
      </c>
      <c r="T274" s="59">
        <v>60</v>
      </c>
      <c r="U274" s="59">
        <v>60</v>
      </c>
      <c r="V274" s="59">
        <v>60</v>
      </c>
      <c r="W274" s="59">
        <v>67</v>
      </c>
      <c r="X274" s="59">
        <v>60</v>
      </c>
      <c r="Y274" s="59">
        <v>103</v>
      </c>
      <c r="Z274" s="59">
        <v>164</v>
      </c>
      <c r="AA274" s="59">
        <v>257</v>
      </c>
      <c r="AB274" s="59">
        <v>374</v>
      </c>
      <c r="AC274" s="59">
        <f>VLOOKUP($A274,'[1]Flu Deaths Updated'!$A$2:$N$460,14,FALSE)</f>
        <v>60</v>
      </c>
      <c r="AD274" s="60">
        <f t="shared" si="4"/>
        <v>1385</v>
      </c>
      <c r="AE274" s="66">
        <f>Integrated[[#This Row],[Flu Deaths &lt;5 years old]]/Integrated[[#This Row],[Population &lt;5 years]]</f>
        <v>4.6773778619705795E-4</v>
      </c>
      <c r="AF274" s="67">
        <f>Integrated[[#This Row],[Flu Deaths 5 to 14 years]]/Integrated[[#This Row],[Population 5 to 14 years]]</f>
        <v>1.145652535042647E-4</v>
      </c>
      <c r="AG274" s="67">
        <f>Integrated[[#This Row],[Flu Deaths 15 to 24 years]]/Integrated[[#This Row],[Population 15 to 24 years]]</f>
        <v>1.0883642972975914E-4</v>
      </c>
      <c r="AH274" s="67">
        <f>Integrated[[#This Row],[Flu Deaths 25 to 34 years]]/Integrated[[#This Row],[Population 25 to 34 years]]</f>
        <v>1.1434822464852214E-4</v>
      </c>
      <c r="AI274" s="67">
        <f>Integrated[[#This Row],[Flu Deaths 35 to 44 years]]/Integrated[[#This Row],[Population 35 to 44 years]]</f>
        <v>1.1537818083222282E-4</v>
      </c>
      <c r="AJ274" s="67">
        <f>Integrated[[#This Row],[Flu Deaths 45 to 54 years]]/Integrated[[#This Row],[Population 45 to 54 years]]</f>
        <v>1.1706267046159383E-4</v>
      </c>
      <c r="AK274" s="67">
        <f>Integrated[[#This Row],[Flu Deaths 55 to 64 years]]/Integrated[[#This Row],[Population 55 to 64 years]]</f>
        <v>1.9900651311607488E-4</v>
      </c>
      <c r="AL274" s="67">
        <f>Integrated[[#This Row],[Flu Deaths 65 to 74 years]]/Integrated[[#This Row],[Population 65 to 74 years]]</f>
        <v>5.0748698017396903E-4</v>
      </c>
      <c r="AM274" s="67">
        <f>Integrated[[#This Row],[Flu Deaths 75 to 84 years]]/Integrated[[#This Row],[Population 75 to 84 years]]</f>
        <v>1.499241628748104E-3</v>
      </c>
      <c r="AN274" s="67">
        <f>Integrated[[#This Row],[Flu Deaths 85+ years]]/Integrated[[#This Row],[Population 85+ years]]</f>
        <v>5.425322037832192E-3</v>
      </c>
      <c r="AO274" s="68">
        <f>Integrated[[#This Row],[Total Flu Deaths]]/Integrated[[#This Row],[Total population]]</f>
        <v>3.4377797850109327E-4</v>
      </c>
    </row>
    <row r="275" spans="1:41" x14ac:dyDescent="0.3">
      <c r="A275" s="44" t="s">
        <v>254</v>
      </c>
      <c r="B275" t="s">
        <v>251</v>
      </c>
      <c r="C275" s="45">
        <v>2017</v>
      </c>
      <c r="D275" s="51">
        <v>4593341</v>
      </c>
      <c r="E275" s="2">
        <v>2226533</v>
      </c>
      <c r="F275" s="2">
        <v>2366809</v>
      </c>
      <c r="G275" s="78">
        <f>Integrated[[#This Row],[Female Total population]]/Integrated[[#This Row],[Total population]]</f>
        <v>0.51526960441212621</v>
      </c>
      <c r="H275" s="2">
        <v>276274</v>
      </c>
      <c r="I275" s="2">
        <v>583694</v>
      </c>
      <c r="J275" s="2">
        <v>629640</v>
      </c>
      <c r="K275" s="2">
        <v>595763</v>
      </c>
      <c r="L275" s="2">
        <v>569633</v>
      </c>
      <c r="M275" s="2">
        <v>614338</v>
      </c>
      <c r="N275" s="2">
        <v>603577</v>
      </c>
      <c r="O275" s="2">
        <v>424827</v>
      </c>
      <c r="P275" s="2">
        <v>216882</v>
      </c>
      <c r="Q275" s="52">
        <v>78740</v>
      </c>
      <c r="R275" s="127">
        <f>Integrated[[#This Row],[Population 85+ years]]/Integrated[[#This Row],[Total population]]</f>
        <v>1.714220651155662E-2</v>
      </c>
      <c r="S275" s="58">
        <v>120</v>
      </c>
      <c r="T275" s="59">
        <v>60</v>
      </c>
      <c r="U275" s="59">
        <v>60</v>
      </c>
      <c r="V275" s="59">
        <v>60</v>
      </c>
      <c r="W275" s="59">
        <v>65</v>
      </c>
      <c r="X275" s="59">
        <v>60</v>
      </c>
      <c r="Y275" s="59">
        <v>119</v>
      </c>
      <c r="Z275" s="59">
        <v>227</v>
      </c>
      <c r="AA275" s="59">
        <v>338</v>
      </c>
      <c r="AB275" s="59">
        <v>375</v>
      </c>
      <c r="AC275" s="59">
        <f>VLOOKUP($A275,'[1]Flu Deaths Updated'!$A$2:$N$460,14,FALSE)</f>
        <v>60</v>
      </c>
      <c r="AD275" s="60">
        <f t="shared" si="4"/>
        <v>1544</v>
      </c>
      <c r="AE275" s="66">
        <f>Integrated[[#This Row],[Flu Deaths &lt;5 years old]]/Integrated[[#This Row],[Population &lt;5 years]]</f>
        <v>4.3435140476483491E-4</v>
      </c>
      <c r="AF275" s="67">
        <f>Integrated[[#This Row],[Flu Deaths 5 to 14 years]]/Integrated[[#This Row],[Population 5 to 14 years]]</f>
        <v>1.0279358705074919E-4</v>
      </c>
      <c r="AG275" s="67">
        <f>Integrated[[#This Row],[Flu Deaths 15 to 24 years]]/Integrated[[#This Row],[Population 15 to 24 years]]</f>
        <v>9.5292548122736796E-5</v>
      </c>
      <c r="AH275" s="67">
        <f>Integrated[[#This Row],[Flu Deaths 25 to 34 years]]/Integrated[[#This Row],[Population 25 to 34 years]]</f>
        <v>1.0071118884522873E-4</v>
      </c>
      <c r="AI275" s="67">
        <f>Integrated[[#This Row],[Flu Deaths 35 to 44 years]]/Integrated[[#This Row],[Population 35 to 44 years]]</f>
        <v>1.0533097626015347E-4</v>
      </c>
      <c r="AJ275" s="67">
        <f>Integrated[[#This Row],[Flu Deaths 45 to 54 years]]/Integrated[[#This Row],[Population 45 to 54 years]]</f>
        <v>1.0580494776491117E-4</v>
      </c>
      <c r="AK275" s="67">
        <f>Integrated[[#This Row],[Flu Deaths 55 to 64 years]]/Integrated[[#This Row],[Population 55 to 64 years]]</f>
        <v>1.9715794339413199E-4</v>
      </c>
      <c r="AL275" s="67">
        <f>Integrated[[#This Row],[Flu Deaths 65 to 74 years]]/Integrated[[#This Row],[Population 65 to 74 years]]</f>
        <v>5.3433515289753246E-4</v>
      </c>
      <c r="AM275" s="67">
        <f>Integrated[[#This Row],[Flu Deaths 75 to 84 years]]/Integrated[[#This Row],[Population 75 to 84 years]]</f>
        <v>1.5584511393292204E-3</v>
      </c>
      <c r="AN275" s="67">
        <f>Integrated[[#This Row],[Flu Deaths 85+ years]]/Integrated[[#This Row],[Population 85+ years]]</f>
        <v>4.7625095250190498E-3</v>
      </c>
      <c r="AO275" s="68">
        <f>Integrated[[#This Row],[Total Flu Deaths]]/Integrated[[#This Row],[Total population]]</f>
        <v>3.361387713213541E-4</v>
      </c>
    </row>
    <row r="276" spans="1:41" x14ac:dyDescent="0.3">
      <c r="A276" s="44" t="s">
        <v>288</v>
      </c>
      <c r="B276" t="s">
        <v>260</v>
      </c>
      <c r="C276" s="45">
        <v>2013</v>
      </c>
      <c r="D276" s="51">
        <v>3583561</v>
      </c>
      <c r="E276" s="2">
        <v>1745364</v>
      </c>
      <c r="F276" s="2">
        <v>1838197</v>
      </c>
      <c r="G276" s="78">
        <f>Integrated[[#This Row],[Female Total population]]/Integrated[[#This Row],[Total population]]</f>
        <v>0.51295261891732835</v>
      </c>
      <c r="H276" s="2">
        <v>197309</v>
      </c>
      <c r="I276" s="2">
        <v>456711</v>
      </c>
      <c r="J276" s="2">
        <v>485153</v>
      </c>
      <c r="K276" s="2">
        <v>427416</v>
      </c>
      <c r="L276" s="2">
        <v>469076</v>
      </c>
      <c r="M276" s="2">
        <v>568026</v>
      </c>
      <c r="N276" s="2">
        <v>457304</v>
      </c>
      <c r="O276" s="2">
        <v>269156</v>
      </c>
      <c r="P276" s="2">
        <v>163777</v>
      </c>
      <c r="Q276" s="52">
        <v>86894</v>
      </c>
      <c r="R276" s="127">
        <f>Integrated[[#This Row],[Population 85+ years]]/Integrated[[#This Row],[Total population]]</f>
        <v>2.424794778155025E-2</v>
      </c>
      <c r="S276" s="58">
        <v>120</v>
      </c>
      <c r="T276" s="59">
        <v>60</v>
      </c>
      <c r="U276" s="59">
        <v>60</v>
      </c>
      <c r="V276" s="59">
        <v>60</v>
      </c>
      <c r="W276" s="59">
        <v>60</v>
      </c>
      <c r="X276" s="59">
        <v>60</v>
      </c>
      <c r="Y276" s="59">
        <v>60</v>
      </c>
      <c r="Z276" s="59">
        <v>66</v>
      </c>
      <c r="AA276" s="59">
        <v>109</v>
      </c>
      <c r="AB276" s="59">
        <v>377</v>
      </c>
      <c r="AC276" s="59">
        <f>VLOOKUP($A276,'[1]Flu Deaths Updated'!$A$2:$N$460,14,FALSE)</f>
        <v>60</v>
      </c>
      <c r="AD276" s="60">
        <f t="shared" si="4"/>
        <v>1092</v>
      </c>
      <c r="AE276" s="66">
        <f>Integrated[[#This Row],[Flu Deaths &lt;5 years old]]/Integrated[[#This Row],[Population &lt;5 years]]</f>
        <v>6.081831036597418E-4</v>
      </c>
      <c r="AF276" s="67">
        <f>Integrated[[#This Row],[Flu Deaths 5 to 14 years]]/Integrated[[#This Row],[Population 5 to 14 years]]</f>
        <v>1.3137410747715732E-4</v>
      </c>
      <c r="AG276" s="67">
        <f>Integrated[[#This Row],[Flu Deaths 15 to 24 years]]/Integrated[[#This Row],[Population 15 to 24 years]]</f>
        <v>1.2367232604972039E-4</v>
      </c>
      <c r="AH276" s="67">
        <f>Integrated[[#This Row],[Flu Deaths 25 to 34 years]]/Integrated[[#This Row],[Population 25 to 34 years]]</f>
        <v>1.403784603290471E-4</v>
      </c>
      <c r="AI276" s="67">
        <f>Integrated[[#This Row],[Flu Deaths 35 to 44 years]]/Integrated[[#This Row],[Population 35 to 44 years]]</f>
        <v>1.2791104213389728E-4</v>
      </c>
      <c r="AJ276" s="67">
        <f>Integrated[[#This Row],[Flu Deaths 45 to 54 years]]/Integrated[[#This Row],[Population 45 to 54 years]]</f>
        <v>1.0562896768809879E-4</v>
      </c>
      <c r="AK276" s="67">
        <f>Integrated[[#This Row],[Flu Deaths 55 to 64 years]]/Integrated[[#This Row],[Population 55 to 64 years]]</f>
        <v>1.3120375067788605E-4</v>
      </c>
      <c r="AL276" s="67">
        <f>Integrated[[#This Row],[Flu Deaths 65 to 74 years]]/Integrated[[#This Row],[Population 65 to 74 years]]</f>
        <v>2.4521095572827651E-4</v>
      </c>
      <c r="AM276" s="67">
        <f>Integrated[[#This Row],[Flu Deaths 75 to 84 years]]/Integrated[[#This Row],[Population 75 to 84 years]]</f>
        <v>6.6553911721426091E-4</v>
      </c>
      <c r="AN276" s="67">
        <f>Integrated[[#This Row],[Flu Deaths 85+ years]]/Integrated[[#This Row],[Population 85+ years]]</f>
        <v>4.3386194673970587E-3</v>
      </c>
      <c r="AO276" s="68">
        <f>Integrated[[#This Row],[Total Flu Deaths]]/Integrated[[#This Row],[Total population]]</f>
        <v>3.0472482539016358E-4</v>
      </c>
    </row>
    <row r="277" spans="1:41" x14ac:dyDescent="0.3">
      <c r="A277" s="44" t="s">
        <v>428</v>
      </c>
      <c r="B277" t="s">
        <v>423</v>
      </c>
      <c r="C277" s="45">
        <v>2017</v>
      </c>
      <c r="D277" s="51">
        <v>4926905</v>
      </c>
      <c r="E277" s="2">
        <v>2446860</v>
      </c>
      <c r="F277" s="2">
        <v>2480051</v>
      </c>
      <c r="G277" s="78">
        <f>Integrated[[#This Row],[Female Total population]]/Integrated[[#This Row],[Total population]]</f>
        <v>0.50336895069013909</v>
      </c>
      <c r="H277" s="2">
        <v>315871</v>
      </c>
      <c r="I277" s="2">
        <v>651264</v>
      </c>
      <c r="J277" s="2">
        <v>639968</v>
      </c>
      <c r="K277" s="2">
        <v>683397</v>
      </c>
      <c r="L277" s="2">
        <v>616067</v>
      </c>
      <c r="M277" s="2">
        <v>671336</v>
      </c>
      <c r="N277" s="2">
        <v>645987</v>
      </c>
      <c r="O277" s="2">
        <v>398768</v>
      </c>
      <c r="P277" s="2">
        <v>205941</v>
      </c>
      <c r="Q277" s="52">
        <v>98386</v>
      </c>
      <c r="R277" s="127">
        <f>Integrated[[#This Row],[Population 85+ years]]/Integrated[[#This Row],[Total population]]</f>
        <v>1.9969128692353517E-2</v>
      </c>
      <c r="S277" s="58">
        <v>120</v>
      </c>
      <c r="T277" s="59">
        <v>60</v>
      </c>
      <c r="U277" s="59">
        <v>60</v>
      </c>
      <c r="V277" s="59">
        <v>60</v>
      </c>
      <c r="W277" s="59">
        <v>60</v>
      </c>
      <c r="X277" s="59">
        <v>60</v>
      </c>
      <c r="Y277" s="59">
        <v>60</v>
      </c>
      <c r="Z277" s="59">
        <v>77</v>
      </c>
      <c r="AA277" s="59">
        <v>123</v>
      </c>
      <c r="AB277" s="59">
        <v>377</v>
      </c>
      <c r="AC277" s="59">
        <f>VLOOKUP($A277,'[1]Flu Deaths Updated'!$A$2:$N$460,14,FALSE)</f>
        <v>60</v>
      </c>
      <c r="AD277" s="60">
        <f t="shared" si="4"/>
        <v>1117</v>
      </c>
      <c r="AE277" s="66">
        <f>Integrated[[#This Row],[Flu Deaths &lt;5 years old]]/Integrated[[#This Row],[Population &lt;5 years]]</f>
        <v>3.7990192198714031E-4</v>
      </c>
      <c r="AF277" s="67">
        <f>Integrated[[#This Row],[Flu Deaths 5 to 14 years]]/Integrated[[#This Row],[Population 5 to 14 years]]</f>
        <v>9.2128537735849063E-5</v>
      </c>
      <c r="AG277" s="67">
        <f>Integrated[[#This Row],[Flu Deaths 15 to 24 years]]/Integrated[[#This Row],[Population 15 to 24 years]]</f>
        <v>9.3754687734386716E-5</v>
      </c>
      <c r="AH277" s="67">
        <f>Integrated[[#This Row],[Flu Deaths 25 to 34 years]]/Integrated[[#This Row],[Population 25 to 34 years]]</f>
        <v>8.7796697966189494E-5</v>
      </c>
      <c r="AI277" s="67">
        <f>Integrated[[#This Row],[Flu Deaths 35 to 44 years]]/Integrated[[#This Row],[Population 35 to 44 years]]</f>
        <v>9.7392004441075402E-5</v>
      </c>
      <c r="AJ277" s="67">
        <f>Integrated[[#This Row],[Flu Deaths 45 to 54 years]]/Integrated[[#This Row],[Population 45 to 54 years]]</f>
        <v>8.9374024333567688E-5</v>
      </c>
      <c r="AK277" s="67">
        <f>Integrated[[#This Row],[Flu Deaths 55 to 64 years]]/Integrated[[#This Row],[Population 55 to 64 years]]</f>
        <v>9.2881126090772718E-5</v>
      </c>
      <c r="AL277" s="67">
        <f>Integrated[[#This Row],[Flu Deaths 65 to 74 years]]/Integrated[[#This Row],[Population 65 to 74 years]]</f>
        <v>1.930947317738635E-4</v>
      </c>
      <c r="AM277" s="67">
        <f>Integrated[[#This Row],[Flu Deaths 75 to 84 years]]/Integrated[[#This Row],[Population 75 to 84 years]]</f>
        <v>5.9725843809634797E-4</v>
      </c>
      <c r="AN277" s="67">
        <f>Integrated[[#This Row],[Flu Deaths 85+ years]]/Integrated[[#This Row],[Population 85+ years]]</f>
        <v>3.8318459943487895E-3</v>
      </c>
      <c r="AO277" s="68">
        <f>Integrated[[#This Row],[Total Flu Deaths]]/Integrated[[#This Row],[Total population]]</f>
        <v>2.2671433689100968E-4</v>
      </c>
    </row>
    <row r="278" spans="1:41" x14ac:dyDescent="0.3">
      <c r="A278" s="44" t="s">
        <v>272</v>
      </c>
      <c r="B278" t="s">
        <v>246</v>
      </c>
      <c r="C278" s="45">
        <v>2013</v>
      </c>
      <c r="D278" s="51">
        <v>4095114</v>
      </c>
      <c r="E278" s="2">
        <v>2013759</v>
      </c>
      <c r="F278" s="2">
        <v>2081361</v>
      </c>
      <c r="G278" s="78">
        <f>Integrated[[#This Row],[Female Total population]]/Integrated[[#This Row],[Total population]]</f>
        <v>0.50825471525334831</v>
      </c>
      <c r="H278" s="2">
        <v>262369</v>
      </c>
      <c r="I278" s="2">
        <v>534853</v>
      </c>
      <c r="J278" s="2">
        <v>559456</v>
      </c>
      <c r="K278" s="2">
        <v>534539</v>
      </c>
      <c r="L278" s="2">
        <v>534816</v>
      </c>
      <c r="M278" s="2">
        <v>591897</v>
      </c>
      <c r="N278" s="2">
        <v>518920</v>
      </c>
      <c r="O278" s="2">
        <v>318905</v>
      </c>
      <c r="P278" s="2">
        <v>173515</v>
      </c>
      <c r="Q278" s="52">
        <v>68823</v>
      </c>
      <c r="R278" s="127">
        <f>Integrated[[#This Row],[Population 85+ years]]/Integrated[[#This Row],[Total population]]</f>
        <v>1.6806125543757756E-2</v>
      </c>
      <c r="S278" s="58">
        <v>120</v>
      </c>
      <c r="T278" s="59">
        <v>60</v>
      </c>
      <c r="U278" s="59">
        <v>60</v>
      </c>
      <c r="V278" s="59">
        <v>60</v>
      </c>
      <c r="W278" s="59">
        <v>60</v>
      </c>
      <c r="X278" s="59">
        <v>60</v>
      </c>
      <c r="Y278" s="59">
        <v>71</v>
      </c>
      <c r="Z278" s="59">
        <v>145</v>
      </c>
      <c r="AA278" s="59">
        <v>229</v>
      </c>
      <c r="AB278" s="59">
        <v>377</v>
      </c>
      <c r="AC278" s="59">
        <f>VLOOKUP($A278,'[1]Flu Deaths Updated'!$A$2:$N$460,14,FALSE)</f>
        <v>60</v>
      </c>
      <c r="AD278" s="60">
        <f t="shared" si="4"/>
        <v>1302</v>
      </c>
      <c r="AE278" s="66">
        <f>Integrated[[#This Row],[Flu Deaths &lt;5 years old]]/Integrated[[#This Row],[Population &lt;5 years]]</f>
        <v>4.5737110710487898E-4</v>
      </c>
      <c r="AF278" s="67">
        <f>Integrated[[#This Row],[Flu Deaths 5 to 14 years]]/Integrated[[#This Row],[Population 5 to 14 years]]</f>
        <v>1.121803560978437E-4</v>
      </c>
      <c r="AG278" s="67">
        <f>Integrated[[#This Row],[Flu Deaths 15 to 24 years]]/Integrated[[#This Row],[Population 15 to 24 years]]</f>
        <v>1.072470399816965E-4</v>
      </c>
      <c r="AH278" s="67">
        <f>Integrated[[#This Row],[Flu Deaths 25 to 34 years]]/Integrated[[#This Row],[Population 25 to 34 years]]</f>
        <v>1.1224625331360293E-4</v>
      </c>
      <c r="AI278" s="67">
        <f>Integrated[[#This Row],[Flu Deaths 35 to 44 years]]/Integrated[[#This Row],[Population 35 to 44 years]]</f>
        <v>1.1218811703464369E-4</v>
      </c>
      <c r="AJ278" s="67">
        <f>Integrated[[#This Row],[Flu Deaths 45 to 54 years]]/Integrated[[#This Row],[Population 45 to 54 years]]</f>
        <v>1.0136898818544442E-4</v>
      </c>
      <c r="AK278" s="67">
        <f>Integrated[[#This Row],[Flu Deaths 55 to 64 years]]/Integrated[[#This Row],[Population 55 to 64 years]]</f>
        <v>1.3682263161951747E-4</v>
      </c>
      <c r="AL278" s="67">
        <f>Integrated[[#This Row],[Flu Deaths 65 to 74 years]]/Integrated[[#This Row],[Population 65 to 74 years]]</f>
        <v>4.5468086107147899E-4</v>
      </c>
      <c r="AM278" s="67">
        <f>Integrated[[#This Row],[Flu Deaths 75 to 84 years]]/Integrated[[#This Row],[Population 75 to 84 years]]</f>
        <v>1.3197706250180101E-3</v>
      </c>
      <c r="AN278" s="67">
        <f>Integrated[[#This Row],[Flu Deaths 85+ years]]/Integrated[[#This Row],[Population 85+ years]]</f>
        <v>5.4778199148540459E-3</v>
      </c>
      <c r="AO278" s="68">
        <f>Integrated[[#This Row],[Total Flu Deaths]]/Integrated[[#This Row],[Total population]]</f>
        <v>3.179398668755009E-4</v>
      </c>
    </row>
    <row r="279" spans="1:41" x14ac:dyDescent="0.3">
      <c r="A279" s="44" t="s">
        <v>293</v>
      </c>
      <c r="B279" t="s">
        <v>251</v>
      </c>
      <c r="C279" s="45">
        <v>2013</v>
      </c>
      <c r="D279" s="51">
        <v>4643557</v>
      </c>
      <c r="E279" s="2">
        <v>2252324</v>
      </c>
      <c r="F279" s="2">
        <v>2391236</v>
      </c>
      <c r="G279" s="78">
        <f>Integrated[[#This Row],[Female Total population]]/Integrated[[#This Row],[Total population]]</f>
        <v>0.51495782220396991</v>
      </c>
      <c r="H279" s="2">
        <v>290858</v>
      </c>
      <c r="I279" s="2">
        <v>603803</v>
      </c>
      <c r="J279" s="2">
        <v>661118</v>
      </c>
      <c r="K279" s="2">
        <v>593397</v>
      </c>
      <c r="L279" s="2">
        <v>592674</v>
      </c>
      <c r="M279" s="2">
        <v>659391</v>
      </c>
      <c r="N279" s="2">
        <v>584561</v>
      </c>
      <c r="O279" s="2">
        <v>375079</v>
      </c>
      <c r="P279" s="2">
        <v>207943</v>
      </c>
      <c r="Q279" s="52">
        <v>76983</v>
      </c>
      <c r="R279" s="127">
        <f>Integrated[[#This Row],[Population 85+ years]]/Integrated[[#This Row],[Total population]]</f>
        <v>1.6578454835377277E-2</v>
      </c>
      <c r="S279" s="58">
        <v>120</v>
      </c>
      <c r="T279" s="59">
        <v>60</v>
      </c>
      <c r="U279" s="59">
        <v>60</v>
      </c>
      <c r="V279" s="59">
        <v>60</v>
      </c>
      <c r="W279" s="59">
        <v>65</v>
      </c>
      <c r="X279" s="59">
        <v>60</v>
      </c>
      <c r="Y279" s="59">
        <v>119</v>
      </c>
      <c r="Z279" s="59">
        <v>128</v>
      </c>
      <c r="AA279" s="59">
        <v>283</v>
      </c>
      <c r="AB279" s="59">
        <v>381</v>
      </c>
      <c r="AC279" s="59">
        <f>VLOOKUP($A279,'[1]Flu Deaths Updated'!$A$2:$N$460,14,FALSE)</f>
        <v>60</v>
      </c>
      <c r="AD279" s="60">
        <f t="shared" si="4"/>
        <v>1396</v>
      </c>
      <c r="AE279" s="66">
        <f>Integrated[[#This Row],[Flu Deaths &lt;5 years old]]/Integrated[[#This Row],[Population &lt;5 years]]</f>
        <v>4.1257245803794291E-4</v>
      </c>
      <c r="AF279" s="67">
        <f>Integrated[[#This Row],[Flu Deaths 5 to 14 years]]/Integrated[[#This Row],[Population 5 to 14 years]]</f>
        <v>9.9370158810075475E-5</v>
      </c>
      <c r="AG279" s="67">
        <f>Integrated[[#This Row],[Flu Deaths 15 to 24 years]]/Integrated[[#This Row],[Population 15 to 24 years]]</f>
        <v>9.0755356834937176E-5</v>
      </c>
      <c r="AH279" s="67">
        <f>Integrated[[#This Row],[Flu Deaths 25 to 34 years]]/Integrated[[#This Row],[Population 25 to 34 years]]</f>
        <v>1.0111274576716768E-4</v>
      </c>
      <c r="AI279" s="67">
        <f>Integrated[[#This Row],[Flu Deaths 35 to 44 years]]/Integrated[[#This Row],[Population 35 to 44 years]]</f>
        <v>1.0123609269176647E-4</v>
      </c>
      <c r="AJ279" s="67">
        <f>Integrated[[#This Row],[Flu Deaths 45 to 54 years]]/Integrated[[#This Row],[Population 45 to 54 years]]</f>
        <v>9.8575807070463504E-5</v>
      </c>
      <c r="AK279" s="67">
        <f>Integrated[[#This Row],[Flu Deaths 55 to 64 years]]/Integrated[[#This Row],[Population 55 to 64 years]]</f>
        <v>2.0357156909201949E-4</v>
      </c>
      <c r="AL279" s="67">
        <f>Integrated[[#This Row],[Flu Deaths 65 to 74 years]]/Integrated[[#This Row],[Population 65 to 74 years]]</f>
        <v>3.4126144092311219E-4</v>
      </c>
      <c r="AM279" s="67">
        <f>Integrated[[#This Row],[Flu Deaths 75 to 84 years]]/Integrated[[#This Row],[Population 75 to 84 years]]</f>
        <v>1.3609498756870873E-3</v>
      </c>
      <c r="AN279" s="67">
        <f>Integrated[[#This Row],[Flu Deaths 85+ years]]/Integrated[[#This Row],[Population 85+ years]]</f>
        <v>4.9491446163438682E-3</v>
      </c>
      <c r="AO279" s="68">
        <f>Integrated[[#This Row],[Total Flu Deaths]]/Integrated[[#This Row],[Total population]]</f>
        <v>3.0063160633109491E-4</v>
      </c>
    </row>
    <row r="280" spans="1:41" x14ac:dyDescent="0.3">
      <c r="A280" s="44" t="s">
        <v>250</v>
      </c>
      <c r="B280" t="s">
        <v>251</v>
      </c>
      <c r="C280" s="45">
        <v>2015</v>
      </c>
      <c r="D280" s="51">
        <v>4392118</v>
      </c>
      <c r="E280" s="2">
        <v>2129515</v>
      </c>
      <c r="F280" s="2">
        <v>2262608</v>
      </c>
      <c r="G280" s="78">
        <f>Integrated[[#This Row],[Female Total population]]/Integrated[[#This Row],[Total population]]</f>
        <v>0.51515191531739357</v>
      </c>
      <c r="H280" s="2">
        <v>269854</v>
      </c>
      <c r="I280" s="2">
        <v>567975</v>
      </c>
      <c r="J280" s="2">
        <v>610837</v>
      </c>
      <c r="K280" s="2">
        <v>571773</v>
      </c>
      <c r="L280" s="2">
        <v>554731</v>
      </c>
      <c r="M280" s="2">
        <v>605482</v>
      </c>
      <c r="N280" s="2">
        <v>564370</v>
      </c>
      <c r="O280" s="2">
        <v>374408</v>
      </c>
      <c r="P280" s="2">
        <v>198922</v>
      </c>
      <c r="Q280" s="52">
        <v>74147</v>
      </c>
      <c r="R280" s="127">
        <f>Integrated[[#This Row],[Population 85+ years]]/Integrated[[#This Row],[Total population]]</f>
        <v>1.6881832409784983E-2</v>
      </c>
      <c r="S280" s="58">
        <v>120</v>
      </c>
      <c r="T280" s="59">
        <v>60</v>
      </c>
      <c r="U280" s="59">
        <v>60</v>
      </c>
      <c r="V280" s="59">
        <v>60</v>
      </c>
      <c r="W280" s="59">
        <v>60</v>
      </c>
      <c r="X280" s="59">
        <v>60</v>
      </c>
      <c r="Y280" s="59">
        <v>122</v>
      </c>
      <c r="Z280" s="59">
        <v>196</v>
      </c>
      <c r="AA280" s="59">
        <v>308</v>
      </c>
      <c r="AB280" s="59">
        <v>381</v>
      </c>
      <c r="AC280" s="59">
        <f>VLOOKUP($A280,'[1]Flu Deaths Updated'!$A$2:$N$460,14,FALSE)</f>
        <v>60</v>
      </c>
      <c r="AD280" s="60">
        <f t="shared" si="4"/>
        <v>1487</v>
      </c>
      <c r="AE280" s="66">
        <f>Integrated[[#This Row],[Flu Deaths &lt;5 years old]]/Integrated[[#This Row],[Population &lt;5 years]]</f>
        <v>4.4468490368866127E-4</v>
      </c>
      <c r="AF280" s="67">
        <f>Integrated[[#This Row],[Flu Deaths 5 to 14 years]]/Integrated[[#This Row],[Population 5 to 14 years]]</f>
        <v>1.0563845239667239E-4</v>
      </c>
      <c r="AG280" s="67">
        <f>Integrated[[#This Row],[Flu Deaths 15 to 24 years]]/Integrated[[#This Row],[Population 15 to 24 years]]</f>
        <v>9.8225876952443946E-5</v>
      </c>
      <c r="AH280" s="67">
        <f>Integrated[[#This Row],[Flu Deaths 25 to 34 years]]/Integrated[[#This Row],[Population 25 to 34 years]]</f>
        <v>1.0493674937431464E-4</v>
      </c>
      <c r="AI280" s="67">
        <f>Integrated[[#This Row],[Flu Deaths 35 to 44 years]]/Integrated[[#This Row],[Population 35 to 44 years]]</f>
        <v>1.0816053186138868E-4</v>
      </c>
      <c r="AJ280" s="67">
        <f>Integrated[[#This Row],[Flu Deaths 45 to 54 years]]/Integrated[[#This Row],[Population 45 to 54 years]]</f>
        <v>9.9094605619985405E-5</v>
      </c>
      <c r="AK280" s="67">
        <f>Integrated[[#This Row],[Flu Deaths 55 to 64 years]]/Integrated[[#This Row],[Population 55 to 64 years]]</f>
        <v>2.1617024292574022E-4</v>
      </c>
      <c r="AL280" s="67">
        <f>Integrated[[#This Row],[Flu Deaths 65 to 74 years]]/Integrated[[#This Row],[Population 65 to 74 years]]</f>
        <v>5.2349308775453518E-4</v>
      </c>
      <c r="AM280" s="67">
        <f>Integrated[[#This Row],[Flu Deaths 75 to 84 years]]/Integrated[[#This Row],[Population 75 to 84 years]]</f>
        <v>1.548345582690703E-3</v>
      </c>
      <c r="AN280" s="67">
        <f>Integrated[[#This Row],[Flu Deaths 85+ years]]/Integrated[[#This Row],[Population 85+ years]]</f>
        <v>5.1384412046340377E-3</v>
      </c>
      <c r="AO280" s="68">
        <f>Integrated[[#This Row],[Total Flu Deaths]]/Integrated[[#This Row],[Total population]]</f>
        <v>3.3856103137484009E-4</v>
      </c>
    </row>
    <row r="281" spans="1:41" x14ac:dyDescent="0.3">
      <c r="A281" s="44" t="s">
        <v>121</v>
      </c>
      <c r="B281" t="s">
        <v>122</v>
      </c>
      <c r="C281" s="45">
        <v>2017</v>
      </c>
      <c r="D281" s="51">
        <v>1421652</v>
      </c>
      <c r="E281" s="2">
        <v>713980</v>
      </c>
      <c r="F281" s="2">
        <v>707672</v>
      </c>
      <c r="G281" s="78">
        <f>Integrated[[#This Row],[Female Total population]]/Integrated[[#This Row],[Total population]]</f>
        <v>0.49778145425181408</v>
      </c>
      <c r="H281" s="2">
        <v>91416</v>
      </c>
      <c r="I281" s="2">
        <v>168642</v>
      </c>
      <c r="J281" s="2">
        <v>177283</v>
      </c>
      <c r="K281" s="2">
        <v>205402</v>
      </c>
      <c r="L281" s="2">
        <v>177404</v>
      </c>
      <c r="M281" s="2">
        <v>179760</v>
      </c>
      <c r="N281" s="2">
        <v>183618</v>
      </c>
      <c r="O281" s="2">
        <v>133681</v>
      </c>
      <c r="P281" s="2">
        <v>66597</v>
      </c>
      <c r="Q281" s="52">
        <v>37852</v>
      </c>
      <c r="R281" s="127">
        <f>Integrated[[#This Row],[Population 85+ years]]/Integrated[[#This Row],[Total population]]</f>
        <v>2.6625362606319973E-2</v>
      </c>
      <c r="S281" s="58">
        <v>120</v>
      </c>
      <c r="T281" s="59">
        <v>60</v>
      </c>
      <c r="U281" s="59">
        <v>60</v>
      </c>
      <c r="V281" s="59">
        <v>60</v>
      </c>
      <c r="W281" s="59">
        <v>60</v>
      </c>
      <c r="X281" s="59">
        <v>60</v>
      </c>
      <c r="Y281" s="59">
        <v>60</v>
      </c>
      <c r="Z281" s="59">
        <v>60</v>
      </c>
      <c r="AA281" s="59">
        <v>106</v>
      </c>
      <c r="AB281" s="59">
        <v>382</v>
      </c>
      <c r="AC281" s="59">
        <f>VLOOKUP($A281,'[1]Flu Deaths Updated'!$A$2:$N$460,14,FALSE)</f>
        <v>60</v>
      </c>
      <c r="AD281" s="60">
        <f t="shared" si="4"/>
        <v>1088</v>
      </c>
      <c r="AE281" s="66">
        <f>Integrated[[#This Row],[Flu Deaths &lt;5 years old]]/Integrated[[#This Row],[Population &lt;5 years]]</f>
        <v>1.3126804935678655E-3</v>
      </c>
      <c r="AF281" s="67">
        <f>Integrated[[#This Row],[Flu Deaths 5 to 14 years]]/Integrated[[#This Row],[Population 5 to 14 years]]</f>
        <v>3.5578325683993309E-4</v>
      </c>
      <c r="AG281" s="67">
        <f>Integrated[[#This Row],[Flu Deaths 15 to 24 years]]/Integrated[[#This Row],[Population 15 to 24 years]]</f>
        <v>3.384419261858159E-4</v>
      </c>
      <c r="AH281" s="67">
        <f>Integrated[[#This Row],[Flu Deaths 25 to 34 years]]/Integrated[[#This Row],[Population 25 to 34 years]]</f>
        <v>2.9211010603596846E-4</v>
      </c>
      <c r="AI281" s="67">
        <f>Integrated[[#This Row],[Flu Deaths 35 to 44 years]]/Integrated[[#This Row],[Population 35 to 44 years]]</f>
        <v>3.3821108881423195E-4</v>
      </c>
      <c r="AJ281" s="67">
        <f>Integrated[[#This Row],[Flu Deaths 45 to 54 years]]/Integrated[[#This Row],[Population 45 to 54 years]]</f>
        <v>3.3377837116154872E-4</v>
      </c>
      <c r="AK281" s="67">
        <f>Integrated[[#This Row],[Flu Deaths 55 to 64 years]]/Integrated[[#This Row],[Population 55 to 64 years]]</f>
        <v>3.2676534980230699E-4</v>
      </c>
      <c r="AL281" s="67">
        <f>Integrated[[#This Row],[Flu Deaths 65 to 74 years]]/Integrated[[#This Row],[Population 65 to 74 years]]</f>
        <v>4.4882967661821798E-4</v>
      </c>
      <c r="AM281" s="67">
        <f>Integrated[[#This Row],[Flu Deaths 75 to 84 years]]/Integrated[[#This Row],[Population 75 to 84 years]]</f>
        <v>1.5916632881361023E-3</v>
      </c>
      <c r="AN281" s="67">
        <f>Integrated[[#This Row],[Flu Deaths 85+ years]]/Integrated[[#This Row],[Population 85+ years]]</f>
        <v>1.0091937017859031E-2</v>
      </c>
      <c r="AO281" s="68">
        <f>Integrated[[#This Row],[Total Flu Deaths]]/Integrated[[#This Row],[Total population]]</f>
        <v>7.6530684021124725E-4</v>
      </c>
    </row>
    <row r="282" spans="1:41" x14ac:dyDescent="0.3">
      <c r="A282" s="44" t="s">
        <v>262</v>
      </c>
      <c r="B282" t="s">
        <v>246</v>
      </c>
      <c r="C282" s="45">
        <v>2011</v>
      </c>
      <c r="D282" s="51">
        <v>4079475</v>
      </c>
      <c r="E282" s="2">
        <v>2004053</v>
      </c>
      <c r="F282" s="2">
        <v>2075427</v>
      </c>
      <c r="G282" s="78">
        <f>Integrated[[#This Row],[Female Total population]]/Integrated[[#This Row],[Total population]]</f>
        <v>0.50874855220340853</v>
      </c>
      <c r="H282" s="2">
        <v>264472</v>
      </c>
      <c r="I282" s="2">
        <v>535665</v>
      </c>
      <c r="J282" s="2">
        <v>551760</v>
      </c>
      <c r="K282" s="2">
        <v>531902</v>
      </c>
      <c r="L282" s="2">
        <v>553575</v>
      </c>
      <c r="M282" s="2">
        <v>603309</v>
      </c>
      <c r="N282" s="2">
        <v>498618</v>
      </c>
      <c r="O282" s="2">
        <v>301874</v>
      </c>
      <c r="P282" s="2">
        <v>172706</v>
      </c>
      <c r="Q282" s="52">
        <v>67884</v>
      </c>
      <c r="R282" s="127">
        <f>Integrated[[#This Row],[Population 85+ years]]/Integrated[[#This Row],[Total population]]</f>
        <v>1.6640376519037377E-2</v>
      </c>
      <c r="S282" s="58">
        <v>120</v>
      </c>
      <c r="T282" s="59">
        <v>60</v>
      </c>
      <c r="U282" s="59">
        <v>60</v>
      </c>
      <c r="V282" s="59">
        <v>60</v>
      </c>
      <c r="W282" s="59">
        <v>74</v>
      </c>
      <c r="X282" s="59">
        <v>60</v>
      </c>
      <c r="Y282" s="59">
        <v>78</v>
      </c>
      <c r="Z282" s="59">
        <v>121</v>
      </c>
      <c r="AA282" s="59">
        <v>256</v>
      </c>
      <c r="AB282" s="59">
        <v>386</v>
      </c>
      <c r="AC282" s="59">
        <f>VLOOKUP($A282,'[1]Flu Deaths Updated'!$A$2:$N$460,14,FALSE)</f>
        <v>60</v>
      </c>
      <c r="AD282" s="60">
        <f t="shared" si="4"/>
        <v>1335</v>
      </c>
      <c r="AE282" s="66">
        <f>Integrated[[#This Row],[Flu Deaths &lt;5 years old]]/Integrated[[#This Row],[Population &lt;5 years]]</f>
        <v>4.5373423273541245E-4</v>
      </c>
      <c r="AF282" s="67">
        <f>Integrated[[#This Row],[Flu Deaths 5 to 14 years]]/Integrated[[#This Row],[Population 5 to 14 years]]</f>
        <v>1.1201030494805522E-4</v>
      </c>
      <c r="AG282" s="67">
        <f>Integrated[[#This Row],[Flu Deaths 15 to 24 years]]/Integrated[[#This Row],[Population 15 to 24 years]]</f>
        <v>1.0874293170943889E-4</v>
      </c>
      <c r="AH282" s="67">
        <f>Integrated[[#This Row],[Flu Deaths 25 to 34 years]]/Integrated[[#This Row],[Population 25 to 34 years]]</f>
        <v>1.1280273433828036E-4</v>
      </c>
      <c r="AI282" s="67">
        <f>Integrated[[#This Row],[Flu Deaths 35 to 44 years]]/Integrated[[#This Row],[Population 35 to 44 years]]</f>
        <v>1.0838639750711285E-4</v>
      </c>
      <c r="AJ282" s="67">
        <f>Integrated[[#This Row],[Flu Deaths 45 to 54 years]]/Integrated[[#This Row],[Population 45 to 54 years]]</f>
        <v>1.2265688063662237E-4</v>
      </c>
      <c r="AK282" s="67">
        <f>Integrated[[#This Row],[Flu Deaths 55 to 64 years]]/Integrated[[#This Row],[Population 55 to 64 years]]</f>
        <v>1.5643237909582084E-4</v>
      </c>
      <c r="AL282" s="67">
        <f>Integrated[[#This Row],[Flu Deaths 65 to 74 years]]/Integrated[[#This Row],[Population 65 to 74 years]]</f>
        <v>4.0082948514943322E-4</v>
      </c>
      <c r="AM282" s="67">
        <f>Integrated[[#This Row],[Flu Deaths 75 to 84 years]]/Integrated[[#This Row],[Population 75 to 84 years]]</f>
        <v>1.4822878186050283E-3</v>
      </c>
      <c r="AN282" s="67">
        <f>Integrated[[#This Row],[Flu Deaths 85+ years]]/Integrated[[#This Row],[Population 85+ years]]</f>
        <v>5.6861705261917386E-3</v>
      </c>
      <c r="AO282" s="68">
        <f>Integrated[[#This Row],[Total Flu Deaths]]/Integrated[[#This Row],[Total population]]</f>
        <v>3.2724799146949057E-4</v>
      </c>
    </row>
    <row r="283" spans="1:41" x14ac:dyDescent="0.3">
      <c r="A283" s="44" t="s">
        <v>446</v>
      </c>
      <c r="B283" t="s">
        <v>391</v>
      </c>
      <c r="C283" s="45">
        <v>2016</v>
      </c>
      <c r="D283" s="51">
        <v>6207592</v>
      </c>
      <c r="E283" s="2">
        <v>3052348</v>
      </c>
      <c r="F283" s="2">
        <v>3155249</v>
      </c>
      <c r="G283" s="78">
        <f>Integrated[[#This Row],[Female Total population]]/Integrated[[#This Row],[Total population]]</f>
        <v>0.50828872129482738</v>
      </c>
      <c r="H283" s="2">
        <v>399623</v>
      </c>
      <c r="I283" s="2">
        <v>840151</v>
      </c>
      <c r="J283" s="2">
        <v>890868</v>
      </c>
      <c r="K283" s="2">
        <v>803159</v>
      </c>
      <c r="L283" s="2">
        <v>770981</v>
      </c>
      <c r="M283" s="2">
        <v>832092</v>
      </c>
      <c r="N283" s="2">
        <v>788538</v>
      </c>
      <c r="O283" s="2">
        <v>502437</v>
      </c>
      <c r="P283" s="2">
        <v>263430</v>
      </c>
      <c r="Q283" s="52">
        <v>116858</v>
      </c>
      <c r="R283" s="127">
        <f>Integrated[[#This Row],[Population 85+ years]]/Integrated[[#This Row],[Total population]]</f>
        <v>1.8825012984100758E-2</v>
      </c>
      <c r="S283" s="58">
        <v>120</v>
      </c>
      <c r="T283" s="59">
        <v>60</v>
      </c>
      <c r="U283" s="59">
        <v>60</v>
      </c>
      <c r="V283" s="59">
        <v>60</v>
      </c>
      <c r="W283" s="59">
        <v>69</v>
      </c>
      <c r="X283" s="59">
        <v>60</v>
      </c>
      <c r="Y283" s="59">
        <v>89</v>
      </c>
      <c r="Z283" s="59">
        <v>148</v>
      </c>
      <c r="AA283" s="59">
        <v>229</v>
      </c>
      <c r="AB283" s="59">
        <v>387</v>
      </c>
      <c r="AC283" s="59">
        <f>VLOOKUP($A283,'[1]Flu Deaths Updated'!$A$2:$N$460,14,FALSE)</f>
        <v>60</v>
      </c>
      <c r="AD283" s="60">
        <f t="shared" si="4"/>
        <v>1342</v>
      </c>
      <c r="AE283" s="66">
        <f>Integrated[[#This Row],[Flu Deaths &lt;5 years old]]/Integrated[[#This Row],[Population &lt;5 years]]</f>
        <v>3.0028301674328052E-4</v>
      </c>
      <c r="AF283" s="67">
        <f>Integrated[[#This Row],[Flu Deaths 5 to 14 years]]/Integrated[[#This Row],[Population 5 to 14 years]]</f>
        <v>7.1415733600269473E-5</v>
      </c>
      <c r="AG283" s="67">
        <f>Integrated[[#This Row],[Flu Deaths 15 to 24 years]]/Integrated[[#This Row],[Population 15 to 24 years]]</f>
        <v>6.7350045124530235E-5</v>
      </c>
      <c r="AH283" s="67">
        <f>Integrated[[#This Row],[Flu Deaths 25 to 34 years]]/Integrated[[#This Row],[Population 25 to 34 years]]</f>
        <v>7.4705008597301403E-5</v>
      </c>
      <c r="AI283" s="67">
        <f>Integrated[[#This Row],[Flu Deaths 35 to 44 years]]/Integrated[[#This Row],[Population 35 to 44 years]]</f>
        <v>7.7822929488534739E-5</v>
      </c>
      <c r="AJ283" s="67">
        <f>Integrated[[#This Row],[Flu Deaths 45 to 54 years]]/Integrated[[#This Row],[Population 45 to 54 years]]</f>
        <v>8.2923522879681575E-5</v>
      </c>
      <c r="AK283" s="67">
        <f>Integrated[[#This Row],[Flu Deaths 55 to 64 years]]/Integrated[[#This Row],[Population 55 to 64 years]]</f>
        <v>1.1286710342431183E-4</v>
      </c>
      <c r="AL283" s="67">
        <f>Integrated[[#This Row],[Flu Deaths 65 to 74 years]]/Integrated[[#This Row],[Population 65 to 74 years]]</f>
        <v>2.9456429363283358E-4</v>
      </c>
      <c r="AM283" s="67">
        <f>Integrated[[#This Row],[Flu Deaths 75 to 84 years]]/Integrated[[#This Row],[Population 75 to 84 years]]</f>
        <v>8.6930114261853238E-4</v>
      </c>
      <c r="AN283" s="67">
        <f>Integrated[[#This Row],[Flu Deaths 85+ years]]/Integrated[[#This Row],[Population 85+ years]]</f>
        <v>3.3117116500367967E-3</v>
      </c>
      <c r="AO283" s="68">
        <f>Integrated[[#This Row],[Total Flu Deaths]]/Integrated[[#This Row],[Total population]]</f>
        <v>2.1618688857128496E-4</v>
      </c>
    </row>
    <row r="284" spans="1:41" x14ac:dyDescent="0.3">
      <c r="A284" s="44" t="s">
        <v>219</v>
      </c>
      <c r="B284" t="s">
        <v>197</v>
      </c>
      <c r="C284" s="45">
        <v>2011</v>
      </c>
      <c r="D284" s="51">
        <v>2839845</v>
      </c>
      <c r="E284" s="2">
        <v>1404196</v>
      </c>
      <c r="F284" s="2">
        <v>1435653</v>
      </c>
      <c r="G284" s="78">
        <f>Integrated[[#This Row],[Female Total population]]/Integrated[[#This Row],[Total population]]</f>
        <v>0.50553921076678476</v>
      </c>
      <c r="H284" s="2">
        <v>187276</v>
      </c>
      <c r="I284" s="2">
        <v>374627</v>
      </c>
      <c r="J284" s="2">
        <v>409195</v>
      </c>
      <c r="K284" s="2">
        <v>356769</v>
      </c>
      <c r="L284" s="2">
        <v>349934</v>
      </c>
      <c r="M284" s="2">
        <v>408803</v>
      </c>
      <c r="N284" s="2">
        <v>338326</v>
      </c>
      <c r="O284" s="2">
        <v>205575</v>
      </c>
      <c r="P284" s="2">
        <v>143827</v>
      </c>
      <c r="Q284" s="52">
        <v>65731</v>
      </c>
      <c r="R284" s="127">
        <f>Integrated[[#This Row],[Population 85+ years]]/Integrated[[#This Row],[Total population]]</f>
        <v>2.3145981558852682E-2</v>
      </c>
      <c r="S284" s="58">
        <v>120</v>
      </c>
      <c r="T284" s="59">
        <v>60</v>
      </c>
      <c r="U284" s="59">
        <v>60</v>
      </c>
      <c r="V284" s="59">
        <v>60</v>
      </c>
      <c r="W284" s="59">
        <v>60</v>
      </c>
      <c r="X284" s="59">
        <v>60</v>
      </c>
      <c r="Y284" s="59">
        <v>60</v>
      </c>
      <c r="Z284" s="59">
        <v>60</v>
      </c>
      <c r="AA284" s="59">
        <v>129</v>
      </c>
      <c r="AB284" s="59">
        <v>388</v>
      </c>
      <c r="AC284" s="59">
        <f>VLOOKUP($A284,'[1]Flu Deaths Updated'!$A$2:$N$460,14,FALSE)</f>
        <v>60</v>
      </c>
      <c r="AD284" s="60">
        <f t="shared" si="4"/>
        <v>1117</v>
      </c>
      <c r="AE284" s="66">
        <f>Integrated[[#This Row],[Flu Deaths &lt;5 years old]]/Integrated[[#This Row],[Population &lt;5 years]]</f>
        <v>6.4076550118541615E-4</v>
      </c>
      <c r="AF284" s="67">
        <f>Integrated[[#This Row],[Flu Deaths 5 to 14 years]]/Integrated[[#This Row],[Population 5 to 14 years]]</f>
        <v>1.601593051221615E-4</v>
      </c>
      <c r="AG284" s="67">
        <f>Integrated[[#This Row],[Flu Deaths 15 to 24 years]]/Integrated[[#This Row],[Population 15 to 24 years]]</f>
        <v>1.4662935764122239E-4</v>
      </c>
      <c r="AH284" s="67">
        <f>Integrated[[#This Row],[Flu Deaths 25 to 34 years]]/Integrated[[#This Row],[Population 25 to 34 years]]</f>
        <v>1.6817604668567057E-4</v>
      </c>
      <c r="AI284" s="67">
        <f>Integrated[[#This Row],[Flu Deaths 35 to 44 years]]/Integrated[[#This Row],[Population 35 to 44 years]]</f>
        <v>1.7146090405619345E-4</v>
      </c>
      <c r="AJ284" s="67">
        <f>Integrated[[#This Row],[Flu Deaths 45 to 54 years]]/Integrated[[#This Row],[Population 45 to 54 years]]</f>
        <v>1.4676996010303252E-4</v>
      </c>
      <c r="AK284" s="67">
        <f>Integrated[[#This Row],[Flu Deaths 55 to 64 years]]/Integrated[[#This Row],[Population 55 to 64 years]]</f>
        <v>1.7734374538167329E-4</v>
      </c>
      <c r="AL284" s="67">
        <f>Integrated[[#This Row],[Flu Deaths 65 to 74 years]]/Integrated[[#This Row],[Population 65 to 74 years]]</f>
        <v>2.918642831083546E-4</v>
      </c>
      <c r="AM284" s="67">
        <f>Integrated[[#This Row],[Flu Deaths 75 to 84 years]]/Integrated[[#This Row],[Population 75 to 84 years]]</f>
        <v>8.9691087208938519E-4</v>
      </c>
      <c r="AN284" s="67">
        <f>Integrated[[#This Row],[Flu Deaths 85+ years]]/Integrated[[#This Row],[Population 85+ years]]</f>
        <v>5.9028464499246928E-3</v>
      </c>
      <c r="AO284" s="68">
        <f>Integrated[[#This Row],[Total Flu Deaths]]/Integrated[[#This Row],[Total population]]</f>
        <v>3.9333132618153455E-4</v>
      </c>
    </row>
    <row r="285" spans="1:41" x14ac:dyDescent="0.3">
      <c r="A285" s="44" t="s">
        <v>276</v>
      </c>
      <c r="B285" t="s">
        <v>260</v>
      </c>
      <c r="C285" s="45">
        <v>2017</v>
      </c>
      <c r="D285" s="51">
        <v>3594478</v>
      </c>
      <c r="E285" s="2">
        <v>1754046</v>
      </c>
      <c r="F285" s="2">
        <v>1840432</v>
      </c>
      <c r="G285" s="78">
        <f>Integrated[[#This Row],[Female Total population]]/Integrated[[#This Row],[Total population]]</f>
        <v>0.51201648751223405</v>
      </c>
      <c r="H285" s="2">
        <v>186188</v>
      </c>
      <c r="I285" s="2">
        <v>432367</v>
      </c>
      <c r="J285" s="2">
        <v>495626</v>
      </c>
      <c r="K285" s="2">
        <v>439239</v>
      </c>
      <c r="L285" s="2">
        <v>433401</v>
      </c>
      <c r="M285" s="2">
        <v>535611</v>
      </c>
      <c r="N285" s="2">
        <v>496289</v>
      </c>
      <c r="O285" s="2">
        <v>318515</v>
      </c>
      <c r="P285" s="2">
        <v>167133</v>
      </c>
      <c r="Q285" s="52">
        <v>90109</v>
      </c>
      <c r="R285" s="127">
        <f>Integrated[[#This Row],[Population 85+ years]]/Integrated[[#This Row],[Total population]]</f>
        <v>2.5068730424834984E-2</v>
      </c>
      <c r="S285" s="58">
        <v>120</v>
      </c>
      <c r="T285" s="59">
        <v>60</v>
      </c>
      <c r="U285" s="59">
        <v>60</v>
      </c>
      <c r="V285" s="59">
        <v>60</v>
      </c>
      <c r="W285" s="59">
        <v>60</v>
      </c>
      <c r="X285" s="59">
        <v>60</v>
      </c>
      <c r="Y285" s="59">
        <v>65</v>
      </c>
      <c r="Z285" s="59">
        <v>78</v>
      </c>
      <c r="AA285" s="59">
        <v>125</v>
      </c>
      <c r="AB285" s="59">
        <v>389</v>
      </c>
      <c r="AC285" s="59">
        <f>VLOOKUP($A285,'[1]Flu Deaths Updated'!$A$2:$N$460,14,FALSE)</f>
        <v>60</v>
      </c>
      <c r="AD285" s="60">
        <f t="shared" si="4"/>
        <v>1137</v>
      </c>
      <c r="AE285" s="66">
        <f>Integrated[[#This Row],[Flu Deaths &lt;5 years old]]/Integrated[[#This Row],[Population &lt;5 years]]</f>
        <v>6.4450985025887809E-4</v>
      </c>
      <c r="AF285" s="67">
        <f>Integrated[[#This Row],[Flu Deaths 5 to 14 years]]/Integrated[[#This Row],[Population 5 to 14 years]]</f>
        <v>1.3877099778660258E-4</v>
      </c>
      <c r="AG285" s="67">
        <f>Integrated[[#This Row],[Flu Deaths 15 to 24 years]]/Integrated[[#This Row],[Population 15 to 24 years]]</f>
        <v>1.210590243449698E-4</v>
      </c>
      <c r="AH285" s="67">
        <f>Integrated[[#This Row],[Flu Deaths 25 to 34 years]]/Integrated[[#This Row],[Population 25 to 34 years]]</f>
        <v>1.3659989208608526E-4</v>
      </c>
      <c r="AI285" s="67">
        <f>Integrated[[#This Row],[Flu Deaths 35 to 44 years]]/Integrated[[#This Row],[Population 35 to 44 years]]</f>
        <v>1.3843992053548561E-4</v>
      </c>
      <c r="AJ285" s="67">
        <f>Integrated[[#This Row],[Flu Deaths 45 to 54 years]]/Integrated[[#This Row],[Population 45 to 54 years]]</f>
        <v>1.120215977640489E-4</v>
      </c>
      <c r="AK285" s="67">
        <f>Integrated[[#This Row],[Flu Deaths 55 to 64 years]]/Integrated[[#This Row],[Population 55 to 64 years]]</f>
        <v>1.3097207473871072E-4</v>
      </c>
      <c r="AL285" s="67">
        <f>Integrated[[#This Row],[Flu Deaths 65 to 74 years]]/Integrated[[#This Row],[Population 65 to 74 years]]</f>
        <v>2.4488642607098566E-4</v>
      </c>
      <c r="AM285" s="67">
        <f>Integrated[[#This Row],[Flu Deaths 75 to 84 years]]/Integrated[[#This Row],[Population 75 to 84 years]]</f>
        <v>7.4790735522009414E-4</v>
      </c>
      <c r="AN285" s="67">
        <f>Integrated[[#This Row],[Flu Deaths 85+ years]]/Integrated[[#This Row],[Population 85+ years]]</f>
        <v>4.3169938629881591E-3</v>
      </c>
      <c r="AO285" s="68">
        <f>Integrated[[#This Row],[Total Flu Deaths]]/Integrated[[#This Row],[Total population]]</f>
        <v>3.163185308130972E-4</v>
      </c>
    </row>
    <row r="286" spans="1:41" x14ac:dyDescent="0.3">
      <c r="A286" s="44" t="s">
        <v>255</v>
      </c>
      <c r="B286" t="s">
        <v>246</v>
      </c>
      <c r="C286" s="45">
        <v>2015</v>
      </c>
      <c r="D286" s="51">
        <v>4139395</v>
      </c>
      <c r="E286" s="2">
        <v>2036315</v>
      </c>
      <c r="F286" s="2">
        <v>2103090</v>
      </c>
      <c r="G286" s="78">
        <f>Integrated[[#This Row],[Female Total population]]/Integrated[[#This Row],[Total population]]</f>
        <v>0.50806700012924599</v>
      </c>
      <c r="H286" s="2">
        <v>261079</v>
      </c>
      <c r="I286" s="2">
        <v>536403</v>
      </c>
      <c r="J286" s="2">
        <v>568031</v>
      </c>
      <c r="K286" s="2">
        <v>531671</v>
      </c>
      <c r="L286" s="2">
        <v>527281</v>
      </c>
      <c r="M286" s="2">
        <v>579432</v>
      </c>
      <c r="N286" s="2">
        <v>537462</v>
      </c>
      <c r="O286" s="2">
        <v>347509</v>
      </c>
      <c r="P286" s="2">
        <v>178615</v>
      </c>
      <c r="Q286" s="52">
        <v>72428</v>
      </c>
      <c r="R286" s="127">
        <f>Integrated[[#This Row],[Population 85+ years]]/Integrated[[#This Row],[Total population]]</f>
        <v>1.7497242954586358E-2</v>
      </c>
      <c r="S286" s="58">
        <v>120</v>
      </c>
      <c r="T286" s="59">
        <v>60</v>
      </c>
      <c r="U286" s="59">
        <v>60</v>
      </c>
      <c r="V286" s="59">
        <v>60</v>
      </c>
      <c r="W286" s="59">
        <v>60</v>
      </c>
      <c r="X286" s="59">
        <v>60</v>
      </c>
      <c r="Y286" s="59">
        <v>91</v>
      </c>
      <c r="Z286" s="59">
        <v>166</v>
      </c>
      <c r="AA286" s="59">
        <v>238</v>
      </c>
      <c r="AB286" s="59">
        <v>390</v>
      </c>
      <c r="AC286" s="59">
        <f>VLOOKUP($A286,'[1]Flu Deaths Updated'!$A$2:$N$460,14,FALSE)</f>
        <v>60</v>
      </c>
      <c r="AD286" s="60">
        <f t="shared" si="4"/>
        <v>1365</v>
      </c>
      <c r="AE286" s="66">
        <f>Integrated[[#This Row],[Flu Deaths &lt;5 years old]]/Integrated[[#This Row],[Population &lt;5 years]]</f>
        <v>4.5963099291785247E-4</v>
      </c>
      <c r="AF286" s="67">
        <f>Integrated[[#This Row],[Flu Deaths 5 to 14 years]]/Integrated[[#This Row],[Population 5 to 14 years]]</f>
        <v>1.1185619767227252E-4</v>
      </c>
      <c r="AG286" s="67">
        <f>Integrated[[#This Row],[Flu Deaths 15 to 24 years]]/Integrated[[#This Row],[Population 15 to 24 years]]</f>
        <v>1.0562803790638188E-4</v>
      </c>
      <c r="AH286" s="67">
        <f>Integrated[[#This Row],[Flu Deaths 25 to 34 years]]/Integrated[[#This Row],[Population 25 to 34 years]]</f>
        <v>1.1285174478201745E-4</v>
      </c>
      <c r="AI286" s="67">
        <f>Integrated[[#This Row],[Flu Deaths 35 to 44 years]]/Integrated[[#This Row],[Population 35 to 44 years]]</f>
        <v>1.1379131810173324E-4</v>
      </c>
      <c r="AJ286" s="67">
        <f>Integrated[[#This Row],[Flu Deaths 45 to 54 years]]/Integrated[[#This Row],[Population 45 to 54 years]]</f>
        <v>1.0354968313796959E-4</v>
      </c>
      <c r="AK286" s="67">
        <f>Integrated[[#This Row],[Flu Deaths 55 to 64 years]]/Integrated[[#This Row],[Population 55 to 64 years]]</f>
        <v>1.6931429570834775E-4</v>
      </c>
      <c r="AL286" s="67">
        <f>Integrated[[#This Row],[Flu Deaths 65 to 74 years]]/Integrated[[#This Row],[Population 65 to 74 years]]</f>
        <v>4.7768547001660386E-4</v>
      </c>
      <c r="AM286" s="67">
        <f>Integrated[[#This Row],[Flu Deaths 75 to 84 years]]/Integrated[[#This Row],[Population 75 to 84 years]]</f>
        <v>1.3324748761302243E-3</v>
      </c>
      <c r="AN286" s="67">
        <f>Integrated[[#This Row],[Flu Deaths 85+ years]]/Integrated[[#This Row],[Population 85+ years]]</f>
        <v>5.3846578671232119E-3</v>
      </c>
      <c r="AO286" s="68">
        <f>Integrated[[#This Row],[Total Flu Deaths]]/Integrated[[#This Row],[Total population]]</f>
        <v>3.2975833424932872E-4</v>
      </c>
    </row>
    <row r="287" spans="1:41" x14ac:dyDescent="0.3">
      <c r="A287" s="44" t="s">
        <v>439</v>
      </c>
      <c r="B287" t="s">
        <v>423</v>
      </c>
      <c r="C287" s="45">
        <v>2011</v>
      </c>
      <c r="D287" s="51">
        <v>5049758</v>
      </c>
      <c r="E287" s="2">
        <v>2506533</v>
      </c>
      <c r="F287" s="2">
        <v>2543226</v>
      </c>
      <c r="G287" s="78">
        <f>Integrated[[#This Row],[Female Total population]]/Integrated[[#This Row],[Total population]]</f>
        <v>0.50363324341483295</v>
      </c>
      <c r="H287" s="2">
        <v>339272</v>
      </c>
      <c r="I287" s="2">
        <v>676529</v>
      </c>
      <c r="J287" s="2">
        <v>701778</v>
      </c>
      <c r="K287" s="2">
        <v>679738</v>
      </c>
      <c r="L287" s="2">
        <v>673305</v>
      </c>
      <c r="M287" s="2">
        <v>769959</v>
      </c>
      <c r="N287" s="2">
        <v>580781</v>
      </c>
      <c r="O287" s="2">
        <v>324695</v>
      </c>
      <c r="P287" s="2">
        <v>210538</v>
      </c>
      <c r="Q287" s="52">
        <v>95310</v>
      </c>
      <c r="R287" s="127">
        <f>Integrated[[#This Row],[Population 85+ years]]/Integrated[[#This Row],[Total population]]</f>
        <v>1.8874171791994784E-2</v>
      </c>
      <c r="S287" s="58">
        <v>120</v>
      </c>
      <c r="T287" s="59">
        <v>60</v>
      </c>
      <c r="U287" s="59">
        <v>60</v>
      </c>
      <c r="V287" s="59">
        <v>60</v>
      </c>
      <c r="W287" s="59">
        <v>60</v>
      </c>
      <c r="X287" s="59">
        <v>60</v>
      </c>
      <c r="Y287" s="59">
        <v>60</v>
      </c>
      <c r="Z287" s="59">
        <v>60</v>
      </c>
      <c r="AA287" s="59">
        <v>127</v>
      </c>
      <c r="AB287" s="59">
        <v>394</v>
      </c>
      <c r="AC287" s="59">
        <f>VLOOKUP($A287,'[1]Flu Deaths Updated'!$A$2:$N$460,14,FALSE)</f>
        <v>60</v>
      </c>
      <c r="AD287" s="60">
        <f t="shared" si="4"/>
        <v>1121</v>
      </c>
      <c r="AE287" s="66">
        <f>Integrated[[#This Row],[Flu Deaths &lt;5 years old]]/Integrated[[#This Row],[Population &lt;5 years]]</f>
        <v>3.536985073922988E-4</v>
      </c>
      <c r="AF287" s="67">
        <f>Integrated[[#This Row],[Flu Deaths 5 to 14 years]]/Integrated[[#This Row],[Population 5 to 14 years]]</f>
        <v>8.8687994158417454E-5</v>
      </c>
      <c r="AG287" s="67">
        <f>Integrated[[#This Row],[Flu Deaths 15 to 24 years]]/Integrated[[#This Row],[Population 15 to 24 years]]</f>
        <v>8.549712302181032E-5</v>
      </c>
      <c r="AH287" s="67">
        <f>Integrated[[#This Row],[Flu Deaths 25 to 34 years]]/Integrated[[#This Row],[Population 25 to 34 years]]</f>
        <v>8.8269303761155028E-5</v>
      </c>
      <c r="AI287" s="67">
        <f>Integrated[[#This Row],[Flu Deaths 35 to 44 years]]/Integrated[[#This Row],[Population 35 to 44 years]]</f>
        <v>8.9112660681266298E-5</v>
      </c>
      <c r="AJ287" s="67">
        <f>Integrated[[#This Row],[Flu Deaths 45 to 54 years]]/Integrated[[#This Row],[Population 45 to 54 years]]</f>
        <v>7.7926227240671252E-5</v>
      </c>
      <c r="AK287" s="67">
        <f>Integrated[[#This Row],[Flu Deaths 55 to 64 years]]/Integrated[[#This Row],[Population 55 to 64 years]]</f>
        <v>1.0330916472818497E-4</v>
      </c>
      <c r="AL287" s="67">
        <f>Integrated[[#This Row],[Flu Deaths 65 to 74 years]]/Integrated[[#This Row],[Population 65 to 74 years]]</f>
        <v>1.8478880179861101E-4</v>
      </c>
      <c r="AM287" s="67">
        <f>Integrated[[#This Row],[Flu Deaths 75 to 84 years]]/Integrated[[#This Row],[Population 75 to 84 years]]</f>
        <v>6.0321652148305764E-4</v>
      </c>
      <c r="AN287" s="67">
        <f>Integrated[[#This Row],[Flu Deaths 85+ years]]/Integrated[[#This Row],[Population 85+ years]]</f>
        <v>4.1338789214143325E-3</v>
      </c>
      <c r="AO287" s="68">
        <f>Integrated[[#This Row],[Total Flu Deaths]]/Integrated[[#This Row],[Total population]]</f>
        <v>2.2199083599649727E-4</v>
      </c>
    </row>
    <row r="288" spans="1:41" x14ac:dyDescent="0.3">
      <c r="A288" s="44" t="s">
        <v>266</v>
      </c>
      <c r="B288" t="s">
        <v>260</v>
      </c>
      <c r="C288" s="45">
        <v>2015</v>
      </c>
      <c r="D288" s="51">
        <v>3593222</v>
      </c>
      <c r="E288" s="2">
        <v>1751607</v>
      </c>
      <c r="F288" s="2">
        <v>1841615</v>
      </c>
      <c r="G288" s="78">
        <f>Integrated[[#This Row],[Female Total population]]/Integrated[[#This Row],[Total population]]</f>
        <v>0.51252469232349129</v>
      </c>
      <c r="H288" s="2">
        <v>191432</v>
      </c>
      <c r="I288" s="2">
        <v>447144</v>
      </c>
      <c r="J288" s="2">
        <v>494076</v>
      </c>
      <c r="K288" s="2">
        <v>437357</v>
      </c>
      <c r="L288" s="2">
        <v>449402</v>
      </c>
      <c r="M288" s="2">
        <v>555618</v>
      </c>
      <c r="N288" s="2">
        <v>478020</v>
      </c>
      <c r="O288" s="2">
        <v>292303</v>
      </c>
      <c r="P288" s="2">
        <v>162173</v>
      </c>
      <c r="Q288" s="52">
        <v>87960</v>
      </c>
      <c r="R288" s="127">
        <f>Integrated[[#This Row],[Population 85+ years]]/Integrated[[#This Row],[Total population]]</f>
        <v>2.4479422646304625E-2</v>
      </c>
      <c r="S288" s="58">
        <v>120</v>
      </c>
      <c r="T288" s="59">
        <v>60</v>
      </c>
      <c r="U288" s="59">
        <v>60</v>
      </c>
      <c r="V288" s="59">
        <v>60</v>
      </c>
      <c r="W288" s="59">
        <v>60</v>
      </c>
      <c r="X288" s="59">
        <v>60</v>
      </c>
      <c r="Y288" s="59">
        <v>60</v>
      </c>
      <c r="Z288" s="59">
        <v>69</v>
      </c>
      <c r="AA288" s="59">
        <v>152</v>
      </c>
      <c r="AB288" s="59">
        <v>397</v>
      </c>
      <c r="AC288" s="59">
        <f>VLOOKUP($A288,'[1]Flu Deaths Updated'!$A$2:$N$460,14,FALSE)</f>
        <v>60</v>
      </c>
      <c r="AD288" s="60">
        <f t="shared" si="4"/>
        <v>1158</v>
      </c>
      <c r="AE288" s="66">
        <f>Integrated[[#This Row],[Flu Deaths &lt;5 years old]]/Integrated[[#This Row],[Population &lt;5 years]]</f>
        <v>6.2685444439801083E-4</v>
      </c>
      <c r="AF288" s="67">
        <f>Integrated[[#This Row],[Flu Deaths 5 to 14 years]]/Integrated[[#This Row],[Population 5 to 14 years]]</f>
        <v>1.3418496054962159E-4</v>
      </c>
      <c r="AG288" s="67">
        <f>Integrated[[#This Row],[Flu Deaths 15 to 24 years]]/Integrated[[#This Row],[Population 15 to 24 years]]</f>
        <v>1.2143880698516017E-4</v>
      </c>
      <c r="AH288" s="67">
        <f>Integrated[[#This Row],[Flu Deaths 25 to 34 years]]/Integrated[[#This Row],[Population 25 to 34 years]]</f>
        <v>1.3718769792183503E-4</v>
      </c>
      <c r="AI288" s="67">
        <f>Integrated[[#This Row],[Flu Deaths 35 to 44 years]]/Integrated[[#This Row],[Population 35 to 44 years]]</f>
        <v>1.3351075429125816E-4</v>
      </c>
      <c r="AJ288" s="67">
        <f>Integrated[[#This Row],[Flu Deaths 45 to 54 years]]/Integrated[[#This Row],[Population 45 to 54 years]]</f>
        <v>1.0798786216429274E-4</v>
      </c>
      <c r="AK288" s="67">
        <f>Integrated[[#This Row],[Flu Deaths 55 to 64 years]]/Integrated[[#This Row],[Population 55 to 64 years]]</f>
        <v>1.2551776076314799E-4</v>
      </c>
      <c r="AL288" s="67">
        <f>Integrated[[#This Row],[Flu Deaths 65 to 74 years]]/Integrated[[#This Row],[Population 65 to 74 years]]</f>
        <v>2.3605642090570401E-4</v>
      </c>
      <c r="AM288" s="67">
        <f>Integrated[[#This Row],[Flu Deaths 75 to 84 years]]/Integrated[[#This Row],[Population 75 to 84 years]]</f>
        <v>9.3727069240872403E-4</v>
      </c>
      <c r="AN288" s="67">
        <f>Integrated[[#This Row],[Flu Deaths 85+ years]]/Integrated[[#This Row],[Population 85+ years]]</f>
        <v>4.5134151887221462E-3</v>
      </c>
      <c r="AO288" s="68">
        <f>Integrated[[#This Row],[Total Flu Deaths]]/Integrated[[#This Row],[Total population]]</f>
        <v>3.2227343593020413E-4</v>
      </c>
    </row>
    <row r="289" spans="1:41" x14ac:dyDescent="0.3">
      <c r="A289" s="44" t="s">
        <v>413</v>
      </c>
      <c r="B289" t="s">
        <v>351</v>
      </c>
      <c r="C289" s="45">
        <v>2009</v>
      </c>
      <c r="D289" s="51">
        <v>5637418</v>
      </c>
      <c r="E289" s="2">
        <v>2730367</v>
      </c>
      <c r="F289" s="2">
        <v>2907051</v>
      </c>
      <c r="G289" s="78">
        <f>Integrated[[#This Row],[Female Total population]]/Integrated[[#This Row],[Total population]]</f>
        <v>0.51567064922274697</v>
      </c>
      <c r="H289" s="2">
        <v>376468</v>
      </c>
      <c r="I289" s="2">
        <v>744563</v>
      </c>
      <c r="J289" s="2">
        <v>777111</v>
      </c>
      <c r="K289" s="2">
        <v>737222</v>
      </c>
      <c r="L289" s="2">
        <v>845058</v>
      </c>
      <c r="M289" s="2">
        <v>866561</v>
      </c>
      <c r="N289" s="2">
        <v>626600</v>
      </c>
      <c r="O289" s="2">
        <v>354014</v>
      </c>
      <c r="P289" s="2">
        <v>224785</v>
      </c>
      <c r="Q289" s="52">
        <v>84369</v>
      </c>
      <c r="R289" s="127">
        <f>Integrated[[#This Row],[Population 85+ years]]/Integrated[[#This Row],[Total population]]</f>
        <v>1.4965893960674905E-2</v>
      </c>
      <c r="S289" s="58">
        <v>120</v>
      </c>
      <c r="T289" s="59">
        <v>60</v>
      </c>
      <c r="U289" s="59">
        <v>60</v>
      </c>
      <c r="V289" s="59">
        <v>60</v>
      </c>
      <c r="W289" s="59">
        <v>72</v>
      </c>
      <c r="X289" s="59">
        <v>60</v>
      </c>
      <c r="Y289" s="59">
        <v>65</v>
      </c>
      <c r="Z289" s="59">
        <v>65</v>
      </c>
      <c r="AA289" s="59">
        <v>284</v>
      </c>
      <c r="AB289" s="59">
        <v>398</v>
      </c>
      <c r="AC289" s="59">
        <f>VLOOKUP($A289,'[1]Flu Deaths Updated'!$A$2:$N$460,14,FALSE)</f>
        <v>60</v>
      </c>
      <c r="AD289" s="60">
        <f t="shared" si="4"/>
        <v>1304</v>
      </c>
      <c r="AE289" s="66">
        <f>Integrated[[#This Row],[Flu Deaths &lt;5 years old]]/Integrated[[#This Row],[Population &lt;5 years]]</f>
        <v>3.1875219142131603E-4</v>
      </c>
      <c r="AF289" s="67">
        <f>Integrated[[#This Row],[Flu Deaths 5 to 14 years]]/Integrated[[#This Row],[Population 5 to 14 years]]</f>
        <v>8.0584181593767082E-5</v>
      </c>
      <c r="AG289" s="67">
        <f>Integrated[[#This Row],[Flu Deaths 15 to 24 years]]/Integrated[[#This Row],[Population 15 to 24 years]]</f>
        <v>7.7209047356169197E-5</v>
      </c>
      <c r="AH289" s="67">
        <f>Integrated[[#This Row],[Flu Deaths 25 to 34 years]]/Integrated[[#This Row],[Population 25 to 34 years]]</f>
        <v>8.1386610817365732E-5</v>
      </c>
      <c r="AI289" s="67">
        <f>Integrated[[#This Row],[Flu Deaths 35 to 44 years]]/Integrated[[#This Row],[Population 35 to 44 years]]</f>
        <v>7.1001043715342618E-5</v>
      </c>
      <c r="AJ289" s="67">
        <f>Integrated[[#This Row],[Flu Deaths 45 to 54 years]]/Integrated[[#This Row],[Population 45 to 54 years]]</f>
        <v>8.3087053306114635E-5</v>
      </c>
      <c r="AK289" s="67">
        <f>Integrated[[#This Row],[Flu Deaths 55 to 64 years]]/Integrated[[#This Row],[Population 55 to 64 years]]</f>
        <v>1.0373443983402489E-4</v>
      </c>
      <c r="AL289" s="67">
        <f>Integrated[[#This Row],[Flu Deaths 65 to 74 years]]/Integrated[[#This Row],[Population 65 to 74 years]]</f>
        <v>1.836085578536442E-4</v>
      </c>
      <c r="AM289" s="67">
        <f>Integrated[[#This Row],[Flu Deaths 75 to 84 years]]/Integrated[[#This Row],[Population 75 to 84 years]]</f>
        <v>1.2634294992993306E-3</v>
      </c>
      <c r="AN289" s="67">
        <f>Integrated[[#This Row],[Flu Deaths 85+ years]]/Integrated[[#This Row],[Population 85+ years]]</f>
        <v>4.7173724946366555E-3</v>
      </c>
      <c r="AO289" s="68">
        <f>Integrated[[#This Row],[Total Flu Deaths]]/Integrated[[#This Row],[Total population]]</f>
        <v>2.3131156852303661E-4</v>
      </c>
    </row>
    <row r="290" spans="1:41" x14ac:dyDescent="0.3">
      <c r="A290" s="44" t="s">
        <v>268</v>
      </c>
      <c r="B290" t="s">
        <v>246</v>
      </c>
      <c r="C290" s="45">
        <v>2009</v>
      </c>
      <c r="D290" s="51">
        <v>4238868</v>
      </c>
      <c r="E290" s="2">
        <v>2077373</v>
      </c>
      <c r="F290" s="2">
        <v>2161499</v>
      </c>
      <c r="G290" s="78">
        <f>Integrated[[#This Row],[Female Total population]]/Integrated[[#This Row],[Total population]]</f>
        <v>0.5099236399906768</v>
      </c>
      <c r="H290" s="2">
        <v>282777</v>
      </c>
      <c r="I290" s="2">
        <v>551039</v>
      </c>
      <c r="J290" s="2">
        <v>586127</v>
      </c>
      <c r="K290" s="2">
        <v>564347</v>
      </c>
      <c r="L290" s="2">
        <v>598682</v>
      </c>
      <c r="M290" s="2">
        <v>623327</v>
      </c>
      <c r="N290" s="2">
        <v>484579</v>
      </c>
      <c r="O290" s="2">
        <v>296808</v>
      </c>
      <c r="P290" s="2">
        <v>184412</v>
      </c>
      <c r="Q290" s="52">
        <v>67411</v>
      </c>
      <c r="R290" s="127">
        <f>Integrated[[#This Row],[Population 85+ years]]/Integrated[[#This Row],[Total population]]</f>
        <v>1.5903066573434228E-2</v>
      </c>
      <c r="S290" s="58">
        <v>120</v>
      </c>
      <c r="T290" s="59">
        <v>60</v>
      </c>
      <c r="U290" s="59">
        <v>60</v>
      </c>
      <c r="V290" s="59">
        <v>60</v>
      </c>
      <c r="W290" s="59">
        <v>60</v>
      </c>
      <c r="X290" s="59">
        <v>60</v>
      </c>
      <c r="Y290" s="59">
        <v>79</v>
      </c>
      <c r="Z290" s="59">
        <v>138</v>
      </c>
      <c r="AA290" s="59">
        <v>268</v>
      </c>
      <c r="AB290" s="59">
        <v>398</v>
      </c>
      <c r="AC290" s="59">
        <f>VLOOKUP($A290,'[1]Flu Deaths Updated'!$A$2:$N$460,14,FALSE)</f>
        <v>60</v>
      </c>
      <c r="AD290" s="60">
        <f t="shared" si="4"/>
        <v>1363</v>
      </c>
      <c r="AE290" s="66">
        <f>Integrated[[#This Row],[Flu Deaths &lt;5 years old]]/Integrated[[#This Row],[Population &lt;5 years]]</f>
        <v>4.2436266032951759E-4</v>
      </c>
      <c r="AF290" s="67">
        <f>Integrated[[#This Row],[Flu Deaths 5 to 14 years]]/Integrated[[#This Row],[Population 5 to 14 years]]</f>
        <v>1.0888521502107836E-4</v>
      </c>
      <c r="AG290" s="67">
        <f>Integrated[[#This Row],[Flu Deaths 15 to 24 years]]/Integrated[[#This Row],[Population 15 to 24 years]]</f>
        <v>1.0236689318185308E-4</v>
      </c>
      <c r="AH290" s="67">
        <f>Integrated[[#This Row],[Flu Deaths 25 to 34 years]]/Integrated[[#This Row],[Population 25 to 34 years]]</f>
        <v>1.0631756702879611E-4</v>
      </c>
      <c r="AI290" s="67">
        <f>Integrated[[#This Row],[Flu Deaths 35 to 44 years]]/Integrated[[#This Row],[Population 35 to 44 years]]</f>
        <v>1.0022015026341196E-4</v>
      </c>
      <c r="AJ290" s="67">
        <f>Integrated[[#This Row],[Flu Deaths 45 to 54 years]]/Integrated[[#This Row],[Population 45 to 54 years]]</f>
        <v>9.6257662511009469E-5</v>
      </c>
      <c r="AK290" s="67">
        <f>Integrated[[#This Row],[Flu Deaths 55 to 64 years]]/Integrated[[#This Row],[Population 55 to 64 years]]</f>
        <v>1.6302811306309189E-4</v>
      </c>
      <c r="AL290" s="67">
        <f>Integrated[[#This Row],[Flu Deaths 65 to 74 years]]/Integrated[[#This Row],[Population 65 to 74 years]]</f>
        <v>4.6494703646801974E-4</v>
      </c>
      <c r="AM290" s="67">
        <f>Integrated[[#This Row],[Flu Deaths 75 to 84 years]]/Integrated[[#This Row],[Population 75 to 84 years]]</f>
        <v>1.4532676832310263E-3</v>
      </c>
      <c r="AN290" s="67">
        <f>Integrated[[#This Row],[Flu Deaths 85+ years]]/Integrated[[#This Row],[Population 85+ years]]</f>
        <v>5.9040809363457005E-3</v>
      </c>
      <c r="AO290" s="68">
        <f>Integrated[[#This Row],[Total Flu Deaths]]/Integrated[[#This Row],[Total population]]</f>
        <v>3.2154811142974966E-4</v>
      </c>
    </row>
    <row r="291" spans="1:41" x14ac:dyDescent="0.3">
      <c r="A291" s="44" t="s">
        <v>193</v>
      </c>
      <c r="B291" t="s">
        <v>194</v>
      </c>
      <c r="C291" s="45">
        <v>2013</v>
      </c>
      <c r="D291" s="51">
        <v>2670889</v>
      </c>
      <c r="E291" s="2">
        <v>1325647</v>
      </c>
      <c r="F291" s="2">
        <v>1345246</v>
      </c>
      <c r="G291" s="78">
        <f>Integrated[[#This Row],[Female Total population]]/Integrated[[#This Row],[Total population]]</f>
        <v>0.50366975190657493</v>
      </c>
      <c r="H291" s="2">
        <v>187639</v>
      </c>
      <c r="I291" s="2">
        <v>374076</v>
      </c>
      <c r="J291" s="2">
        <v>383890</v>
      </c>
      <c r="K291" s="2">
        <v>355090</v>
      </c>
      <c r="L291" s="2">
        <v>325306</v>
      </c>
      <c r="M291" s="2">
        <v>368512</v>
      </c>
      <c r="N291" s="2">
        <v>320580</v>
      </c>
      <c r="O291" s="2">
        <v>185982</v>
      </c>
      <c r="P291" s="2">
        <v>114514</v>
      </c>
      <c r="Q291" s="52">
        <v>55169</v>
      </c>
      <c r="R291" s="127">
        <f>Integrated[[#This Row],[Population 85+ years]]/Integrated[[#This Row],[Total population]]</f>
        <v>2.0655669329575285E-2</v>
      </c>
      <c r="S291" s="58">
        <v>120</v>
      </c>
      <c r="T291" s="59">
        <v>60</v>
      </c>
      <c r="U291" s="59">
        <v>60</v>
      </c>
      <c r="V291" s="59">
        <v>60</v>
      </c>
      <c r="W291" s="59">
        <v>60</v>
      </c>
      <c r="X291" s="59">
        <v>60</v>
      </c>
      <c r="Y291" s="59">
        <v>66</v>
      </c>
      <c r="Z291" s="59">
        <v>68</v>
      </c>
      <c r="AA291" s="59">
        <v>136</v>
      </c>
      <c r="AB291" s="59">
        <v>403</v>
      </c>
      <c r="AC291" s="59">
        <f>VLOOKUP($A291,'[1]Flu Deaths Updated'!$A$2:$N$460,14,FALSE)</f>
        <v>60</v>
      </c>
      <c r="AD291" s="60">
        <f t="shared" si="4"/>
        <v>1153</v>
      </c>
      <c r="AE291" s="66">
        <f>Integrated[[#This Row],[Flu Deaths &lt;5 years old]]/Integrated[[#This Row],[Population &lt;5 years]]</f>
        <v>6.3952589813418318E-4</v>
      </c>
      <c r="AF291" s="67">
        <f>Integrated[[#This Row],[Flu Deaths 5 to 14 years]]/Integrated[[#This Row],[Population 5 to 14 years]]</f>
        <v>1.6039521380682001E-4</v>
      </c>
      <c r="AG291" s="67">
        <f>Integrated[[#This Row],[Flu Deaths 15 to 24 years]]/Integrated[[#This Row],[Population 15 to 24 years]]</f>
        <v>1.562947719398786E-4</v>
      </c>
      <c r="AH291" s="67">
        <f>Integrated[[#This Row],[Flu Deaths 25 to 34 years]]/Integrated[[#This Row],[Population 25 to 34 years]]</f>
        <v>1.6897124672618209E-4</v>
      </c>
      <c r="AI291" s="67">
        <f>Integrated[[#This Row],[Flu Deaths 35 to 44 years]]/Integrated[[#This Row],[Population 35 to 44 years]]</f>
        <v>1.8444172563678507E-4</v>
      </c>
      <c r="AJ291" s="67">
        <f>Integrated[[#This Row],[Flu Deaths 45 to 54 years]]/Integrated[[#This Row],[Population 45 to 54 years]]</f>
        <v>1.6281695032997569E-4</v>
      </c>
      <c r="AK291" s="67">
        <f>Integrated[[#This Row],[Flu Deaths 55 to 64 years]]/Integrated[[#This Row],[Population 55 to 64 years]]</f>
        <v>2.0587684821261464E-4</v>
      </c>
      <c r="AL291" s="67">
        <f>Integrated[[#This Row],[Flu Deaths 65 to 74 years]]/Integrated[[#This Row],[Population 65 to 74 years]]</f>
        <v>3.6562678108634168E-4</v>
      </c>
      <c r="AM291" s="67">
        <f>Integrated[[#This Row],[Flu Deaths 75 to 84 years]]/Integrated[[#This Row],[Population 75 to 84 years]]</f>
        <v>1.187627713642E-3</v>
      </c>
      <c r="AN291" s="67">
        <f>Integrated[[#This Row],[Flu Deaths 85+ years]]/Integrated[[#This Row],[Population 85+ years]]</f>
        <v>7.3048269861697695E-3</v>
      </c>
      <c r="AO291" s="68">
        <f>Integrated[[#This Row],[Total Flu Deaths]]/Integrated[[#This Row],[Total population]]</f>
        <v>4.3169147051786875E-4</v>
      </c>
    </row>
    <row r="292" spans="1:41" x14ac:dyDescent="0.3">
      <c r="A292" s="44" t="s">
        <v>261</v>
      </c>
      <c r="B292" t="s">
        <v>246</v>
      </c>
      <c r="C292" s="45">
        <v>2010</v>
      </c>
      <c r="D292" s="51">
        <v>4032267</v>
      </c>
      <c r="E292" s="2">
        <v>1982371</v>
      </c>
      <c r="F292" s="2">
        <v>2049897</v>
      </c>
      <c r="G292" s="78">
        <f>Integrated[[#This Row],[Female Total population]]/Integrated[[#This Row],[Total population]]</f>
        <v>0.50837332944470193</v>
      </c>
      <c r="H292" s="2">
        <v>262187</v>
      </c>
      <c r="I292" s="2">
        <v>530602</v>
      </c>
      <c r="J292" s="2">
        <v>554580</v>
      </c>
      <c r="K292" s="2">
        <v>529410</v>
      </c>
      <c r="L292" s="2">
        <v>558078</v>
      </c>
      <c r="M292" s="2">
        <v>596520</v>
      </c>
      <c r="N292" s="2">
        <v>476564</v>
      </c>
      <c r="O292" s="2">
        <v>289505</v>
      </c>
      <c r="P292" s="2">
        <v>171192</v>
      </c>
      <c r="Q292" s="52">
        <v>64764</v>
      </c>
      <c r="R292" s="127">
        <f>Integrated[[#This Row],[Population 85+ years]]/Integrated[[#This Row],[Total population]]</f>
        <v>1.606143640785692E-2</v>
      </c>
      <c r="S292" s="58">
        <v>120</v>
      </c>
      <c r="T292" s="59">
        <v>60</v>
      </c>
      <c r="U292" s="59">
        <v>60</v>
      </c>
      <c r="V292" s="59">
        <v>60</v>
      </c>
      <c r="W292" s="59">
        <v>60</v>
      </c>
      <c r="X292" s="59">
        <v>60</v>
      </c>
      <c r="Y292" s="59">
        <v>66</v>
      </c>
      <c r="Z292" s="59">
        <v>101</v>
      </c>
      <c r="AA292" s="59">
        <v>266</v>
      </c>
      <c r="AB292" s="59">
        <v>407</v>
      </c>
      <c r="AC292" s="59">
        <f>VLOOKUP($A292,'[1]Flu Deaths Updated'!$A$2:$N$460,14,FALSE)</f>
        <v>60</v>
      </c>
      <c r="AD292" s="60">
        <f t="shared" si="4"/>
        <v>1320</v>
      </c>
      <c r="AE292" s="66">
        <f>Integrated[[#This Row],[Flu Deaths &lt;5 years old]]/Integrated[[#This Row],[Population &lt;5 years]]</f>
        <v>4.5768859630721583E-4</v>
      </c>
      <c r="AF292" s="67">
        <f>Integrated[[#This Row],[Flu Deaths 5 to 14 years]]/Integrated[[#This Row],[Population 5 to 14 years]]</f>
        <v>1.1307910637351536E-4</v>
      </c>
      <c r="AG292" s="67">
        <f>Integrated[[#This Row],[Flu Deaths 15 to 24 years]]/Integrated[[#This Row],[Population 15 to 24 years]]</f>
        <v>1.0818998160770312E-4</v>
      </c>
      <c r="AH292" s="67">
        <f>Integrated[[#This Row],[Flu Deaths 25 to 34 years]]/Integrated[[#This Row],[Population 25 to 34 years]]</f>
        <v>1.1333371111237037E-4</v>
      </c>
      <c r="AI292" s="67">
        <f>Integrated[[#This Row],[Flu Deaths 35 to 44 years]]/Integrated[[#This Row],[Population 35 to 44 years]]</f>
        <v>1.0751185318181329E-4</v>
      </c>
      <c r="AJ292" s="67">
        <f>Integrated[[#This Row],[Flu Deaths 45 to 54 years]]/Integrated[[#This Row],[Population 45 to 54 years]]</f>
        <v>1.0058338362502515E-4</v>
      </c>
      <c r="AK292" s="67">
        <f>Integrated[[#This Row],[Flu Deaths 55 to 64 years]]/Integrated[[#This Row],[Population 55 to 64 years]]</f>
        <v>1.3849136737143384E-4</v>
      </c>
      <c r="AL292" s="67">
        <f>Integrated[[#This Row],[Flu Deaths 65 to 74 years]]/Integrated[[#This Row],[Population 65 to 74 years]]</f>
        <v>3.4887134937220429E-4</v>
      </c>
      <c r="AM292" s="67">
        <f>Integrated[[#This Row],[Flu Deaths 75 to 84 years]]/Integrated[[#This Row],[Population 75 to 84 years]]</f>
        <v>1.5538109257441936E-3</v>
      </c>
      <c r="AN292" s="67">
        <f>Integrated[[#This Row],[Flu Deaths 85+ years]]/Integrated[[#This Row],[Population 85+ years]]</f>
        <v>6.2843555061453896E-3</v>
      </c>
      <c r="AO292" s="68">
        <f>Integrated[[#This Row],[Total Flu Deaths]]/Integrated[[#This Row],[Total population]]</f>
        <v>3.2735927457184757E-4</v>
      </c>
    </row>
    <row r="293" spans="1:41" x14ac:dyDescent="0.3">
      <c r="A293" s="44" t="s">
        <v>227</v>
      </c>
      <c r="B293" t="s">
        <v>197</v>
      </c>
      <c r="C293" s="45">
        <v>2012</v>
      </c>
      <c r="D293" s="51">
        <v>2960615</v>
      </c>
      <c r="E293" s="2">
        <v>1465174</v>
      </c>
      <c r="F293" s="2">
        <v>1495446</v>
      </c>
      <c r="G293" s="78">
        <f>Integrated[[#This Row],[Female Total population]]/Integrated[[#This Row],[Total population]]</f>
        <v>0.50511329571727492</v>
      </c>
      <c r="H293" s="2">
        <v>194432</v>
      </c>
      <c r="I293" s="2">
        <v>391644</v>
      </c>
      <c r="J293" s="2">
        <v>424038</v>
      </c>
      <c r="K293" s="2">
        <v>374137</v>
      </c>
      <c r="L293" s="2">
        <v>357623</v>
      </c>
      <c r="M293" s="2">
        <v>421111</v>
      </c>
      <c r="N293" s="2">
        <v>361432</v>
      </c>
      <c r="O293" s="2">
        <v>219185</v>
      </c>
      <c r="P293" s="2">
        <v>147470</v>
      </c>
      <c r="Q293" s="52">
        <v>69297</v>
      </c>
      <c r="R293" s="127">
        <f>Integrated[[#This Row],[Population 85+ years]]/Integrated[[#This Row],[Total population]]</f>
        <v>2.3406285518380473E-2</v>
      </c>
      <c r="S293" s="58">
        <v>120</v>
      </c>
      <c r="T293" s="59">
        <v>60</v>
      </c>
      <c r="U293" s="59">
        <v>60</v>
      </c>
      <c r="V293" s="59">
        <v>60</v>
      </c>
      <c r="W293" s="59">
        <v>60</v>
      </c>
      <c r="X293" s="59">
        <v>60</v>
      </c>
      <c r="Y293" s="59">
        <v>60</v>
      </c>
      <c r="Z293" s="59">
        <v>60</v>
      </c>
      <c r="AA293" s="59">
        <v>127</v>
      </c>
      <c r="AB293" s="59">
        <v>411</v>
      </c>
      <c r="AC293" s="59">
        <f>VLOOKUP($A293,'[1]Flu Deaths Updated'!$A$2:$N$460,14,FALSE)</f>
        <v>60</v>
      </c>
      <c r="AD293" s="60">
        <f t="shared" si="4"/>
        <v>1138</v>
      </c>
      <c r="AE293" s="66">
        <f>Integrated[[#This Row],[Flu Deaths &lt;5 years old]]/Integrated[[#This Row],[Population &lt;5 years]]</f>
        <v>6.1718235681369326E-4</v>
      </c>
      <c r="AF293" s="67">
        <f>Integrated[[#This Row],[Flu Deaths 5 to 14 years]]/Integrated[[#This Row],[Population 5 to 14 years]]</f>
        <v>1.5320035542482459E-4</v>
      </c>
      <c r="AG293" s="67">
        <f>Integrated[[#This Row],[Flu Deaths 15 to 24 years]]/Integrated[[#This Row],[Population 15 to 24 years]]</f>
        <v>1.414967526495267E-4</v>
      </c>
      <c r="AH293" s="67">
        <f>Integrated[[#This Row],[Flu Deaths 25 to 34 years]]/Integrated[[#This Row],[Population 25 to 34 years]]</f>
        <v>1.6036906266955688E-4</v>
      </c>
      <c r="AI293" s="67">
        <f>Integrated[[#This Row],[Flu Deaths 35 to 44 years]]/Integrated[[#This Row],[Population 35 to 44 years]]</f>
        <v>1.6777444403743606E-4</v>
      </c>
      <c r="AJ293" s="67">
        <f>Integrated[[#This Row],[Flu Deaths 45 to 54 years]]/Integrated[[#This Row],[Population 45 to 54 years]]</f>
        <v>1.4248024867552736E-4</v>
      </c>
      <c r="AK293" s="67">
        <f>Integrated[[#This Row],[Flu Deaths 55 to 64 years]]/Integrated[[#This Row],[Population 55 to 64 years]]</f>
        <v>1.6600633037473162E-4</v>
      </c>
      <c r="AL293" s="67">
        <f>Integrated[[#This Row],[Flu Deaths 65 to 74 years]]/Integrated[[#This Row],[Population 65 to 74 years]]</f>
        <v>2.7374136003832379E-4</v>
      </c>
      <c r="AM293" s="67">
        <f>Integrated[[#This Row],[Flu Deaths 75 to 84 years]]/Integrated[[#This Row],[Population 75 to 84 years]]</f>
        <v>8.6119210686919372E-4</v>
      </c>
      <c r="AN293" s="67">
        <f>Integrated[[#This Row],[Flu Deaths 85+ years]]/Integrated[[#This Row],[Population 85+ years]]</f>
        <v>5.9309926836659593E-3</v>
      </c>
      <c r="AO293" s="68">
        <f>Integrated[[#This Row],[Total Flu Deaths]]/Integrated[[#This Row],[Total population]]</f>
        <v>3.8437959680674455E-4</v>
      </c>
    </row>
    <row r="294" spans="1:41" x14ac:dyDescent="0.3">
      <c r="A294" s="44" t="s">
        <v>417</v>
      </c>
      <c r="B294" t="s">
        <v>351</v>
      </c>
      <c r="C294" s="45">
        <v>2010</v>
      </c>
      <c r="D294" s="51">
        <v>5696384</v>
      </c>
      <c r="E294" s="2">
        <v>2754455</v>
      </c>
      <c r="F294" s="2">
        <v>2941929</v>
      </c>
      <c r="G294" s="78">
        <f>Integrated[[#This Row],[Female Total population]]/Integrated[[#This Row],[Total population]]</f>
        <v>0.51645552687459273</v>
      </c>
      <c r="H294" s="2">
        <v>365349</v>
      </c>
      <c r="I294" s="2">
        <v>748339</v>
      </c>
      <c r="J294" s="2">
        <v>793978</v>
      </c>
      <c r="K294" s="2">
        <v>741676</v>
      </c>
      <c r="L294" s="2">
        <v>832412</v>
      </c>
      <c r="M294" s="2">
        <v>881499</v>
      </c>
      <c r="N294" s="2">
        <v>656205</v>
      </c>
      <c r="O294" s="2">
        <v>363134</v>
      </c>
      <c r="P294" s="2">
        <v>224668</v>
      </c>
      <c r="Q294" s="52">
        <v>89219</v>
      </c>
      <c r="R294" s="127">
        <f>Integrated[[#This Row],[Population 85+ years]]/Integrated[[#This Row],[Total population]]</f>
        <v>1.5662392142102778E-2</v>
      </c>
      <c r="S294" s="58">
        <v>120</v>
      </c>
      <c r="T294" s="59">
        <v>60</v>
      </c>
      <c r="U294" s="59">
        <v>60</v>
      </c>
      <c r="V294" s="59">
        <v>60</v>
      </c>
      <c r="W294" s="59">
        <v>60</v>
      </c>
      <c r="X294" s="59">
        <v>60</v>
      </c>
      <c r="Y294" s="59">
        <v>68</v>
      </c>
      <c r="Z294" s="59">
        <v>102</v>
      </c>
      <c r="AA294" s="59">
        <v>252</v>
      </c>
      <c r="AB294" s="59">
        <v>412</v>
      </c>
      <c r="AC294" s="59">
        <f>VLOOKUP($A294,'[1]Flu Deaths Updated'!$A$2:$N$460,14,FALSE)</f>
        <v>60</v>
      </c>
      <c r="AD294" s="60">
        <f t="shared" si="4"/>
        <v>1314</v>
      </c>
      <c r="AE294" s="66">
        <f>Integrated[[#This Row],[Flu Deaths &lt;5 years old]]/Integrated[[#This Row],[Population &lt;5 years]]</f>
        <v>3.2845306816222297E-4</v>
      </c>
      <c r="AF294" s="67">
        <f>Integrated[[#This Row],[Flu Deaths 5 to 14 years]]/Integrated[[#This Row],[Population 5 to 14 years]]</f>
        <v>8.0177566584128316E-5</v>
      </c>
      <c r="AG294" s="67">
        <f>Integrated[[#This Row],[Flu Deaths 15 to 24 years]]/Integrated[[#This Row],[Population 15 to 24 years]]</f>
        <v>7.5568844476799109E-5</v>
      </c>
      <c r="AH294" s="67">
        <f>Integrated[[#This Row],[Flu Deaths 25 to 34 years]]/Integrated[[#This Row],[Population 25 to 34 years]]</f>
        <v>8.0897858364029575E-5</v>
      </c>
      <c r="AI294" s="67">
        <f>Integrated[[#This Row],[Flu Deaths 35 to 44 years]]/Integrated[[#This Row],[Population 35 to 44 years]]</f>
        <v>7.2079691306708695E-5</v>
      </c>
      <c r="AJ294" s="67">
        <f>Integrated[[#This Row],[Flu Deaths 45 to 54 years]]/Integrated[[#This Row],[Population 45 to 54 years]]</f>
        <v>6.8065874153005278E-5</v>
      </c>
      <c r="AK294" s="67">
        <f>Integrated[[#This Row],[Flu Deaths 55 to 64 years]]/Integrated[[#This Row],[Population 55 to 64 years]]</f>
        <v>1.0362615341242447E-4</v>
      </c>
      <c r="AL294" s="67">
        <f>Integrated[[#This Row],[Flu Deaths 65 to 74 years]]/Integrated[[#This Row],[Population 65 to 74 years]]</f>
        <v>2.808880468367049E-4</v>
      </c>
      <c r="AM294" s="67">
        <f>Integrated[[#This Row],[Flu Deaths 75 to 84 years]]/Integrated[[#This Row],[Population 75 to 84 years]]</f>
        <v>1.1216550643616359E-3</v>
      </c>
      <c r="AN294" s="67">
        <f>Integrated[[#This Row],[Flu Deaths 85+ years]]/Integrated[[#This Row],[Population 85+ years]]</f>
        <v>4.6178504578621143E-3</v>
      </c>
      <c r="AO294" s="68">
        <f>Integrated[[#This Row],[Total Flu Deaths]]/Integrated[[#This Row],[Total population]]</f>
        <v>2.3067265128193606E-4</v>
      </c>
    </row>
    <row r="295" spans="1:41" x14ac:dyDescent="0.3">
      <c r="A295" s="44" t="s">
        <v>265</v>
      </c>
      <c r="B295" t="s">
        <v>260</v>
      </c>
      <c r="C295" s="45">
        <v>2011</v>
      </c>
      <c r="D295" s="51">
        <v>3558172</v>
      </c>
      <c r="E295" s="2">
        <v>1731389</v>
      </c>
      <c r="F295" s="2">
        <v>1826783</v>
      </c>
      <c r="G295" s="78">
        <f>Integrated[[#This Row],[Female Total population]]/Integrated[[#This Row],[Total population]]</f>
        <v>0.51340491690677126</v>
      </c>
      <c r="H295" s="2">
        <v>203162</v>
      </c>
      <c r="I295" s="2">
        <v>463036</v>
      </c>
      <c r="J295" s="2">
        <v>477086</v>
      </c>
      <c r="K295" s="2">
        <v>414814</v>
      </c>
      <c r="L295" s="2">
        <v>497360</v>
      </c>
      <c r="M295" s="2">
        <v>568468</v>
      </c>
      <c r="N295" s="2">
        <v>431506</v>
      </c>
      <c r="O295" s="2">
        <v>248611</v>
      </c>
      <c r="P295" s="2">
        <v>166620</v>
      </c>
      <c r="Q295" s="52">
        <v>84419</v>
      </c>
      <c r="R295" s="127">
        <f>Integrated[[#This Row],[Population 85+ years]]/Integrated[[#This Row],[Total population]]</f>
        <v>2.3725384832436431E-2</v>
      </c>
      <c r="S295" s="58">
        <v>120</v>
      </c>
      <c r="T295" s="59">
        <v>60</v>
      </c>
      <c r="U295" s="59">
        <v>60</v>
      </c>
      <c r="V295" s="59">
        <v>60</v>
      </c>
      <c r="W295" s="59">
        <v>60</v>
      </c>
      <c r="X295" s="59">
        <v>60</v>
      </c>
      <c r="Y295" s="59">
        <v>60</v>
      </c>
      <c r="Z295" s="59">
        <v>60</v>
      </c>
      <c r="AA295" s="59">
        <v>139</v>
      </c>
      <c r="AB295" s="59">
        <v>415</v>
      </c>
      <c r="AC295" s="59">
        <f>VLOOKUP($A295,'[1]Flu Deaths Updated'!$A$2:$N$460,14,FALSE)</f>
        <v>60</v>
      </c>
      <c r="AD295" s="60">
        <f t="shared" si="4"/>
        <v>1154</v>
      </c>
      <c r="AE295" s="66">
        <f>Integrated[[#This Row],[Flu Deaths &lt;5 years old]]/Integrated[[#This Row],[Population &lt;5 years]]</f>
        <v>5.9066163947982394E-4</v>
      </c>
      <c r="AF295" s="67">
        <f>Integrated[[#This Row],[Flu Deaths 5 to 14 years]]/Integrated[[#This Row],[Population 5 to 14 years]]</f>
        <v>1.2957955752900422E-4</v>
      </c>
      <c r="AG295" s="67">
        <f>Integrated[[#This Row],[Flu Deaths 15 to 24 years]]/Integrated[[#This Row],[Population 15 to 24 years]]</f>
        <v>1.2576348918224387E-4</v>
      </c>
      <c r="AH295" s="67">
        <f>Integrated[[#This Row],[Flu Deaths 25 to 34 years]]/Integrated[[#This Row],[Population 25 to 34 years]]</f>
        <v>1.4464314126331318E-4</v>
      </c>
      <c r="AI295" s="67">
        <f>Integrated[[#This Row],[Flu Deaths 35 to 44 years]]/Integrated[[#This Row],[Population 35 to 44 years]]</f>
        <v>1.2063696316551391E-4</v>
      </c>
      <c r="AJ295" s="67">
        <f>Integrated[[#This Row],[Flu Deaths 45 to 54 years]]/Integrated[[#This Row],[Population 45 to 54 years]]</f>
        <v>1.0554683816855127E-4</v>
      </c>
      <c r="AK295" s="67">
        <f>Integrated[[#This Row],[Flu Deaths 55 to 64 years]]/Integrated[[#This Row],[Population 55 to 64 years]]</f>
        <v>1.3904789272918569E-4</v>
      </c>
      <c r="AL295" s="67">
        <f>Integrated[[#This Row],[Flu Deaths 65 to 74 years]]/Integrated[[#This Row],[Population 65 to 74 years]]</f>
        <v>2.4134088998475529E-4</v>
      </c>
      <c r="AM295" s="67">
        <f>Integrated[[#This Row],[Flu Deaths 75 to 84 years]]/Integrated[[#This Row],[Population 75 to 84 years]]</f>
        <v>8.3423358540391304E-4</v>
      </c>
      <c r="AN295" s="67">
        <f>Integrated[[#This Row],[Flu Deaths 85+ years]]/Integrated[[#This Row],[Population 85+ years]]</f>
        <v>4.9159549390540049E-3</v>
      </c>
      <c r="AO295" s="68">
        <f>Integrated[[#This Row],[Total Flu Deaths]]/Integrated[[#This Row],[Total population]]</f>
        <v>3.2432383819556786E-4</v>
      </c>
    </row>
    <row r="296" spans="1:41" x14ac:dyDescent="0.3">
      <c r="A296" s="44" t="s">
        <v>426</v>
      </c>
      <c r="B296" t="s">
        <v>423</v>
      </c>
      <c r="C296" s="45">
        <v>2015</v>
      </c>
      <c r="D296" s="51">
        <v>5151270</v>
      </c>
      <c r="E296" s="2">
        <v>2557041</v>
      </c>
      <c r="F296" s="2">
        <v>2594233</v>
      </c>
      <c r="G296" s="78">
        <f>Integrated[[#This Row],[Female Total population]]/Integrated[[#This Row],[Total population]]</f>
        <v>0.50361037181122326</v>
      </c>
      <c r="H296" s="2">
        <v>332463</v>
      </c>
      <c r="I296" s="2">
        <v>681011</v>
      </c>
      <c r="J296" s="2">
        <v>681311</v>
      </c>
      <c r="K296" s="2">
        <v>711549</v>
      </c>
      <c r="L296" s="2">
        <v>643306</v>
      </c>
      <c r="M296" s="2">
        <v>736880</v>
      </c>
      <c r="N296" s="2">
        <v>659130</v>
      </c>
      <c r="O296" s="2">
        <v>387034</v>
      </c>
      <c r="P296" s="2">
        <v>215372</v>
      </c>
      <c r="Q296" s="52">
        <v>102065</v>
      </c>
      <c r="R296" s="127">
        <f>Integrated[[#This Row],[Population 85+ years]]/Integrated[[#This Row],[Total population]]</f>
        <v>1.9813560539439789E-2</v>
      </c>
      <c r="S296" s="58">
        <v>120</v>
      </c>
      <c r="T296" s="59">
        <v>60</v>
      </c>
      <c r="U296" s="59">
        <v>60</v>
      </c>
      <c r="V296" s="59">
        <v>60</v>
      </c>
      <c r="W296" s="59">
        <v>60</v>
      </c>
      <c r="X296" s="59">
        <v>60</v>
      </c>
      <c r="Y296" s="59">
        <v>60</v>
      </c>
      <c r="Z296" s="59">
        <v>81</v>
      </c>
      <c r="AA296" s="59">
        <v>141</v>
      </c>
      <c r="AB296" s="59">
        <v>415</v>
      </c>
      <c r="AC296" s="59">
        <f>VLOOKUP($A296,'[1]Flu Deaths Updated'!$A$2:$N$460,14,FALSE)</f>
        <v>60</v>
      </c>
      <c r="AD296" s="60">
        <f t="shared" si="4"/>
        <v>1177</v>
      </c>
      <c r="AE296" s="66">
        <f>Integrated[[#This Row],[Flu Deaths &lt;5 years old]]/Integrated[[#This Row],[Population &lt;5 years]]</f>
        <v>3.6094242066034418E-4</v>
      </c>
      <c r="AF296" s="67">
        <f>Integrated[[#This Row],[Flu Deaths 5 to 14 years]]/Integrated[[#This Row],[Population 5 to 14 years]]</f>
        <v>8.8104303748397605E-5</v>
      </c>
      <c r="AG296" s="67">
        <f>Integrated[[#This Row],[Flu Deaths 15 to 24 years]]/Integrated[[#This Row],[Population 15 to 24 years]]</f>
        <v>8.8065508996625628E-5</v>
      </c>
      <c r="AH296" s="67">
        <f>Integrated[[#This Row],[Flu Deaths 25 to 34 years]]/Integrated[[#This Row],[Population 25 to 34 years]]</f>
        <v>8.4323075431207124E-5</v>
      </c>
      <c r="AI296" s="67">
        <f>Integrated[[#This Row],[Flu Deaths 35 to 44 years]]/Integrated[[#This Row],[Population 35 to 44 years]]</f>
        <v>9.3268211395510067E-5</v>
      </c>
      <c r="AJ296" s="67">
        <f>Integrated[[#This Row],[Flu Deaths 45 to 54 years]]/Integrated[[#This Row],[Population 45 to 54 years]]</f>
        <v>8.1424383888828574E-5</v>
      </c>
      <c r="AK296" s="67">
        <f>Integrated[[#This Row],[Flu Deaths 55 to 64 years]]/Integrated[[#This Row],[Population 55 to 64 years]]</f>
        <v>9.1029083792271636E-5</v>
      </c>
      <c r="AL296" s="67">
        <f>Integrated[[#This Row],[Flu Deaths 65 to 74 years]]/Integrated[[#This Row],[Population 65 to 74 years]]</f>
        <v>2.0928393887875485E-4</v>
      </c>
      <c r="AM296" s="67">
        <f>Integrated[[#This Row],[Flu Deaths 75 to 84 years]]/Integrated[[#This Row],[Population 75 to 84 years]]</f>
        <v>6.5468120275616142E-4</v>
      </c>
      <c r="AN296" s="67">
        <f>Integrated[[#This Row],[Flu Deaths 85+ years]]/Integrated[[#This Row],[Population 85+ years]]</f>
        <v>4.0660363493851956E-3</v>
      </c>
      <c r="AO296" s="68">
        <f>Integrated[[#This Row],[Total Flu Deaths]]/Integrated[[#This Row],[Total population]]</f>
        <v>2.2848734389771842E-4</v>
      </c>
    </row>
    <row r="297" spans="1:41" x14ac:dyDescent="0.3">
      <c r="A297" s="44" t="s">
        <v>511</v>
      </c>
      <c r="B297" t="s">
        <v>463</v>
      </c>
      <c r="C297" s="45">
        <v>2013</v>
      </c>
      <c r="D297" s="51">
        <v>6778158</v>
      </c>
      <c r="E297" s="2">
        <v>3380685</v>
      </c>
      <c r="F297" s="2">
        <v>3397474</v>
      </c>
      <c r="G297" s="78">
        <f>Integrated[[#This Row],[Female Total population]]/Integrated[[#This Row],[Total population]]</f>
        <v>0.50123853707747734</v>
      </c>
      <c r="H297" s="2">
        <v>438962</v>
      </c>
      <c r="I297" s="2">
        <v>867714</v>
      </c>
      <c r="J297" s="2">
        <v>926796</v>
      </c>
      <c r="K297" s="2">
        <v>953134</v>
      </c>
      <c r="L297" s="2">
        <v>907581</v>
      </c>
      <c r="M297" s="2">
        <v>966018</v>
      </c>
      <c r="N297" s="2">
        <v>853864</v>
      </c>
      <c r="O297" s="2">
        <v>486614</v>
      </c>
      <c r="P297" s="2">
        <v>257678</v>
      </c>
      <c r="Q297" s="52">
        <v>117389</v>
      </c>
      <c r="R297" s="127">
        <f>Integrated[[#This Row],[Population 85+ years]]/Integrated[[#This Row],[Total population]]</f>
        <v>1.7318716972959319E-2</v>
      </c>
      <c r="S297" s="58">
        <v>120</v>
      </c>
      <c r="T297" s="59">
        <v>60</v>
      </c>
      <c r="U297" s="59">
        <v>60</v>
      </c>
      <c r="V297" s="59">
        <v>60</v>
      </c>
      <c r="W297" s="59">
        <v>60</v>
      </c>
      <c r="X297" s="59">
        <v>60</v>
      </c>
      <c r="Y297" s="59">
        <v>65</v>
      </c>
      <c r="Z297" s="59">
        <v>72</v>
      </c>
      <c r="AA297" s="59">
        <v>168</v>
      </c>
      <c r="AB297" s="59">
        <v>416</v>
      </c>
      <c r="AC297" s="59">
        <f>VLOOKUP($A297,'[1]Flu Deaths Updated'!$A$2:$N$460,14,FALSE)</f>
        <v>60</v>
      </c>
      <c r="AD297" s="60">
        <f t="shared" si="4"/>
        <v>1201</v>
      </c>
      <c r="AE297" s="66">
        <f>Integrated[[#This Row],[Flu Deaths &lt;5 years old]]/Integrated[[#This Row],[Population &lt;5 years]]</f>
        <v>2.733721825579435E-4</v>
      </c>
      <c r="AF297" s="67">
        <f>Integrated[[#This Row],[Flu Deaths 5 to 14 years]]/Integrated[[#This Row],[Population 5 to 14 years]]</f>
        <v>6.9147207490025521E-5</v>
      </c>
      <c r="AG297" s="67">
        <f>Integrated[[#This Row],[Flu Deaths 15 to 24 years]]/Integrated[[#This Row],[Population 15 to 24 years]]</f>
        <v>6.473916590058654E-5</v>
      </c>
      <c r="AH297" s="67">
        <f>Integrated[[#This Row],[Flu Deaths 25 to 34 years]]/Integrated[[#This Row],[Population 25 to 34 years]]</f>
        <v>6.295022525688938E-5</v>
      </c>
      <c r="AI297" s="67">
        <f>Integrated[[#This Row],[Flu Deaths 35 to 44 years]]/Integrated[[#This Row],[Population 35 to 44 years]]</f>
        <v>6.610980176975939E-5</v>
      </c>
      <c r="AJ297" s="67">
        <f>Integrated[[#This Row],[Flu Deaths 45 to 54 years]]/Integrated[[#This Row],[Population 45 to 54 years]]</f>
        <v>6.2110643901045317E-5</v>
      </c>
      <c r="AK297" s="67">
        <f>Integrated[[#This Row],[Flu Deaths 55 to 64 years]]/Integrated[[#This Row],[Population 55 to 64 years]]</f>
        <v>7.6124535054762816E-5</v>
      </c>
      <c r="AL297" s="67">
        <f>Integrated[[#This Row],[Flu Deaths 65 to 74 years]]/Integrated[[#This Row],[Population 65 to 74 years]]</f>
        <v>1.4796121772082184E-4</v>
      </c>
      <c r="AM297" s="67">
        <f>Integrated[[#This Row],[Flu Deaths 75 to 84 years]]/Integrated[[#This Row],[Population 75 to 84 years]]</f>
        <v>6.519764977995793E-4</v>
      </c>
      <c r="AN297" s="67">
        <f>Integrated[[#This Row],[Flu Deaths 85+ years]]/Integrated[[#This Row],[Population 85+ years]]</f>
        <v>3.5437732666604195E-3</v>
      </c>
      <c r="AO297" s="68">
        <f>Integrated[[#This Row],[Total Flu Deaths]]/Integrated[[#This Row],[Total population]]</f>
        <v>1.7718678142350768E-4</v>
      </c>
    </row>
    <row r="298" spans="1:41" x14ac:dyDescent="0.3">
      <c r="A298" s="44" t="s">
        <v>404</v>
      </c>
      <c r="B298" t="s">
        <v>351</v>
      </c>
      <c r="C298" s="45">
        <v>2014</v>
      </c>
      <c r="D298" s="51">
        <v>5886846</v>
      </c>
      <c r="E298" s="2">
        <v>2851059</v>
      </c>
      <c r="F298" s="2">
        <v>3035788</v>
      </c>
      <c r="G298" s="78">
        <f>Integrated[[#This Row],[Female Total population]]/Integrated[[#This Row],[Total population]]</f>
        <v>0.5156900656140827</v>
      </c>
      <c r="H298" s="2">
        <v>366560</v>
      </c>
      <c r="I298" s="2">
        <v>749669</v>
      </c>
      <c r="J298" s="2">
        <v>799838</v>
      </c>
      <c r="K298" s="2">
        <v>800885</v>
      </c>
      <c r="L298" s="2">
        <v>777942</v>
      </c>
      <c r="M298" s="2">
        <v>891688</v>
      </c>
      <c r="N298" s="2">
        <v>735349</v>
      </c>
      <c r="O298" s="2">
        <v>430062</v>
      </c>
      <c r="P298" s="2">
        <v>228482</v>
      </c>
      <c r="Q298" s="52">
        <v>103250</v>
      </c>
      <c r="R298" s="127">
        <f>Integrated[[#This Row],[Population 85+ years]]/Integrated[[#This Row],[Total population]]</f>
        <v>1.7539103282131041E-2</v>
      </c>
      <c r="S298" s="58">
        <v>120</v>
      </c>
      <c r="T298" s="59">
        <v>60</v>
      </c>
      <c r="U298" s="59">
        <v>60</v>
      </c>
      <c r="V298" s="59">
        <v>60</v>
      </c>
      <c r="W298" s="59">
        <v>70</v>
      </c>
      <c r="X298" s="59">
        <v>60</v>
      </c>
      <c r="Y298" s="59">
        <v>83</v>
      </c>
      <c r="Z298" s="59">
        <v>152</v>
      </c>
      <c r="AA298" s="59">
        <v>242</v>
      </c>
      <c r="AB298" s="59">
        <v>418</v>
      </c>
      <c r="AC298" s="59">
        <f>VLOOKUP($A298,'[1]Flu Deaths Updated'!$A$2:$N$460,14,FALSE)</f>
        <v>60</v>
      </c>
      <c r="AD298" s="60">
        <f t="shared" si="4"/>
        <v>1385</v>
      </c>
      <c r="AE298" s="66">
        <f>Integrated[[#This Row],[Flu Deaths &lt;5 years old]]/Integrated[[#This Row],[Population &lt;5 years]]</f>
        <v>3.2736796158882583E-4</v>
      </c>
      <c r="AF298" s="67">
        <f>Integrated[[#This Row],[Flu Deaths 5 to 14 years]]/Integrated[[#This Row],[Population 5 to 14 years]]</f>
        <v>8.0035322255555454E-5</v>
      </c>
      <c r="AG298" s="67">
        <f>Integrated[[#This Row],[Flu Deaths 15 to 24 years]]/Integrated[[#This Row],[Population 15 to 24 years]]</f>
        <v>7.5015190576091664E-5</v>
      </c>
      <c r="AH298" s="67">
        <f>Integrated[[#This Row],[Flu Deaths 25 to 34 years]]/Integrated[[#This Row],[Population 25 to 34 years]]</f>
        <v>7.4917122932755638E-5</v>
      </c>
      <c r="AI298" s="67">
        <f>Integrated[[#This Row],[Flu Deaths 35 to 44 years]]/Integrated[[#This Row],[Population 35 to 44 years]]</f>
        <v>7.7126572417995172E-5</v>
      </c>
      <c r="AJ298" s="67">
        <f>Integrated[[#This Row],[Flu Deaths 45 to 54 years]]/Integrated[[#This Row],[Population 45 to 54 years]]</f>
        <v>7.8502794699491301E-5</v>
      </c>
      <c r="AK298" s="67">
        <f>Integrated[[#This Row],[Flu Deaths 55 to 64 years]]/Integrated[[#This Row],[Population 55 to 64 years]]</f>
        <v>1.1287157526562218E-4</v>
      </c>
      <c r="AL298" s="67">
        <f>Integrated[[#This Row],[Flu Deaths 65 to 74 years]]/Integrated[[#This Row],[Population 65 to 74 years]]</f>
        <v>3.5343741134999141E-4</v>
      </c>
      <c r="AM298" s="67">
        <f>Integrated[[#This Row],[Flu Deaths 75 to 84 years]]/Integrated[[#This Row],[Population 75 to 84 years]]</f>
        <v>1.0591643980707452E-3</v>
      </c>
      <c r="AN298" s="67">
        <f>Integrated[[#This Row],[Flu Deaths 85+ years]]/Integrated[[#This Row],[Population 85+ years]]</f>
        <v>4.0484261501210657E-3</v>
      </c>
      <c r="AO298" s="68">
        <f>Integrated[[#This Row],[Total Flu Deaths]]/Integrated[[#This Row],[Total population]]</f>
        <v>2.3527029584262949E-4</v>
      </c>
    </row>
    <row r="299" spans="1:41" x14ac:dyDescent="0.3">
      <c r="A299" s="44" t="s">
        <v>422</v>
      </c>
      <c r="B299" t="s">
        <v>423</v>
      </c>
      <c r="C299" s="45">
        <v>2013</v>
      </c>
      <c r="D299" s="51">
        <v>5192492</v>
      </c>
      <c r="E299" s="2">
        <v>2574393</v>
      </c>
      <c r="F299" s="2">
        <v>2618102</v>
      </c>
      <c r="G299" s="78">
        <f>Integrated[[#This Row],[Female Total population]]/Integrated[[#This Row],[Total population]]</f>
        <v>0.50420915429431568</v>
      </c>
      <c r="H299" s="2">
        <v>339146</v>
      </c>
      <c r="I299" s="2">
        <v>686167</v>
      </c>
      <c r="J299" s="2">
        <v>703157</v>
      </c>
      <c r="K299" s="2">
        <v>704660</v>
      </c>
      <c r="L299" s="2">
        <v>655194</v>
      </c>
      <c r="M299" s="2">
        <v>767001</v>
      </c>
      <c r="N299" s="2">
        <v>637945</v>
      </c>
      <c r="O299" s="2">
        <v>372206</v>
      </c>
      <c r="P299" s="2">
        <v>225866</v>
      </c>
      <c r="Q299" s="52">
        <v>103921</v>
      </c>
      <c r="R299" s="127">
        <f>Integrated[[#This Row],[Population 85+ years]]/Integrated[[#This Row],[Total population]]</f>
        <v>2.0013704402433361E-2</v>
      </c>
      <c r="S299" s="58">
        <v>120</v>
      </c>
      <c r="T299" s="59">
        <v>60</v>
      </c>
      <c r="U299" s="59">
        <v>60</v>
      </c>
      <c r="V299" s="59">
        <v>60</v>
      </c>
      <c r="W299" s="59">
        <v>60</v>
      </c>
      <c r="X299" s="59">
        <v>60</v>
      </c>
      <c r="Y299" s="59">
        <v>60</v>
      </c>
      <c r="Z299" s="59">
        <v>78</v>
      </c>
      <c r="AA299" s="59">
        <v>149</v>
      </c>
      <c r="AB299" s="59">
        <v>420</v>
      </c>
      <c r="AC299" s="59">
        <f>VLOOKUP($A299,'[1]Flu Deaths Updated'!$A$2:$N$460,14,FALSE)</f>
        <v>60</v>
      </c>
      <c r="AD299" s="60">
        <f t="shared" si="4"/>
        <v>1187</v>
      </c>
      <c r="AE299" s="66">
        <f>Integrated[[#This Row],[Flu Deaths &lt;5 years old]]/Integrated[[#This Row],[Population &lt;5 years]]</f>
        <v>3.5382991396035927E-4</v>
      </c>
      <c r="AF299" s="67">
        <f>Integrated[[#This Row],[Flu Deaths 5 to 14 years]]/Integrated[[#This Row],[Population 5 to 14 years]]</f>
        <v>8.7442269884736515E-5</v>
      </c>
      <c r="AG299" s="67">
        <f>Integrated[[#This Row],[Flu Deaths 15 to 24 years]]/Integrated[[#This Row],[Population 15 to 24 years]]</f>
        <v>8.5329449895258101E-5</v>
      </c>
      <c r="AH299" s="67">
        <f>Integrated[[#This Row],[Flu Deaths 25 to 34 years]]/Integrated[[#This Row],[Population 25 to 34 years]]</f>
        <v>8.514744699571425E-5</v>
      </c>
      <c r="AI299" s="67">
        <f>Integrated[[#This Row],[Flu Deaths 35 to 44 years]]/Integrated[[#This Row],[Population 35 to 44 years]]</f>
        <v>9.1575930182510827E-5</v>
      </c>
      <c r="AJ299" s="67">
        <f>Integrated[[#This Row],[Flu Deaths 45 to 54 years]]/Integrated[[#This Row],[Population 45 to 54 years]]</f>
        <v>7.8226755897319557E-5</v>
      </c>
      <c r="AK299" s="67">
        <f>Integrated[[#This Row],[Flu Deaths 55 to 64 years]]/Integrated[[#This Row],[Population 55 to 64 years]]</f>
        <v>9.4051995077945591E-5</v>
      </c>
      <c r="AL299" s="67">
        <f>Integrated[[#This Row],[Flu Deaths 65 to 74 years]]/Integrated[[#This Row],[Population 65 to 74 years]]</f>
        <v>2.0956137192844823E-4</v>
      </c>
      <c r="AM299" s="67">
        <f>Integrated[[#This Row],[Flu Deaths 75 to 84 years]]/Integrated[[#This Row],[Population 75 to 84 years]]</f>
        <v>6.5968317497985536E-4</v>
      </c>
      <c r="AN299" s="67">
        <f>Integrated[[#This Row],[Flu Deaths 85+ years]]/Integrated[[#This Row],[Population 85+ years]]</f>
        <v>4.0415315480028099E-3</v>
      </c>
      <c r="AO299" s="68">
        <f>Integrated[[#This Row],[Total Flu Deaths]]/Integrated[[#This Row],[Total population]]</f>
        <v>2.2859929297917069E-4</v>
      </c>
    </row>
    <row r="300" spans="1:41" x14ac:dyDescent="0.3">
      <c r="A300" s="44" t="s">
        <v>492</v>
      </c>
      <c r="B300" t="s">
        <v>463</v>
      </c>
      <c r="C300" s="45">
        <v>2015</v>
      </c>
      <c r="D300" s="51">
        <v>6666917</v>
      </c>
      <c r="E300" s="2">
        <v>3324257</v>
      </c>
      <c r="F300" s="2">
        <v>3342661</v>
      </c>
      <c r="G300" s="78">
        <f>Integrated[[#This Row],[Female Total population]]/Integrated[[#This Row],[Total population]]</f>
        <v>0.50138032316886505</v>
      </c>
      <c r="H300" s="2">
        <v>426538</v>
      </c>
      <c r="I300" s="2">
        <v>845698</v>
      </c>
      <c r="J300" s="2">
        <v>889303</v>
      </c>
      <c r="K300" s="2">
        <v>964188</v>
      </c>
      <c r="L300" s="2">
        <v>883769</v>
      </c>
      <c r="M300" s="2">
        <v>914618</v>
      </c>
      <c r="N300" s="2">
        <v>850286</v>
      </c>
      <c r="O300" s="2">
        <v>520072</v>
      </c>
      <c r="P300" s="2">
        <v>251951</v>
      </c>
      <c r="Q300" s="52">
        <v>119075</v>
      </c>
      <c r="R300" s="127">
        <f>Integrated[[#This Row],[Population 85+ years]]/Integrated[[#This Row],[Total population]]</f>
        <v>1.7860579335245961E-2</v>
      </c>
      <c r="S300" s="58">
        <v>120</v>
      </c>
      <c r="T300" s="59">
        <v>60</v>
      </c>
      <c r="U300" s="59">
        <v>60</v>
      </c>
      <c r="V300" s="59">
        <v>60</v>
      </c>
      <c r="W300" s="59">
        <v>60</v>
      </c>
      <c r="X300" s="59">
        <v>60</v>
      </c>
      <c r="Y300" s="59">
        <v>60</v>
      </c>
      <c r="Z300" s="59">
        <v>110</v>
      </c>
      <c r="AA300" s="59">
        <v>170</v>
      </c>
      <c r="AB300" s="59">
        <v>436</v>
      </c>
      <c r="AC300" s="59">
        <f>VLOOKUP($A300,'[1]Flu Deaths Updated'!$A$2:$N$460,14,FALSE)</f>
        <v>60</v>
      </c>
      <c r="AD300" s="60">
        <f t="shared" si="4"/>
        <v>1256</v>
      </c>
      <c r="AE300" s="66">
        <f>Integrated[[#This Row],[Flu Deaths &lt;5 years old]]/Integrated[[#This Row],[Population &lt;5 years]]</f>
        <v>2.8133484003769885E-4</v>
      </c>
      <c r="AF300" s="67">
        <f>Integrated[[#This Row],[Flu Deaths 5 to 14 years]]/Integrated[[#This Row],[Population 5 to 14 years]]</f>
        <v>7.0947312161078775E-5</v>
      </c>
      <c r="AG300" s="67">
        <f>Integrated[[#This Row],[Flu Deaths 15 to 24 years]]/Integrated[[#This Row],[Population 15 to 24 years]]</f>
        <v>6.746856808084533E-5</v>
      </c>
      <c r="AH300" s="67">
        <f>Integrated[[#This Row],[Flu Deaths 25 to 34 years]]/Integrated[[#This Row],[Population 25 to 34 years]]</f>
        <v>6.2228528046397584E-5</v>
      </c>
      <c r="AI300" s="67">
        <f>Integrated[[#This Row],[Flu Deaths 35 to 44 years]]/Integrated[[#This Row],[Population 35 to 44 years]]</f>
        <v>6.7891043926636936E-5</v>
      </c>
      <c r="AJ300" s="67">
        <f>Integrated[[#This Row],[Flu Deaths 45 to 54 years]]/Integrated[[#This Row],[Population 45 to 54 years]]</f>
        <v>6.5601158079110617E-5</v>
      </c>
      <c r="AK300" s="67">
        <f>Integrated[[#This Row],[Flu Deaths 55 to 64 years]]/Integrated[[#This Row],[Population 55 to 64 years]]</f>
        <v>7.0564492417845293E-5</v>
      </c>
      <c r="AL300" s="67">
        <f>Integrated[[#This Row],[Flu Deaths 65 to 74 years]]/Integrated[[#This Row],[Population 65 to 74 years]]</f>
        <v>2.1150917565260194E-4</v>
      </c>
      <c r="AM300" s="67">
        <f>Integrated[[#This Row],[Flu Deaths 75 to 84 years]]/Integrated[[#This Row],[Population 75 to 84 years]]</f>
        <v>6.7473437295347113E-4</v>
      </c>
      <c r="AN300" s="67">
        <f>Integrated[[#This Row],[Flu Deaths 85+ years]]/Integrated[[#This Row],[Population 85+ years]]</f>
        <v>3.6615578416964098E-3</v>
      </c>
      <c r="AO300" s="68">
        <f>Integrated[[#This Row],[Total Flu Deaths]]/Integrated[[#This Row],[Total population]]</f>
        <v>1.8839292584563449E-4</v>
      </c>
    </row>
    <row r="301" spans="1:41" x14ac:dyDescent="0.3">
      <c r="A301" s="44" t="s">
        <v>392</v>
      </c>
      <c r="B301" t="s">
        <v>351</v>
      </c>
      <c r="C301" s="45">
        <v>2016</v>
      </c>
      <c r="D301" s="51">
        <v>5878659</v>
      </c>
      <c r="E301" s="2">
        <v>2848708</v>
      </c>
      <c r="F301" s="2">
        <v>3029952</v>
      </c>
      <c r="G301" s="78">
        <f>Integrated[[#This Row],[Female Total population]]/Integrated[[#This Row],[Total population]]</f>
        <v>0.51541550547497317</v>
      </c>
      <c r="H301" s="2">
        <v>362838</v>
      </c>
      <c r="I301" s="2">
        <v>738410</v>
      </c>
      <c r="J301" s="2">
        <v>781169</v>
      </c>
      <c r="K301" s="2">
        <v>811978</v>
      </c>
      <c r="L301" s="2">
        <v>759837</v>
      </c>
      <c r="M301" s="2">
        <v>865292</v>
      </c>
      <c r="N301" s="2">
        <v>755613</v>
      </c>
      <c r="O301" s="2">
        <v>467863</v>
      </c>
      <c r="P301" s="2">
        <v>230938</v>
      </c>
      <c r="Q301" s="52">
        <v>105820</v>
      </c>
      <c r="R301" s="127">
        <f>Integrated[[#This Row],[Population 85+ years]]/Integrated[[#This Row],[Total population]]</f>
        <v>1.8000703902029357E-2</v>
      </c>
      <c r="S301" s="58">
        <v>120</v>
      </c>
      <c r="T301" s="59">
        <v>60</v>
      </c>
      <c r="U301" s="59">
        <v>60</v>
      </c>
      <c r="V301" s="59">
        <v>60</v>
      </c>
      <c r="W301" s="59">
        <v>66</v>
      </c>
      <c r="X301" s="59">
        <v>60</v>
      </c>
      <c r="Y301" s="59">
        <v>77</v>
      </c>
      <c r="Z301" s="59">
        <v>154</v>
      </c>
      <c r="AA301" s="59">
        <v>254</v>
      </c>
      <c r="AB301" s="59">
        <v>440</v>
      </c>
      <c r="AC301" s="59">
        <f>VLOOKUP($A301,'[1]Flu Deaths Updated'!$A$2:$N$460,14,FALSE)</f>
        <v>60</v>
      </c>
      <c r="AD301" s="60">
        <f t="shared" si="4"/>
        <v>1411</v>
      </c>
      <c r="AE301" s="66">
        <f>Integrated[[#This Row],[Flu Deaths &lt;5 years old]]/Integrated[[#This Row],[Population &lt;5 years]]</f>
        <v>3.3072610917268862E-4</v>
      </c>
      <c r="AF301" s="67">
        <f>Integrated[[#This Row],[Flu Deaths 5 to 14 years]]/Integrated[[#This Row],[Population 5 to 14 years]]</f>
        <v>8.1255670968703023E-5</v>
      </c>
      <c r="AG301" s="67">
        <f>Integrated[[#This Row],[Flu Deaths 15 to 24 years]]/Integrated[[#This Row],[Population 15 to 24 years]]</f>
        <v>7.6807963449650462E-5</v>
      </c>
      <c r="AH301" s="67">
        <f>Integrated[[#This Row],[Flu Deaths 25 to 34 years]]/Integrated[[#This Row],[Population 25 to 34 years]]</f>
        <v>7.3893627659862702E-5</v>
      </c>
      <c r="AI301" s="67">
        <f>Integrated[[#This Row],[Flu Deaths 35 to 44 years]]/Integrated[[#This Row],[Population 35 to 44 years]]</f>
        <v>7.8964304186292581E-5</v>
      </c>
      <c r="AJ301" s="67">
        <f>Integrated[[#This Row],[Flu Deaths 45 to 54 years]]/Integrated[[#This Row],[Population 45 to 54 years]]</f>
        <v>7.6274829768448107E-5</v>
      </c>
      <c r="AK301" s="67">
        <f>Integrated[[#This Row],[Flu Deaths 55 to 64 years]]/Integrated[[#This Row],[Population 55 to 64 years]]</f>
        <v>1.0190401700341313E-4</v>
      </c>
      <c r="AL301" s="67">
        <f>Integrated[[#This Row],[Flu Deaths 65 to 74 years]]/Integrated[[#This Row],[Population 65 to 74 years]]</f>
        <v>3.2915618460959724E-4</v>
      </c>
      <c r="AM301" s="67">
        <f>Integrated[[#This Row],[Flu Deaths 75 to 84 years]]/Integrated[[#This Row],[Population 75 to 84 years]]</f>
        <v>1.0998623007040852E-3</v>
      </c>
      <c r="AN301" s="67">
        <f>Integrated[[#This Row],[Flu Deaths 85+ years]]/Integrated[[#This Row],[Population 85+ years]]</f>
        <v>4.1580041580041582E-3</v>
      </c>
      <c r="AO301" s="68">
        <f>Integrated[[#This Row],[Total Flu Deaths]]/Integrated[[#This Row],[Total population]]</f>
        <v>2.4002072581519017E-4</v>
      </c>
    </row>
    <row r="302" spans="1:41" x14ac:dyDescent="0.3">
      <c r="A302" s="44" t="s">
        <v>406</v>
      </c>
      <c r="B302" t="s">
        <v>351</v>
      </c>
      <c r="C302" s="45">
        <v>2017</v>
      </c>
      <c r="D302" s="51">
        <v>5921207</v>
      </c>
      <c r="E302" s="2">
        <v>2868226</v>
      </c>
      <c r="F302" s="2">
        <v>3052981</v>
      </c>
      <c r="G302" s="78">
        <f>Integrated[[#This Row],[Female Total population]]/Integrated[[#This Row],[Total population]]</f>
        <v>0.51560112659462842</v>
      </c>
      <c r="H302" s="2">
        <v>363031</v>
      </c>
      <c r="I302" s="2">
        <v>741392</v>
      </c>
      <c r="J302" s="2">
        <v>772879</v>
      </c>
      <c r="K302" s="2">
        <v>818802</v>
      </c>
      <c r="L302" s="2">
        <v>759833</v>
      </c>
      <c r="M302" s="2">
        <v>857032</v>
      </c>
      <c r="N302" s="2">
        <v>771764</v>
      </c>
      <c r="O302" s="2">
        <v>489182</v>
      </c>
      <c r="P302" s="2">
        <v>240311</v>
      </c>
      <c r="Q302" s="52">
        <v>106981</v>
      </c>
      <c r="R302" s="127">
        <f>Integrated[[#This Row],[Population 85+ years]]/Integrated[[#This Row],[Total population]]</f>
        <v>1.8067431184216325E-2</v>
      </c>
      <c r="S302" s="58">
        <v>120</v>
      </c>
      <c r="T302" s="59">
        <v>60</v>
      </c>
      <c r="U302" s="59">
        <v>60</v>
      </c>
      <c r="V302" s="59">
        <v>60</v>
      </c>
      <c r="W302" s="59">
        <v>60</v>
      </c>
      <c r="X302" s="59">
        <v>60</v>
      </c>
      <c r="Y302" s="59">
        <v>70</v>
      </c>
      <c r="Z302" s="59">
        <v>160</v>
      </c>
      <c r="AA302" s="59">
        <v>235</v>
      </c>
      <c r="AB302" s="59">
        <v>442</v>
      </c>
      <c r="AC302" s="59">
        <f>VLOOKUP($A302,'[1]Flu Deaths Updated'!$A$2:$N$460,14,FALSE)</f>
        <v>60</v>
      </c>
      <c r="AD302" s="60">
        <f t="shared" si="4"/>
        <v>1387</v>
      </c>
      <c r="AE302" s="66">
        <f>Integrated[[#This Row],[Flu Deaths &lt;5 years old]]/Integrated[[#This Row],[Population &lt;5 years]]</f>
        <v>3.3055028358459747E-4</v>
      </c>
      <c r="AF302" s="67">
        <f>Integrated[[#This Row],[Flu Deaths 5 to 14 years]]/Integrated[[#This Row],[Population 5 to 14 years]]</f>
        <v>8.0928847357403369E-5</v>
      </c>
      <c r="AG302" s="67">
        <f>Integrated[[#This Row],[Flu Deaths 15 to 24 years]]/Integrated[[#This Row],[Population 15 to 24 years]]</f>
        <v>7.7631815588209791E-5</v>
      </c>
      <c r="AH302" s="67">
        <f>Integrated[[#This Row],[Flu Deaths 25 to 34 years]]/Integrated[[#This Row],[Population 25 to 34 years]]</f>
        <v>7.327778876944609E-5</v>
      </c>
      <c r="AI302" s="67">
        <f>Integrated[[#This Row],[Flu Deaths 35 to 44 years]]/Integrated[[#This Row],[Population 35 to 44 years]]</f>
        <v>7.8964719879236623E-5</v>
      </c>
      <c r="AJ302" s="67">
        <f>Integrated[[#This Row],[Flu Deaths 45 to 54 years]]/Integrated[[#This Row],[Population 45 to 54 years]]</f>
        <v>7.0009054504382561E-5</v>
      </c>
      <c r="AK302" s="67">
        <f>Integrated[[#This Row],[Flu Deaths 55 to 64 years]]/Integrated[[#This Row],[Population 55 to 64 years]]</f>
        <v>9.0701302470703484E-5</v>
      </c>
      <c r="AL302" s="67">
        <f>Integrated[[#This Row],[Flu Deaths 65 to 74 years]]/Integrated[[#This Row],[Population 65 to 74 years]]</f>
        <v>3.2707662996594316E-4</v>
      </c>
      <c r="AM302" s="67">
        <f>Integrated[[#This Row],[Flu Deaths 75 to 84 years]]/Integrated[[#This Row],[Population 75 to 84 years]]</f>
        <v>9.7789947193428523E-4</v>
      </c>
      <c r="AN302" s="67">
        <f>Integrated[[#This Row],[Flu Deaths 85+ years]]/Integrated[[#This Row],[Population 85+ years]]</f>
        <v>4.1315747656125853E-3</v>
      </c>
      <c r="AO302" s="68">
        <f>Integrated[[#This Row],[Total Flu Deaths]]/Integrated[[#This Row],[Total population]]</f>
        <v>2.3424278191929449E-4</v>
      </c>
    </row>
    <row r="303" spans="1:41" x14ac:dyDescent="0.3">
      <c r="A303" s="44" t="s">
        <v>414</v>
      </c>
      <c r="B303" t="s">
        <v>351</v>
      </c>
      <c r="C303" s="45">
        <v>2012</v>
      </c>
      <c r="D303" s="51">
        <v>5785496</v>
      </c>
      <c r="E303" s="2">
        <v>2798875</v>
      </c>
      <c r="F303" s="2">
        <v>2986621</v>
      </c>
      <c r="G303" s="78">
        <f>Integrated[[#This Row],[Female Total population]]/Integrated[[#This Row],[Total population]]</f>
        <v>0.51622557512787148</v>
      </c>
      <c r="H303" s="2">
        <v>365922</v>
      </c>
      <c r="I303" s="2">
        <v>743583</v>
      </c>
      <c r="J303" s="2">
        <v>800641</v>
      </c>
      <c r="K303" s="2">
        <v>765859</v>
      </c>
      <c r="L303" s="2">
        <v>799075</v>
      </c>
      <c r="M303" s="2">
        <v>894095</v>
      </c>
      <c r="N303" s="2">
        <v>698071</v>
      </c>
      <c r="O303" s="2">
        <v>392640</v>
      </c>
      <c r="P303" s="2">
        <v>225688</v>
      </c>
      <c r="Q303" s="52">
        <v>98030</v>
      </c>
      <c r="R303" s="127">
        <f>Integrated[[#This Row],[Population 85+ years]]/Integrated[[#This Row],[Total population]]</f>
        <v>1.6944096063673711E-2</v>
      </c>
      <c r="S303" s="58">
        <v>120</v>
      </c>
      <c r="T303" s="59">
        <v>60</v>
      </c>
      <c r="U303" s="59">
        <v>60</v>
      </c>
      <c r="V303" s="59">
        <v>60</v>
      </c>
      <c r="W303" s="59">
        <v>60</v>
      </c>
      <c r="X303" s="59">
        <v>60</v>
      </c>
      <c r="Y303" s="59">
        <v>66</v>
      </c>
      <c r="Z303" s="59">
        <v>92</v>
      </c>
      <c r="AA303" s="59">
        <v>250</v>
      </c>
      <c r="AB303" s="59">
        <v>450</v>
      </c>
      <c r="AC303" s="59">
        <f>VLOOKUP($A303,'[1]Flu Deaths Updated'!$A$2:$N$460,14,FALSE)</f>
        <v>60</v>
      </c>
      <c r="AD303" s="60">
        <f t="shared" si="4"/>
        <v>1338</v>
      </c>
      <c r="AE303" s="66">
        <f>Integrated[[#This Row],[Flu Deaths &lt;5 years old]]/Integrated[[#This Row],[Population &lt;5 years]]</f>
        <v>3.2793874104317312E-4</v>
      </c>
      <c r="AF303" s="67">
        <f>Integrated[[#This Row],[Flu Deaths 5 to 14 years]]/Integrated[[#This Row],[Population 5 to 14 years]]</f>
        <v>8.0690386950750618E-5</v>
      </c>
      <c r="AG303" s="67">
        <f>Integrated[[#This Row],[Flu Deaths 15 to 24 years]]/Integrated[[#This Row],[Population 15 to 24 years]]</f>
        <v>7.4939954361567796E-5</v>
      </c>
      <c r="AH303" s="67">
        <f>Integrated[[#This Row],[Flu Deaths 25 to 34 years]]/Integrated[[#This Row],[Population 25 to 34 years]]</f>
        <v>7.8343402636777792E-5</v>
      </c>
      <c r="AI303" s="67">
        <f>Integrated[[#This Row],[Flu Deaths 35 to 44 years]]/Integrated[[#This Row],[Population 35 to 44 years]]</f>
        <v>7.5086819134624407E-5</v>
      </c>
      <c r="AJ303" s="67">
        <f>Integrated[[#This Row],[Flu Deaths 45 to 54 years]]/Integrated[[#This Row],[Population 45 to 54 years]]</f>
        <v>6.7106962906626251E-5</v>
      </c>
      <c r="AK303" s="67">
        <f>Integrated[[#This Row],[Flu Deaths 55 to 64 years]]/Integrated[[#This Row],[Population 55 to 64 years]]</f>
        <v>9.4546256756117926E-5</v>
      </c>
      <c r="AL303" s="67">
        <f>Integrated[[#This Row],[Flu Deaths 65 to 74 years]]/Integrated[[#This Row],[Population 65 to 74 years]]</f>
        <v>2.3431132844335778E-4</v>
      </c>
      <c r="AM303" s="67">
        <f>Integrated[[#This Row],[Flu Deaths 75 to 84 years]]/Integrated[[#This Row],[Population 75 to 84 years]]</f>
        <v>1.1077239374711991E-3</v>
      </c>
      <c r="AN303" s="67">
        <f>Integrated[[#This Row],[Flu Deaths 85+ years]]/Integrated[[#This Row],[Population 85+ years]]</f>
        <v>4.5904315005610525E-3</v>
      </c>
      <c r="AO303" s="68">
        <f>Integrated[[#This Row],[Total Flu Deaths]]/Integrated[[#This Row],[Total population]]</f>
        <v>2.3126798462914849E-4</v>
      </c>
    </row>
    <row r="304" spans="1:41" x14ac:dyDescent="0.3">
      <c r="A304" s="44" t="s">
        <v>500</v>
      </c>
      <c r="B304" t="s">
        <v>483</v>
      </c>
      <c r="C304" s="45">
        <v>2016</v>
      </c>
      <c r="D304" s="51">
        <v>9578273</v>
      </c>
      <c r="E304" s="2">
        <v>4665372</v>
      </c>
      <c r="F304" s="2">
        <v>4912909</v>
      </c>
      <c r="G304" s="78">
        <f>Integrated[[#This Row],[Female Total population]]/Integrated[[#This Row],[Total population]]</f>
        <v>0.5129222146831689</v>
      </c>
      <c r="H304" s="2">
        <v>632215</v>
      </c>
      <c r="I304" s="2">
        <v>1346526</v>
      </c>
      <c r="J304" s="2">
        <v>1362924</v>
      </c>
      <c r="K304" s="2">
        <v>1317274</v>
      </c>
      <c r="L304" s="2">
        <v>1311160</v>
      </c>
      <c r="M304" s="2">
        <v>1331472</v>
      </c>
      <c r="N304" s="2">
        <v>1116172</v>
      </c>
      <c r="O304" s="2">
        <v>709660</v>
      </c>
      <c r="P304" s="2">
        <v>330359</v>
      </c>
      <c r="Q304" s="52">
        <v>119810</v>
      </c>
      <c r="R304" s="127">
        <f>Integrated[[#This Row],[Population 85+ years]]/Integrated[[#This Row],[Total population]]</f>
        <v>1.2508517976048501E-2</v>
      </c>
      <c r="S304" s="58">
        <v>120</v>
      </c>
      <c r="T304" s="59">
        <v>60</v>
      </c>
      <c r="U304" s="59">
        <v>60</v>
      </c>
      <c r="V304" s="59">
        <v>60</v>
      </c>
      <c r="W304" s="59">
        <v>65</v>
      </c>
      <c r="X304" s="59">
        <v>60</v>
      </c>
      <c r="Y304" s="59">
        <v>202</v>
      </c>
      <c r="Z304" s="59">
        <v>266</v>
      </c>
      <c r="AA304" s="59">
        <v>351</v>
      </c>
      <c r="AB304" s="59">
        <v>451</v>
      </c>
      <c r="AC304" s="59">
        <f>VLOOKUP($A304,'[1]Flu Deaths Updated'!$A$2:$N$460,14,FALSE)</f>
        <v>60</v>
      </c>
      <c r="AD304" s="60">
        <f t="shared" si="4"/>
        <v>1755</v>
      </c>
      <c r="AE304" s="66">
        <f>Integrated[[#This Row],[Flu Deaths &lt;5 years old]]/Integrated[[#This Row],[Population &lt;5 years]]</f>
        <v>1.898088466739954E-4</v>
      </c>
      <c r="AF304" s="67">
        <f>Integrated[[#This Row],[Flu Deaths 5 to 14 years]]/Integrated[[#This Row],[Population 5 to 14 years]]</f>
        <v>4.4559109887220896E-5</v>
      </c>
      <c r="AG304" s="67">
        <f>Integrated[[#This Row],[Flu Deaths 15 to 24 years]]/Integrated[[#This Row],[Population 15 to 24 years]]</f>
        <v>4.4022997613953529E-5</v>
      </c>
      <c r="AH304" s="67">
        <f>Integrated[[#This Row],[Flu Deaths 25 to 34 years]]/Integrated[[#This Row],[Population 25 to 34 years]]</f>
        <v>4.554861023598735E-5</v>
      </c>
      <c r="AI304" s="67">
        <f>Integrated[[#This Row],[Flu Deaths 35 to 44 years]]/Integrated[[#This Row],[Population 35 to 44 years]]</f>
        <v>4.5761005521828001E-5</v>
      </c>
      <c r="AJ304" s="67">
        <f>Integrated[[#This Row],[Flu Deaths 45 to 54 years]]/Integrated[[#This Row],[Population 45 to 54 years]]</f>
        <v>4.8818150137592075E-5</v>
      </c>
      <c r="AK304" s="67">
        <f>Integrated[[#This Row],[Flu Deaths 55 to 64 years]]/Integrated[[#This Row],[Population 55 to 64 years]]</f>
        <v>1.8097569191844986E-4</v>
      </c>
      <c r="AL304" s="67">
        <f>Integrated[[#This Row],[Flu Deaths 65 to 74 years]]/Integrated[[#This Row],[Population 65 to 74 years]]</f>
        <v>3.748273821266522E-4</v>
      </c>
      <c r="AM304" s="67">
        <f>Integrated[[#This Row],[Flu Deaths 75 to 84 years]]/Integrated[[#This Row],[Population 75 to 84 years]]</f>
        <v>1.0624805136230586E-3</v>
      </c>
      <c r="AN304" s="67">
        <f>Integrated[[#This Row],[Flu Deaths 85+ years]]/Integrated[[#This Row],[Population 85+ years]]</f>
        <v>3.7642934646523662E-3</v>
      </c>
      <c r="AO304" s="68">
        <f>Integrated[[#This Row],[Total Flu Deaths]]/Integrated[[#This Row],[Total population]]</f>
        <v>1.8322718510946598E-4</v>
      </c>
    </row>
    <row r="305" spans="1:41" x14ac:dyDescent="0.3">
      <c r="A305" s="44" t="s">
        <v>196</v>
      </c>
      <c r="B305" t="s">
        <v>197</v>
      </c>
      <c r="C305" s="45">
        <v>2013</v>
      </c>
      <c r="D305" s="51">
        <v>2869335</v>
      </c>
      <c r="E305" s="2">
        <v>1419708</v>
      </c>
      <c r="F305" s="2">
        <v>1449630</v>
      </c>
      <c r="G305" s="78">
        <f>Integrated[[#This Row],[Female Total population]]/Integrated[[#This Row],[Total population]]</f>
        <v>0.50521462290042818</v>
      </c>
      <c r="H305" s="2">
        <v>186088</v>
      </c>
      <c r="I305" s="2">
        <v>378671</v>
      </c>
      <c r="J305" s="2">
        <v>411960</v>
      </c>
      <c r="K305" s="2">
        <v>366426</v>
      </c>
      <c r="L305" s="2">
        <v>342799</v>
      </c>
      <c r="M305" s="2">
        <v>400832</v>
      </c>
      <c r="N305" s="2">
        <v>359616</v>
      </c>
      <c r="O305" s="2">
        <v>215226</v>
      </c>
      <c r="P305" s="2">
        <v>139811</v>
      </c>
      <c r="Q305" s="52">
        <v>67781</v>
      </c>
      <c r="R305" s="127">
        <f>Integrated[[#This Row],[Population 85+ years]]/Integrated[[#This Row],[Total population]]</f>
        <v>2.3622546687647138E-2</v>
      </c>
      <c r="S305" s="58">
        <v>120</v>
      </c>
      <c r="T305" s="59">
        <v>60</v>
      </c>
      <c r="U305" s="59">
        <v>60</v>
      </c>
      <c r="V305" s="59">
        <v>60</v>
      </c>
      <c r="W305" s="59">
        <v>60</v>
      </c>
      <c r="X305" s="59">
        <v>60</v>
      </c>
      <c r="Y305" s="59">
        <v>60</v>
      </c>
      <c r="Z305" s="59">
        <v>70</v>
      </c>
      <c r="AA305" s="59">
        <v>164</v>
      </c>
      <c r="AB305" s="59">
        <v>452</v>
      </c>
      <c r="AC305" s="59">
        <f>VLOOKUP($A305,'[1]Flu Deaths Updated'!$A$2:$N$460,14,FALSE)</f>
        <v>60</v>
      </c>
      <c r="AD305" s="60">
        <f t="shared" si="4"/>
        <v>1226</v>
      </c>
      <c r="AE305" s="66">
        <f>Integrated[[#This Row],[Flu Deaths &lt;5 years old]]/Integrated[[#This Row],[Population &lt;5 years]]</f>
        <v>6.4485619706805379E-4</v>
      </c>
      <c r="AF305" s="67">
        <f>Integrated[[#This Row],[Flu Deaths 5 to 14 years]]/Integrated[[#This Row],[Population 5 to 14 years]]</f>
        <v>1.5844889098980383E-4</v>
      </c>
      <c r="AG305" s="67">
        <f>Integrated[[#This Row],[Flu Deaths 15 to 24 years]]/Integrated[[#This Row],[Population 15 to 24 years]]</f>
        <v>1.4564520827264782E-4</v>
      </c>
      <c r="AH305" s="67">
        <f>Integrated[[#This Row],[Flu Deaths 25 to 34 years]]/Integrated[[#This Row],[Population 25 to 34 years]]</f>
        <v>1.6374383913805244E-4</v>
      </c>
      <c r="AI305" s="67">
        <f>Integrated[[#This Row],[Flu Deaths 35 to 44 years]]/Integrated[[#This Row],[Population 35 to 44 years]]</f>
        <v>1.7502968211692565E-4</v>
      </c>
      <c r="AJ305" s="67">
        <f>Integrated[[#This Row],[Flu Deaths 45 to 54 years]]/Integrated[[#This Row],[Population 45 to 54 years]]</f>
        <v>1.4968864761296503E-4</v>
      </c>
      <c r="AK305" s="67">
        <f>Integrated[[#This Row],[Flu Deaths 55 to 64 years]]/Integrated[[#This Row],[Population 55 to 64 years]]</f>
        <v>1.6684463427656167E-4</v>
      </c>
      <c r="AL305" s="67">
        <f>Integrated[[#This Row],[Flu Deaths 65 to 74 years]]/Integrated[[#This Row],[Population 65 to 74 years]]</f>
        <v>3.2523951567189836E-4</v>
      </c>
      <c r="AM305" s="67">
        <f>Integrated[[#This Row],[Flu Deaths 75 to 84 years]]/Integrated[[#This Row],[Population 75 to 84 years]]</f>
        <v>1.1730121378146212E-3</v>
      </c>
      <c r="AN305" s="67">
        <f>Integrated[[#This Row],[Flu Deaths 85+ years]]/Integrated[[#This Row],[Population 85+ years]]</f>
        <v>6.668535430282823E-3</v>
      </c>
      <c r="AO305" s="68">
        <f>Integrated[[#This Row],[Total Flu Deaths]]/Integrated[[#This Row],[Total population]]</f>
        <v>4.2727670348704491E-4</v>
      </c>
    </row>
    <row r="306" spans="1:41" x14ac:dyDescent="0.3">
      <c r="A306" s="44" t="s">
        <v>498</v>
      </c>
      <c r="B306" t="s">
        <v>483</v>
      </c>
      <c r="C306" s="45">
        <v>2017</v>
      </c>
      <c r="D306" s="51">
        <v>9583666</v>
      </c>
      <c r="E306" s="2">
        <v>4666664</v>
      </c>
      <c r="F306" s="2">
        <v>4917010</v>
      </c>
      <c r="G306" s="78">
        <f>Integrated[[#This Row],[Female Total population]]/Integrated[[#This Row],[Total population]]</f>
        <v>0.51306149442186322</v>
      </c>
      <c r="H306" s="2">
        <v>619035</v>
      </c>
      <c r="I306" s="2">
        <v>1330190</v>
      </c>
      <c r="J306" s="2">
        <v>1348659</v>
      </c>
      <c r="K306" s="2">
        <v>1324101</v>
      </c>
      <c r="L306" s="2">
        <v>1298385</v>
      </c>
      <c r="M306" s="2">
        <v>1325568</v>
      </c>
      <c r="N306" s="2">
        <v>1135695</v>
      </c>
      <c r="O306" s="2">
        <v>742886</v>
      </c>
      <c r="P306" s="2">
        <v>339582</v>
      </c>
      <c r="Q306" s="52">
        <v>119701</v>
      </c>
      <c r="R306" s="127">
        <f>Integrated[[#This Row],[Population 85+ years]]/Integrated[[#This Row],[Total population]]</f>
        <v>1.24901055608574E-2</v>
      </c>
      <c r="S306" s="58">
        <v>120</v>
      </c>
      <c r="T306" s="59">
        <v>60</v>
      </c>
      <c r="U306" s="59">
        <v>60</v>
      </c>
      <c r="V306" s="59">
        <v>60</v>
      </c>
      <c r="W306" s="59">
        <v>70</v>
      </c>
      <c r="X306" s="59">
        <v>60</v>
      </c>
      <c r="Y306" s="59">
        <v>159</v>
      </c>
      <c r="Z306" s="59">
        <v>274</v>
      </c>
      <c r="AA306" s="59">
        <v>391</v>
      </c>
      <c r="AB306" s="59">
        <v>452</v>
      </c>
      <c r="AC306" s="59">
        <f>VLOOKUP($A306,'[1]Flu Deaths Updated'!$A$2:$N$460,14,FALSE)</f>
        <v>60</v>
      </c>
      <c r="AD306" s="60">
        <f t="shared" si="4"/>
        <v>1766</v>
      </c>
      <c r="AE306" s="66">
        <f>Integrated[[#This Row],[Flu Deaths &lt;5 years old]]/Integrated[[#This Row],[Population &lt;5 years]]</f>
        <v>1.9385010540599483E-4</v>
      </c>
      <c r="AF306" s="67">
        <f>Integrated[[#This Row],[Flu Deaths 5 to 14 years]]/Integrated[[#This Row],[Population 5 to 14 years]]</f>
        <v>4.510633819228832E-5</v>
      </c>
      <c r="AG306" s="67">
        <f>Integrated[[#This Row],[Flu Deaths 15 to 24 years]]/Integrated[[#This Row],[Population 15 to 24 years]]</f>
        <v>4.4488636490024536E-5</v>
      </c>
      <c r="AH306" s="67">
        <f>Integrated[[#This Row],[Flu Deaths 25 to 34 years]]/Integrated[[#This Row],[Population 25 to 34 years]]</f>
        <v>4.5313763829194296E-5</v>
      </c>
      <c r="AI306" s="67">
        <f>Integrated[[#This Row],[Flu Deaths 35 to 44 years]]/Integrated[[#This Row],[Population 35 to 44 years]]</f>
        <v>4.6211254751094631E-5</v>
      </c>
      <c r="AJ306" s="67">
        <f>Integrated[[#This Row],[Flu Deaths 45 to 54 years]]/Integrated[[#This Row],[Population 45 to 54 years]]</f>
        <v>5.2807551178061028E-5</v>
      </c>
      <c r="AK306" s="67">
        <f>Integrated[[#This Row],[Flu Deaths 55 to 64 years]]/Integrated[[#This Row],[Population 55 to 64 years]]</f>
        <v>1.400023773988615E-4</v>
      </c>
      <c r="AL306" s="67">
        <f>Integrated[[#This Row],[Flu Deaths 65 to 74 years]]/Integrated[[#This Row],[Population 65 to 74 years]]</f>
        <v>3.6883182614829194E-4</v>
      </c>
      <c r="AM306" s="67">
        <f>Integrated[[#This Row],[Flu Deaths 75 to 84 years]]/Integrated[[#This Row],[Population 75 to 84 years]]</f>
        <v>1.1514155638402506E-3</v>
      </c>
      <c r="AN306" s="67">
        <f>Integrated[[#This Row],[Flu Deaths 85+ years]]/Integrated[[#This Row],[Population 85+ years]]</f>
        <v>3.7760753878413713E-3</v>
      </c>
      <c r="AO306" s="68">
        <f>Integrated[[#This Row],[Total Flu Deaths]]/Integrated[[#This Row],[Total population]]</f>
        <v>1.842718642323303E-4</v>
      </c>
    </row>
    <row r="307" spans="1:41" x14ac:dyDescent="0.3">
      <c r="A307" s="44" t="s">
        <v>419</v>
      </c>
      <c r="B307" t="s">
        <v>391</v>
      </c>
      <c r="C307" s="45">
        <v>2014</v>
      </c>
      <c r="D307" s="51">
        <v>6228563</v>
      </c>
      <c r="E307" s="2">
        <v>3062410</v>
      </c>
      <c r="F307" s="2">
        <v>3166157</v>
      </c>
      <c r="G307" s="78">
        <f>Integrated[[#This Row],[Female Total population]]/Integrated[[#This Row],[Total population]]</f>
        <v>0.50832864659151722</v>
      </c>
      <c r="H307" s="2">
        <v>405990</v>
      </c>
      <c r="I307" s="2">
        <v>853026</v>
      </c>
      <c r="J307" s="2">
        <v>895589</v>
      </c>
      <c r="K307" s="2">
        <v>799685</v>
      </c>
      <c r="L307" s="2">
        <v>791016</v>
      </c>
      <c r="M307" s="2">
        <v>870802</v>
      </c>
      <c r="N307" s="2">
        <v>769762</v>
      </c>
      <c r="O307" s="2">
        <v>465355</v>
      </c>
      <c r="P307" s="2">
        <v>262006</v>
      </c>
      <c r="Q307" s="52">
        <v>115193</v>
      </c>
      <c r="R307" s="127">
        <f>Integrated[[#This Row],[Population 85+ years]]/Integrated[[#This Row],[Total population]]</f>
        <v>1.8494314017535023E-2</v>
      </c>
      <c r="S307" s="58">
        <v>120</v>
      </c>
      <c r="T307" s="59">
        <v>60</v>
      </c>
      <c r="U307" s="59">
        <v>60</v>
      </c>
      <c r="V307" s="59">
        <v>67</v>
      </c>
      <c r="W307" s="59">
        <v>60</v>
      </c>
      <c r="X307" s="59">
        <v>60</v>
      </c>
      <c r="Y307" s="59">
        <v>105</v>
      </c>
      <c r="Z307" s="59">
        <v>130</v>
      </c>
      <c r="AA307" s="59">
        <v>250</v>
      </c>
      <c r="AB307" s="59">
        <v>455</v>
      </c>
      <c r="AC307" s="59">
        <f>VLOOKUP($A307,'[1]Flu Deaths Updated'!$A$2:$N$460,14,FALSE)</f>
        <v>60</v>
      </c>
      <c r="AD307" s="60">
        <f t="shared" si="4"/>
        <v>1427</v>
      </c>
      <c r="AE307" s="66">
        <f>Integrated[[#This Row],[Flu Deaths &lt;5 years old]]/Integrated[[#This Row],[Population &lt;5 years]]</f>
        <v>2.955737826054829E-4</v>
      </c>
      <c r="AF307" s="67">
        <f>Integrated[[#This Row],[Flu Deaths 5 to 14 years]]/Integrated[[#This Row],[Population 5 to 14 years]]</f>
        <v>7.0337832610025956E-5</v>
      </c>
      <c r="AG307" s="67">
        <f>Integrated[[#This Row],[Flu Deaths 15 to 24 years]]/Integrated[[#This Row],[Population 15 to 24 years]]</f>
        <v>6.6995016687342078E-5</v>
      </c>
      <c r="AH307" s="67">
        <f>Integrated[[#This Row],[Flu Deaths 25 to 34 years]]/Integrated[[#This Row],[Population 25 to 34 years]]</f>
        <v>7.5029542882509986E-5</v>
      </c>
      <c r="AI307" s="67">
        <f>Integrated[[#This Row],[Flu Deaths 35 to 44 years]]/Integrated[[#This Row],[Population 35 to 44 years]]</f>
        <v>8.4701194413260922E-5</v>
      </c>
      <c r="AJ307" s="67">
        <f>Integrated[[#This Row],[Flu Deaths 45 to 54 years]]/Integrated[[#This Row],[Population 45 to 54 years]]</f>
        <v>6.890200068442654E-5</v>
      </c>
      <c r="AK307" s="67">
        <f>Integrated[[#This Row],[Flu Deaths 55 to 64 years]]/Integrated[[#This Row],[Population 55 to 64 years]]</f>
        <v>1.3640579815579361E-4</v>
      </c>
      <c r="AL307" s="67">
        <f>Integrated[[#This Row],[Flu Deaths 65 to 74 years]]/Integrated[[#This Row],[Population 65 to 74 years]]</f>
        <v>2.7935662021467484E-4</v>
      </c>
      <c r="AM307" s="67">
        <f>Integrated[[#This Row],[Flu Deaths 75 to 84 years]]/Integrated[[#This Row],[Population 75 to 84 years]]</f>
        <v>9.541766219094219E-4</v>
      </c>
      <c r="AN307" s="67">
        <f>Integrated[[#This Row],[Flu Deaths 85+ years]]/Integrated[[#This Row],[Population 85+ years]]</f>
        <v>3.9498927886243091E-3</v>
      </c>
      <c r="AO307" s="68">
        <f>Integrated[[#This Row],[Total Flu Deaths]]/Integrated[[#This Row],[Total population]]</f>
        <v>2.2910581461566657E-4</v>
      </c>
    </row>
    <row r="308" spans="1:41" x14ac:dyDescent="0.3">
      <c r="A308" s="44" t="s">
        <v>424</v>
      </c>
      <c r="B308" t="s">
        <v>391</v>
      </c>
      <c r="C308" s="45">
        <v>2017</v>
      </c>
      <c r="D308" s="51">
        <v>6426240</v>
      </c>
      <c r="E308" s="2">
        <v>3165235</v>
      </c>
      <c r="F308" s="2">
        <v>3261011</v>
      </c>
      <c r="G308" s="78">
        <f>Integrated[[#This Row],[Female Total population]]/Integrated[[#This Row],[Total population]]</f>
        <v>0.50745241385320183</v>
      </c>
      <c r="H308" s="2">
        <v>405736</v>
      </c>
      <c r="I308" s="2">
        <v>857763</v>
      </c>
      <c r="J308" s="2">
        <v>920520</v>
      </c>
      <c r="K308" s="2">
        <v>829374</v>
      </c>
      <c r="L308" s="2">
        <v>797260</v>
      </c>
      <c r="M308" s="2">
        <v>847821</v>
      </c>
      <c r="N308" s="2">
        <v>826224</v>
      </c>
      <c r="O308" s="2">
        <v>542488</v>
      </c>
      <c r="P308" s="2">
        <v>275854</v>
      </c>
      <c r="Q308" s="52">
        <v>123264</v>
      </c>
      <c r="R308" s="127">
        <f>Integrated[[#This Row],[Population 85+ years]]/Integrated[[#This Row],[Total population]]</f>
        <v>1.9181356438601731E-2</v>
      </c>
      <c r="S308" s="58">
        <v>120</v>
      </c>
      <c r="T308" s="59">
        <v>60</v>
      </c>
      <c r="U308" s="59">
        <v>60</v>
      </c>
      <c r="V308" s="59">
        <v>60</v>
      </c>
      <c r="W308" s="59">
        <v>65</v>
      </c>
      <c r="X308" s="59">
        <v>60</v>
      </c>
      <c r="Y308" s="59">
        <v>87</v>
      </c>
      <c r="Z308" s="59">
        <v>165</v>
      </c>
      <c r="AA308" s="59">
        <v>276</v>
      </c>
      <c r="AB308" s="59">
        <v>456</v>
      </c>
      <c r="AC308" s="59">
        <f>VLOOKUP($A308,'[1]Flu Deaths Updated'!$A$2:$N$460,14,FALSE)</f>
        <v>60</v>
      </c>
      <c r="AD308" s="60">
        <f t="shared" si="4"/>
        <v>1469</v>
      </c>
      <c r="AE308" s="66">
        <f>Integrated[[#This Row],[Flu Deaths &lt;5 years old]]/Integrated[[#This Row],[Population &lt;5 years]]</f>
        <v>2.9575881854210619E-4</v>
      </c>
      <c r="AF308" s="67">
        <f>Integrated[[#This Row],[Flu Deaths 5 to 14 years]]/Integrated[[#This Row],[Population 5 to 14 years]]</f>
        <v>6.9949391615166433E-5</v>
      </c>
      <c r="AG308" s="67">
        <f>Integrated[[#This Row],[Flu Deaths 15 to 24 years]]/Integrated[[#This Row],[Population 15 to 24 years]]</f>
        <v>6.5180550123843041E-5</v>
      </c>
      <c r="AH308" s="67">
        <f>Integrated[[#This Row],[Flu Deaths 25 to 34 years]]/Integrated[[#This Row],[Population 25 to 34 years]]</f>
        <v>7.2343719479993346E-5</v>
      </c>
      <c r="AI308" s="67">
        <f>Integrated[[#This Row],[Flu Deaths 35 to 44 years]]/Integrated[[#This Row],[Population 35 to 44 years]]</f>
        <v>7.5257757820535329E-5</v>
      </c>
      <c r="AJ308" s="67">
        <f>Integrated[[#This Row],[Flu Deaths 45 to 54 years]]/Integrated[[#This Row],[Population 45 to 54 years]]</f>
        <v>7.6667126669426687E-5</v>
      </c>
      <c r="AK308" s="67">
        <f>Integrated[[#This Row],[Flu Deaths 55 to 64 years]]/Integrated[[#This Row],[Population 55 to 64 years]]</f>
        <v>1.0529832103642595E-4</v>
      </c>
      <c r="AL308" s="67">
        <f>Integrated[[#This Row],[Flu Deaths 65 to 74 years]]/Integrated[[#This Row],[Population 65 to 74 years]]</f>
        <v>3.0415419327247794E-4</v>
      </c>
      <c r="AM308" s="67">
        <f>Integrated[[#This Row],[Flu Deaths 75 to 84 years]]/Integrated[[#This Row],[Population 75 to 84 years]]</f>
        <v>1.0005292654810152E-3</v>
      </c>
      <c r="AN308" s="67">
        <f>Integrated[[#This Row],[Flu Deaths 85+ years]]/Integrated[[#This Row],[Population 85+ years]]</f>
        <v>3.6993769470404984E-3</v>
      </c>
      <c r="AO308" s="68">
        <f>Integrated[[#This Row],[Total Flu Deaths]]/Integrated[[#This Row],[Total population]]</f>
        <v>2.2859401454038443E-4</v>
      </c>
    </row>
    <row r="309" spans="1:41" x14ac:dyDescent="0.3">
      <c r="A309" s="44" t="s">
        <v>370</v>
      </c>
      <c r="B309" t="s">
        <v>351</v>
      </c>
      <c r="C309" s="45">
        <v>2011</v>
      </c>
      <c r="D309" s="51">
        <v>5703658</v>
      </c>
      <c r="E309" s="2">
        <v>2758968</v>
      </c>
      <c r="F309" s="2">
        <v>2944690</v>
      </c>
      <c r="G309" s="78">
        <f>Integrated[[#This Row],[Female Total population]]/Integrated[[#This Row],[Total population]]</f>
        <v>0.51628095513440675</v>
      </c>
      <c r="H309" s="2">
        <v>363020</v>
      </c>
      <c r="I309" s="2">
        <v>740078</v>
      </c>
      <c r="J309" s="2">
        <v>794356</v>
      </c>
      <c r="K309" s="2">
        <v>747060</v>
      </c>
      <c r="L309" s="2">
        <v>811181</v>
      </c>
      <c r="M309" s="2">
        <v>883896</v>
      </c>
      <c r="N309" s="2">
        <v>672071</v>
      </c>
      <c r="O309" s="2">
        <v>373640</v>
      </c>
      <c r="P309" s="2">
        <v>225322</v>
      </c>
      <c r="Q309" s="52">
        <v>92688</v>
      </c>
      <c r="R309" s="127">
        <f>Integrated[[#This Row],[Population 85+ years]]/Integrated[[#This Row],[Total population]]</f>
        <v>1.6250623722530347E-2</v>
      </c>
      <c r="S309" s="58">
        <v>120</v>
      </c>
      <c r="T309" s="59">
        <v>60</v>
      </c>
      <c r="U309" s="59">
        <v>60</v>
      </c>
      <c r="V309" s="59">
        <v>60</v>
      </c>
      <c r="W309" s="59">
        <v>60</v>
      </c>
      <c r="X309" s="59">
        <v>60</v>
      </c>
      <c r="Y309" s="59">
        <v>75</v>
      </c>
      <c r="Z309" s="59">
        <v>131</v>
      </c>
      <c r="AA309" s="59">
        <v>279</v>
      </c>
      <c r="AB309" s="59">
        <v>457</v>
      </c>
      <c r="AC309" s="59">
        <f>VLOOKUP($A309,'[1]Flu Deaths Updated'!$A$2:$N$460,14,FALSE)</f>
        <v>60</v>
      </c>
      <c r="AD309" s="60">
        <f t="shared" si="4"/>
        <v>1422</v>
      </c>
      <c r="AE309" s="66">
        <f>Integrated[[#This Row],[Flu Deaths &lt;5 years old]]/Integrated[[#This Row],[Population &lt;5 years]]</f>
        <v>3.3056029970800508E-4</v>
      </c>
      <c r="AF309" s="67">
        <f>Integrated[[#This Row],[Flu Deaths 5 to 14 years]]/Integrated[[#This Row],[Population 5 to 14 years]]</f>
        <v>8.1072535597599175E-5</v>
      </c>
      <c r="AG309" s="67">
        <f>Integrated[[#This Row],[Flu Deaths 15 to 24 years]]/Integrated[[#This Row],[Population 15 to 24 years]]</f>
        <v>7.5532884500148547E-5</v>
      </c>
      <c r="AH309" s="67">
        <f>Integrated[[#This Row],[Flu Deaths 25 to 34 years]]/Integrated[[#This Row],[Population 25 to 34 years]]</f>
        <v>8.0314834149867483E-5</v>
      </c>
      <c r="AI309" s="67">
        <f>Integrated[[#This Row],[Flu Deaths 35 to 44 years]]/Integrated[[#This Row],[Population 35 to 44 years]]</f>
        <v>7.3966229485158066E-5</v>
      </c>
      <c r="AJ309" s="67">
        <f>Integrated[[#This Row],[Flu Deaths 45 to 54 years]]/Integrated[[#This Row],[Population 45 to 54 years]]</f>
        <v>6.7881289201444513E-5</v>
      </c>
      <c r="AK309" s="67">
        <f>Integrated[[#This Row],[Flu Deaths 55 to 64 years]]/Integrated[[#This Row],[Population 55 to 64 years]]</f>
        <v>1.1159535227676838E-4</v>
      </c>
      <c r="AL309" s="67">
        <f>Integrated[[#This Row],[Flu Deaths 65 to 74 years]]/Integrated[[#This Row],[Population 65 to 74 years]]</f>
        <v>3.5060486029333046E-4</v>
      </c>
      <c r="AM309" s="67">
        <f>Integrated[[#This Row],[Flu Deaths 75 to 84 years]]/Integrated[[#This Row],[Population 75 to 84 years]]</f>
        <v>1.2382279582109159E-3</v>
      </c>
      <c r="AN309" s="67">
        <f>Integrated[[#This Row],[Flu Deaths 85+ years]]/Integrated[[#This Row],[Population 85+ years]]</f>
        <v>4.9305195926117725E-3</v>
      </c>
      <c r="AO309" s="68">
        <f>Integrated[[#This Row],[Total Flu Deaths]]/Integrated[[#This Row],[Total population]]</f>
        <v>2.4931368605901686E-4</v>
      </c>
    </row>
    <row r="310" spans="1:41" x14ac:dyDescent="0.3">
      <c r="A310" s="44" t="s">
        <v>437</v>
      </c>
      <c r="B310" t="s">
        <v>391</v>
      </c>
      <c r="C310" s="45">
        <v>2011</v>
      </c>
      <c r="D310" s="51">
        <v>6122183</v>
      </c>
      <c r="E310" s="2">
        <v>3009906</v>
      </c>
      <c r="F310" s="2">
        <v>3112278</v>
      </c>
      <c r="G310" s="78">
        <f>Integrated[[#This Row],[Female Total population]]/Integrated[[#This Row],[Total population]]</f>
        <v>0.50836082488876921</v>
      </c>
      <c r="H310" s="2">
        <v>413429</v>
      </c>
      <c r="I310" s="2">
        <v>846766</v>
      </c>
      <c r="J310" s="2">
        <v>886411</v>
      </c>
      <c r="K310" s="2">
        <v>787428</v>
      </c>
      <c r="L310" s="2">
        <v>810793</v>
      </c>
      <c r="M310" s="2">
        <v>889507</v>
      </c>
      <c r="N310" s="2">
        <v>708217</v>
      </c>
      <c r="O310" s="2">
        <v>415371</v>
      </c>
      <c r="P310" s="2">
        <v>262840</v>
      </c>
      <c r="Q310" s="52">
        <v>104100</v>
      </c>
      <c r="R310" s="127">
        <f>Integrated[[#This Row],[Population 85+ years]]/Integrated[[#This Row],[Total population]]</f>
        <v>1.7003738699088219E-2</v>
      </c>
      <c r="S310" s="58">
        <v>120</v>
      </c>
      <c r="T310" s="59">
        <v>60</v>
      </c>
      <c r="U310" s="59">
        <v>60</v>
      </c>
      <c r="V310" s="59">
        <v>60</v>
      </c>
      <c r="W310" s="59">
        <v>60</v>
      </c>
      <c r="X310" s="59">
        <v>60</v>
      </c>
      <c r="Y310" s="59">
        <v>67</v>
      </c>
      <c r="Z310" s="59">
        <v>107</v>
      </c>
      <c r="AA310" s="59">
        <v>250</v>
      </c>
      <c r="AB310" s="59">
        <v>458</v>
      </c>
      <c r="AC310" s="59">
        <f>VLOOKUP($A310,'[1]Flu Deaths Updated'!$A$2:$N$460,14,FALSE)</f>
        <v>60</v>
      </c>
      <c r="AD310" s="60">
        <f t="shared" si="4"/>
        <v>1362</v>
      </c>
      <c r="AE310" s="66">
        <f>Integrated[[#This Row],[Flu Deaths &lt;5 years old]]/Integrated[[#This Row],[Population &lt;5 years]]</f>
        <v>2.9025540056454676E-4</v>
      </c>
      <c r="AF310" s="67">
        <f>Integrated[[#This Row],[Flu Deaths 5 to 14 years]]/Integrated[[#This Row],[Population 5 to 14 years]]</f>
        <v>7.085782849098807E-5</v>
      </c>
      <c r="AG310" s="67">
        <f>Integrated[[#This Row],[Flu Deaths 15 to 24 years]]/Integrated[[#This Row],[Population 15 to 24 years]]</f>
        <v>6.768869068637461E-5</v>
      </c>
      <c r="AH310" s="67">
        <f>Integrated[[#This Row],[Flu Deaths 25 to 34 years]]/Integrated[[#This Row],[Population 25 to 34 years]]</f>
        <v>7.6197442813819171E-5</v>
      </c>
      <c r="AI310" s="67">
        <f>Integrated[[#This Row],[Flu Deaths 35 to 44 years]]/Integrated[[#This Row],[Population 35 to 44 years]]</f>
        <v>7.4001625569041662E-5</v>
      </c>
      <c r="AJ310" s="67">
        <f>Integrated[[#This Row],[Flu Deaths 45 to 54 years]]/Integrated[[#This Row],[Population 45 to 54 years]]</f>
        <v>6.7453094804200534E-5</v>
      </c>
      <c r="AK310" s="67">
        <f>Integrated[[#This Row],[Flu Deaths 55 to 64 years]]/Integrated[[#This Row],[Population 55 to 64 years]]</f>
        <v>9.4603772572530732E-5</v>
      </c>
      <c r="AL310" s="67">
        <f>Integrated[[#This Row],[Flu Deaths 65 to 74 years]]/Integrated[[#This Row],[Population 65 to 74 years]]</f>
        <v>2.5760103618211187E-4</v>
      </c>
      <c r="AM310" s="67">
        <f>Integrated[[#This Row],[Flu Deaths 75 to 84 years]]/Integrated[[#This Row],[Population 75 to 84 years]]</f>
        <v>9.5114898797747682E-4</v>
      </c>
      <c r="AN310" s="67">
        <f>Integrated[[#This Row],[Flu Deaths 85+ years]]/Integrated[[#This Row],[Population 85+ years]]</f>
        <v>4.3996157540826131E-3</v>
      </c>
      <c r="AO310" s="68">
        <f>Integrated[[#This Row],[Total Flu Deaths]]/Integrated[[#This Row],[Total population]]</f>
        <v>2.2246966482380551E-4</v>
      </c>
    </row>
    <row r="311" spans="1:41" x14ac:dyDescent="0.3">
      <c r="A311" s="44" t="s">
        <v>402</v>
      </c>
      <c r="B311" t="s">
        <v>318</v>
      </c>
      <c r="C311" s="45">
        <v>2016</v>
      </c>
      <c r="D311" s="51">
        <v>5438085</v>
      </c>
      <c r="E311" s="2">
        <v>2697899</v>
      </c>
      <c r="F311" s="2">
        <v>2740188</v>
      </c>
      <c r="G311" s="78">
        <f>Integrated[[#This Row],[Female Total population]]/Integrated[[#This Row],[Total population]]</f>
        <v>0.50388840924700518</v>
      </c>
      <c r="H311" s="2">
        <v>325276</v>
      </c>
      <c r="I311" s="2">
        <v>699577</v>
      </c>
      <c r="J311" s="2">
        <v>754595</v>
      </c>
      <c r="K311" s="2">
        <v>697294</v>
      </c>
      <c r="L311" s="2">
        <v>658054</v>
      </c>
      <c r="M311" s="2">
        <v>766398</v>
      </c>
      <c r="N311" s="2">
        <v>727534</v>
      </c>
      <c r="O311" s="2">
        <v>448373</v>
      </c>
      <c r="P311" s="2">
        <v>243194</v>
      </c>
      <c r="Q311" s="52">
        <v>117526</v>
      </c>
      <c r="R311" s="127">
        <f>Integrated[[#This Row],[Population 85+ years]]/Integrated[[#This Row],[Total population]]</f>
        <v>2.1611651895842011E-2</v>
      </c>
      <c r="S311" s="58">
        <v>120</v>
      </c>
      <c r="T311" s="59">
        <v>60</v>
      </c>
      <c r="U311" s="59">
        <v>60</v>
      </c>
      <c r="V311" s="59">
        <v>60</v>
      </c>
      <c r="W311" s="59">
        <v>60</v>
      </c>
      <c r="X311" s="59">
        <v>60</v>
      </c>
      <c r="Y311" s="59">
        <v>85</v>
      </c>
      <c r="Z311" s="59">
        <v>85</v>
      </c>
      <c r="AA311" s="59">
        <v>163</v>
      </c>
      <c r="AB311" s="59">
        <v>471</v>
      </c>
      <c r="AC311" s="59">
        <f>VLOOKUP($A311,'[1]Flu Deaths Updated'!$A$2:$N$460,14,FALSE)</f>
        <v>60</v>
      </c>
      <c r="AD311" s="60">
        <f t="shared" si="4"/>
        <v>1284</v>
      </c>
      <c r="AE311" s="66">
        <f>Integrated[[#This Row],[Flu Deaths &lt;5 years old]]/Integrated[[#This Row],[Population &lt;5 years]]</f>
        <v>3.6891747316125385E-4</v>
      </c>
      <c r="AF311" s="67">
        <f>Integrated[[#This Row],[Flu Deaths 5 to 14 years]]/Integrated[[#This Row],[Population 5 to 14 years]]</f>
        <v>8.5766112951111888E-5</v>
      </c>
      <c r="AG311" s="67">
        <f>Integrated[[#This Row],[Flu Deaths 15 to 24 years]]/Integrated[[#This Row],[Population 15 to 24 years]]</f>
        <v>7.9512851264585644E-5</v>
      </c>
      <c r="AH311" s="67">
        <f>Integrated[[#This Row],[Flu Deaths 25 to 34 years]]/Integrated[[#This Row],[Population 25 to 34 years]]</f>
        <v>8.6046918516436395E-5</v>
      </c>
      <c r="AI311" s="67">
        <f>Integrated[[#This Row],[Flu Deaths 35 to 44 years]]/Integrated[[#This Row],[Population 35 to 44 years]]</f>
        <v>9.1177927647275142E-5</v>
      </c>
      <c r="AJ311" s="67">
        <f>Integrated[[#This Row],[Flu Deaths 45 to 54 years]]/Integrated[[#This Row],[Population 45 to 54 years]]</f>
        <v>7.828830451018922E-5</v>
      </c>
      <c r="AK311" s="67">
        <f>Integrated[[#This Row],[Flu Deaths 55 to 64 years]]/Integrated[[#This Row],[Population 55 to 64 years]]</f>
        <v>1.1683302773478628E-4</v>
      </c>
      <c r="AL311" s="67">
        <f>Integrated[[#This Row],[Flu Deaths 65 to 74 years]]/Integrated[[#This Row],[Population 65 to 74 years]]</f>
        <v>1.895743053216853E-4</v>
      </c>
      <c r="AM311" s="67">
        <f>Integrated[[#This Row],[Flu Deaths 75 to 84 years]]/Integrated[[#This Row],[Population 75 to 84 years]]</f>
        <v>6.7024679885194531E-4</v>
      </c>
      <c r="AN311" s="67">
        <f>Integrated[[#This Row],[Flu Deaths 85+ years]]/Integrated[[#This Row],[Population 85+ years]]</f>
        <v>4.0076238449364395E-3</v>
      </c>
      <c r="AO311" s="68">
        <f>Integrated[[#This Row],[Total Flu Deaths]]/Integrated[[#This Row],[Total population]]</f>
        <v>2.3611252858313174E-4</v>
      </c>
    </row>
    <row r="312" spans="1:41" x14ac:dyDescent="0.3">
      <c r="A312" s="44" t="s">
        <v>449</v>
      </c>
      <c r="B312" t="s">
        <v>391</v>
      </c>
      <c r="C312" s="45">
        <v>2012</v>
      </c>
      <c r="D312" s="51">
        <v>6195837</v>
      </c>
      <c r="E312" s="2">
        <v>3046882</v>
      </c>
      <c r="F312" s="2">
        <v>3148957</v>
      </c>
      <c r="G312" s="78">
        <f>Integrated[[#This Row],[Female Total population]]/Integrated[[#This Row],[Total population]]</f>
        <v>0.50823754724341519</v>
      </c>
      <c r="H312" s="2">
        <v>412450</v>
      </c>
      <c r="I312" s="2">
        <v>851594</v>
      </c>
      <c r="J312" s="2">
        <v>894979</v>
      </c>
      <c r="K312" s="2">
        <v>794633</v>
      </c>
      <c r="L312" s="2">
        <v>805428</v>
      </c>
      <c r="M312" s="2">
        <v>892985</v>
      </c>
      <c r="N312" s="2">
        <v>735212</v>
      </c>
      <c r="O312" s="2">
        <v>434870</v>
      </c>
      <c r="P312" s="2">
        <v>265295</v>
      </c>
      <c r="Q312" s="52">
        <v>107664</v>
      </c>
      <c r="R312" s="127">
        <f>Integrated[[#This Row],[Population 85+ years]]/Integrated[[#This Row],[Total population]]</f>
        <v>1.7376828990175178E-2</v>
      </c>
      <c r="S312" s="58">
        <v>120</v>
      </c>
      <c r="T312" s="59">
        <v>60</v>
      </c>
      <c r="U312" s="59">
        <v>60</v>
      </c>
      <c r="V312" s="59">
        <v>60</v>
      </c>
      <c r="W312" s="59">
        <v>60</v>
      </c>
      <c r="X312" s="59">
        <v>60</v>
      </c>
      <c r="Y312" s="59">
        <v>60</v>
      </c>
      <c r="Z312" s="59">
        <v>80</v>
      </c>
      <c r="AA312" s="59">
        <v>244</v>
      </c>
      <c r="AB312" s="59">
        <v>472</v>
      </c>
      <c r="AC312" s="59">
        <f>VLOOKUP($A312,'[1]Flu Deaths Updated'!$A$2:$N$460,14,FALSE)</f>
        <v>60</v>
      </c>
      <c r="AD312" s="60">
        <f t="shared" si="4"/>
        <v>1336</v>
      </c>
      <c r="AE312" s="66">
        <f>Integrated[[#This Row],[Flu Deaths &lt;5 years old]]/Integrated[[#This Row],[Population &lt;5 years]]</f>
        <v>2.9094435689174447E-4</v>
      </c>
      <c r="AF312" s="67">
        <f>Integrated[[#This Row],[Flu Deaths 5 to 14 years]]/Integrated[[#This Row],[Population 5 to 14 years]]</f>
        <v>7.0456109366670035E-5</v>
      </c>
      <c r="AG312" s="67">
        <f>Integrated[[#This Row],[Flu Deaths 15 to 24 years]]/Integrated[[#This Row],[Population 15 to 24 years]]</f>
        <v>6.7040679166773746E-5</v>
      </c>
      <c r="AH312" s="67">
        <f>Integrated[[#This Row],[Flu Deaths 25 to 34 years]]/Integrated[[#This Row],[Population 25 to 34 years]]</f>
        <v>7.5506554598160411E-5</v>
      </c>
      <c r="AI312" s="67">
        <f>Integrated[[#This Row],[Flu Deaths 35 to 44 years]]/Integrated[[#This Row],[Population 35 to 44 years]]</f>
        <v>7.4494554448069849E-5</v>
      </c>
      <c r="AJ312" s="67">
        <f>Integrated[[#This Row],[Flu Deaths 45 to 54 years]]/Integrated[[#This Row],[Population 45 to 54 years]]</f>
        <v>6.7190378337822021E-5</v>
      </c>
      <c r="AK312" s="67">
        <f>Integrated[[#This Row],[Flu Deaths 55 to 64 years]]/Integrated[[#This Row],[Population 55 to 64 years]]</f>
        <v>8.1609114105863346E-5</v>
      </c>
      <c r="AL312" s="67">
        <f>Integrated[[#This Row],[Flu Deaths 65 to 74 years]]/Integrated[[#This Row],[Population 65 to 74 years]]</f>
        <v>1.8396302343229011E-4</v>
      </c>
      <c r="AM312" s="67">
        <f>Integrated[[#This Row],[Flu Deaths 75 to 84 years]]/Integrated[[#This Row],[Population 75 to 84 years]]</f>
        <v>9.197308656401364E-4</v>
      </c>
      <c r="AN312" s="67">
        <f>Integrated[[#This Row],[Flu Deaths 85+ years]]/Integrated[[#This Row],[Population 85+ years]]</f>
        <v>4.3840095110714815E-3</v>
      </c>
      <c r="AO312" s="68">
        <f>Integrated[[#This Row],[Total Flu Deaths]]/Integrated[[#This Row],[Total population]]</f>
        <v>2.1562865517604803E-4</v>
      </c>
    </row>
    <row r="313" spans="1:41" x14ac:dyDescent="0.3">
      <c r="A313" s="44" t="s">
        <v>403</v>
      </c>
      <c r="B313" t="s">
        <v>391</v>
      </c>
      <c r="C313" s="45">
        <v>2015</v>
      </c>
      <c r="D313" s="51">
        <v>6076034</v>
      </c>
      <c r="E313" s="2">
        <v>2987440</v>
      </c>
      <c r="F313" s="2">
        <v>3088600</v>
      </c>
      <c r="G313" s="78">
        <f>Integrated[[#This Row],[Female Total population]]/Integrated[[#This Row],[Total population]]</f>
        <v>0.50832500278964865</v>
      </c>
      <c r="H313" s="2">
        <v>390685</v>
      </c>
      <c r="I313" s="2">
        <v>824987</v>
      </c>
      <c r="J313" s="2">
        <v>874669</v>
      </c>
      <c r="K313" s="2">
        <v>786676</v>
      </c>
      <c r="L313" s="2">
        <v>766086</v>
      </c>
      <c r="M313" s="2">
        <v>833655</v>
      </c>
      <c r="N313" s="2">
        <v>763595</v>
      </c>
      <c r="O313" s="2">
        <v>471545</v>
      </c>
      <c r="P313" s="2">
        <v>253866</v>
      </c>
      <c r="Q313" s="52">
        <v>112014</v>
      </c>
      <c r="R313" s="127">
        <f>Integrated[[#This Row],[Population 85+ years]]/Integrated[[#This Row],[Total population]]</f>
        <v>1.843538071050952E-2</v>
      </c>
      <c r="S313" s="58">
        <v>120</v>
      </c>
      <c r="T313" s="59">
        <v>60</v>
      </c>
      <c r="U313" s="59">
        <v>60</v>
      </c>
      <c r="V313" s="59">
        <v>60</v>
      </c>
      <c r="W313" s="59">
        <v>60</v>
      </c>
      <c r="X313" s="59">
        <v>60</v>
      </c>
      <c r="Y313" s="59">
        <v>68</v>
      </c>
      <c r="Z313" s="59">
        <v>132</v>
      </c>
      <c r="AA313" s="59">
        <v>273</v>
      </c>
      <c r="AB313" s="59">
        <v>480</v>
      </c>
      <c r="AC313" s="59">
        <f>VLOOKUP($A313,'[1]Flu Deaths Updated'!$A$2:$N$460,14,FALSE)</f>
        <v>60</v>
      </c>
      <c r="AD313" s="60">
        <f t="shared" si="4"/>
        <v>1433</v>
      </c>
      <c r="AE313" s="66">
        <f>Integrated[[#This Row],[Flu Deaths &lt;5 years old]]/Integrated[[#This Row],[Population &lt;5 years]]</f>
        <v>3.0715282132664422E-4</v>
      </c>
      <c r="AF313" s="67">
        <f>Integrated[[#This Row],[Flu Deaths 5 to 14 years]]/Integrated[[#This Row],[Population 5 to 14 years]]</f>
        <v>7.2728418750840927E-5</v>
      </c>
      <c r="AG313" s="67">
        <f>Integrated[[#This Row],[Flu Deaths 15 to 24 years]]/Integrated[[#This Row],[Population 15 to 24 years]]</f>
        <v>6.8597377979555689E-5</v>
      </c>
      <c r="AH313" s="67">
        <f>Integrated[[#This Row],[Flu Deaths 25 to 34 years]]/Integrated[[#This Row],[Population 25 to 34 years]]</f>
        <v>7.6270281539032593E-5</v>
      </c>
      <c r="AI313" s="67">
        <f>Integrated[[#This Row],[Flu Deaths 35 to 44 years]]/Integrated[[#This Row],[Population 35 to 44 years]]</f>
        <v>7.832018859501414E-5</v>
      </c>
      <c r="AJ313" s="67">
        <f>Integrated[[#This Row],[Flu Deaths 45 to 54 years]]/Integrated[[#This Row],[Population 45 to 54 years]]</f>
        <v>7.1972218723572695E-5</v>
      </c>
      <c r="AK313" s="67">
        <f>Integrated[[#This Row],[Flu Deaths 55 to 64 years]]/Integrated[[#This Row],[Population 55 to 64 years]]</f>
        <v>8.9052442721599805E-5</v>
      </c>
      <c r="AL313" s="67">
        <f>Integrated[[#This Row],[Flu Deaths 65 to 74 years]]/Integrated[[#This Row],[Population 65 to 74 years]]</f>
        <v>2.7993086555896045E-4</v>
      </c>
      <c r="AM313" s="67">
        <f>Integrated[[#This Row],[Flu Deaths 75 to 84 years]]/Integrated[[#This Row],[Population 75 to 84 years]]</f>
        <v>1.0753704710359008E-3</v>
      </c>
      <c r="AN313" s="67">
        <f>Integrated[[#This Row],[Flu Deaths 85+ years]]/Integrated[[#This Row],[Population 85+ years]]</f>
        <v>4.2851786383844874E-3</v>
      </c>
      <c r="AO313" s="68">
        <f>Integrated[[#This Row],[Total Flu Deaths]]/Integrated[[#This Row],[Total population]]</f>
        <v>2.358446315474864E-4</v>
      </c>
    </row>
    <row r="314" spans="1:41" x14ac:dyDescent="0.3">
      <c r="A314" s="44" t="s">
        <v>462</v>
      </c>
      <c r="B314" t="s">
        <v>463</v>
      </c>
      <c r="C314" s="45">
        <v>2017</v>
      </c>
      <c r="D314" s="51">
        <v>6976375</v>
      </c>
      <c r="E314" s="2">
        <v>3483716</v>
      </c>
      <c r="F314" s="2">
        <v>3492660</v>
      </c>
      <c r="G314" s="78">
        <f>Integrated[[#This Row],[Female Total population]]/Integrated[[#This Row],[Total population]]</f>
        <v>0.50064109225779863</v>
      </c>
      <c r="H314" s="2">
        <v>434880</v>
      </c>
      <c r="I314" s="2">
        <v>870897</v>
      </c>
      <c r="J314" s="2">
        <v>902597</v>
      </c>
      <c r="K314" s="2">
        <v>1028849</v>
      </c>
      <c r="L314" s="2">
        <v>916520</v>
      </c>
      <c r="M314" s="2">
        <v>926822</v>
      </c>
      <c r="N314" s="2">
        <v>901228</v>
      </c>
      <c r="O314" s="2">
        <v>598123</v>
      </c>
      <c r="P314" s="2">
        <v>272922</v>
      </c>
      <c r="Q314" s="52">
        <v>123557</v>
      </c>
      <c r="R314" s="127">
        <f>Integrated[[#This Row],[Population 85+ years]]/Integrated[[#This Row],[Total population]]</f>
        <v>1.7710773861783519E-2</v>
      </c>
      <c r="S314" s="58">
        <v>120</v>
      </c>
      <c r="T314" s="59">
        <v>60</v>
      </c>
      <c r="U314" s="59">
        <v>60</v>
      </c>
      <c r="V314" s="59">
        <v>60</v>
      </c>
      <c r="W314" s="59">
        <v>65</v>
      </c>
      <c r="X314" s="59">
        <v>60</v>
      </c>
      <c r="Y314" s="59">
        <v>87</v>
      </c>
      <c r="Z314" s="59">
        <v>145</v>
      </c>
      <c r="AA314" s="59">
        <v>239</v>
      </c>
      <c r="AB314" s="59">
        <v>488</v>
      </c>
      <c r="AC314" s="59">
        <f>VLOOKUP($A314,'[1]Flu Deaths Updated'!$A$2:$N$460,14,FALSE)</f>
        <v>60</v>
      </c>
      <c r="AD314" s="60">
        <f t="shared" si="4"/>
        <v>1444</v>
      </c>
      <c r="AE314" s="66">
        <f>Integrated[[#This Row],[Flu Deaths &lt;5 years old]]/Integrated[[#This Row],[Population &lt;5 years]]</f>
        <v>2.7593818984547461E-4</v>
      </c>
      <c r="AF314" s="67">
        <f>Integrated[[#This Row],[Flu Deaths 5 to 14 years]]/Integrated[[#This Row],[Population 5 to 14 years]]</f>
        <v>6.8894484652031176E-5</v>
      </c>
      <c r="AG314" s="67">
        <f>Integrated[[#This Row],[Flu Deaths 15 to 24 years]]/Integrated[[#This Row],[Population 15 to 24 years]]</f>
        <v>6.6474849794537325E-5</v>
      </c>
      <c r="AH314" s="67">
        <f>Integrated[[#This Row],[Flu Deaths 25 to 34 years]]/Integrated[[#This Row],[Population 25 to 34 years]]</f>
        <v>5.8317595682165213E-5</v>
      </c>
      <c r="AI314" s="67">
        <f>Integrated[[#This Row],[Flu Deaths 35 to 44 years]]/Integrated[[#This Row],[Population 35 to 44 years]]</f>
        <v>6.5465019857722696E-5</v>
      </c>
      <c r="AJ314" s="67">
        <f>Integrated[[#This Row],[Flu Deaths 45 to 54 years]]/Integrated[[#This Row],[Population 45 to 54 years]]</f>
        <v>7.0132128930905827E-5</v>
      </c>
      <c r="AK314" s="67">
        <f>Integrated[[#This Row],[Flu Deaths 55 to 64 years]]/Integrated[[#This Row],[Population 55 to 64 years]]</f>
        <v>9.6534950090321203E-5</v>
      </c>
      <c r="AL314" s="67">
        <f>Integrated[[#This Row],[Flu Deaths 65 to 74 years]]/Integrated[[#This Row],[Population 65 to 74 years]]</f>
        <v>2.4242505304092972E-4</v>
      </c>
      <c r="AM314" s="67">
        <f>Integrated[[#This Row],[Flu Deaths 75 to 84 years]]/Integrated[[#This Row],[Population 75 to 84 years]]</f>
        <v>8.7570807776580855E-4</v>
      </c>
      <c r="AN314" s="67">
        <f>Integrated[[#This Row],[Flu Deaths 85+ years]]/Integrated[[#This Row],[Population 85+ years]]</f>
        <v>3.9495941144572951E-3</v>
      </c>
      <c r="AO314" s="68">
        <f>Integrated[[#This Row],[Total Flu Deaths]]/Integrated[[#This Row],[Total population]]</f>
        <v>2.0698428625181415E-4</v>
      </c>
    </row>
    <row r="315" spans="1:41" x14ac:dyDescent="0.3">
      <c r="A315" s="44" t="s">
        <v>343</v>
      </c>
      <c r="B315" t="s">
        <v>286</v>
      </c>
      <c r="C315" s="45">
        <v>2016</v>
      </c>
      <c r="D315" s="51">
        <v>5777577</v>
      </c>
      <c r="E315" s="2">
        <v>2831647</v>
      </c>
      <c r="F315" s="2">
        <v>2945934</v>
      </c>
      <c r="G315" s="78">
        <f>Integrated[[#This Row],[Female Total population]]/Integrated[[#This Row],[Total population]]</f>
        <v>0.50989091101685013</v>
      </c>
      <c r="H315" s="2">
        <v>355861</v>
      </c>
      <c r="I315" s="2">
        <v>744248</v>
      </c>
      <c r="J315" s="2">
        <v>789561</v>
      </c>
      <c r="K315" s="2">
        <v>767556</v>
      </c>
      <c r="L315" s="2">
        <v>702150</v>
      </c>
      <c r="M315" s="2">
        <v>783836</v>
      </c>
      <c r="N315" s="2">
        <v>756642</v>
      </c>
      <c r="O315" s="2">
        <v>496635</v>
      </c>
      <c r="P315" s="2">
        <v>267280</v>
      </c>
      <c r="Q315" s="52">
        <v>114616</v>
      </c>
      <c r="R315" s="127">
        <f>Integrated[[#This Row],[Population 85+ years]]/Integrated[[#This Row],[Total population]]</f>
        <v>1.9838073988455714E-2</v>
      </c>
      <c r="S315" s="58">
        <v>120</v>
      </c>
      <c r="T315" s="59">
        <v>60</v>
      </c>
      <c r="U315" s="59">
        <v>60</v>
      </c>
      <c r="V315" s="59">
        <v>60</v>
      </c>
      <c r="W315" s="59">
        <v>67</v>
      </c>
      <c r="X315" s="59">
        <v>60</v>
      </c>
      <c r="Y315" s="59">
        <v>99</v>
      </c>
      <c r="Z315" s="59">
        <v>172</v>
      </c>
      <c r="AA315" s="59">
        <v>292</v>
      </c>
      <c r="AB315" s="59">
        <v>492</v>
      </c>
      <c r="AC315" s="59">
        <f>VLOOKUP($A315,'[1]Flu Deaths Updated'!$A$2:$N$460,14,FALSE)</f>
        <v>60</v>
      </c>
      <c r="AD315" s="60">
        <f t="shared" si="4"/>
        <v>1542</v>
      </c>
      <c r="AE315" s="66">
        <f>Integrated[[#This Row],[Flu Deaths &lt;5 years old]]/Integrated[[#This Row],[Population &lt;5 years]]</f>
        <v>3.372103152635439E-4</v>
      </c>
      <c r="AF315" s="67">
        <f>Integrated[[#This Row],[Flu Deaths 5 to 14 years]]/Integrated[[#This Row],[Population 5 to 14 years]]</f>
        <v>8.0618288527480085E-5</v>
      </c>
      <c r="AG315" s="67">
        <f>Integrated[[#This Row],[Flu Deaths 15 to 24 years]]/Integrated[[#This Row],[Population 15 to 24 years]]</f>
        <v>7.5991595329556551E-5</v>
      </c>
      <c r="AH315" s="67">
        <f>Integrated[[#This Row],[Flu Deaths 25 to 34 years]]/Integrated[[#This Row],[Population 25 to 34 years]]</f>
        <v>7.8170192142332283E-5</v>
      </c>
      <c r="AI315" s="67">
        <f>Integrated[[#This Row],[Flu Deaths 35 to 44 years]]/Integrated[[#This Row],[Population 35 to 44 years]]</f>
        <v>8.5451826532792138E-5</v>
      </c>
      <c r="AJ315" s="67">
        <f>Integrated[[#This Row],[Flu Deaths 45 to 54 years]]/Integrated[[#This Row],[Population 45 to 54 years]]</f>
        <v>8.5477064079730964E-5</v>
      </c>
      <c r="AK315" s="67">
        <f>Integrated[[#This Row],[Flu Deaths 55 to 64 years]]/Integrated[[#This Row],[Population 55 to 64 years]]</f>
        <v>1.3084126971540041E-4</v>
      </c>
      <c r="AL315" s="67">
        <f>Integrated[[#This Row],[Flu Deaths 65 to 74 years]]/Integrated[[#This Row],[Population 65 to 74 years]]</f>
        <v>3.4633080632657788E-4</v>
      </c>
      <c r="AM315" s="67">
        <f>Integrated[[#This Row],[Flu Deaths 75 to 84 years]]/Integrated[[#This Row],[Population 75 to 84 years]]</f>
        <v>1.0924872792577073E-3</v>
      </c>
      <c r="AN315" s="67">
        <f>Integrated[[#This Row],[Flu Deaths 85+ years]]/Integrated[[#This Row],[Population 85+ years]]</f>
        <v>4.2925944021777063E-3</v>
      </c>
      <c r="AO315" s="68">
        <f>Integrated[[#This Row],[Total Flu Deaths]]/Integrated[[#This Row],[Total population]]</f>
        <v>2.6689388994729108E-4</v>
      </c>
    </row>
    <row r="316" spans="1:41" x14ac:dyDescent="0.3">
      <c r="A316" s="44" t="s">
        <v>476</v>
      </c>
      <c r="B316" t="s">
        <v>382</v>
      </c>
      <c r="C316" s="45">
        <v>2016</v>
      </c>
      <c r="D316" s="51">
        <v>7858495</v>
      </c>
      <c r="E316" s="2">
        <v>3866250</v>
      </c>
      <c r="F316" s="2">
        <v>3992249</v>
      </c>
      <c r="G316" s="78">
        <f>Integrated[[#This Row],[Female Total population]]/Integrated[[#This Row],[Total population]]</f>
        <v>0.50801699307564618</v>
      </c>
      <c r="H316" s="2">
        <v>487617</v>
      </c>
      <c r="I316" s="2">
        <v>990712</v>
      </c>
      <c r="J316" s="2">
        <v>1085040</v>
      </c>
      <c r="K316" s="2">
        <v>1107527</v>
      </c>
      <c r="L316" s="2">
        <v>1042474</v>
      </c>
      <c r="M316" s="2">
        <v>1113897</v>
      </c>
      <c r="N316" s="2">
        <v>976813</v>
      </c>
      <c r="O316" s="2">
        <v>623883</v>
      </c>
      <c r="P316" s="2">
        <v>302120</v>
      </c>
      <c r="Q316" s="52">
        <v>125813</v>
      </c>
      <c r="R316" s="127">
        <f>Integrated[[#This Row],[Population 85+ years]]/Integrated[[#This Row],[Total population]]</f>
        <v>1.6009808493865556E-2</v>
      </c>
      <c r="S316" s="58">
        <v>120</v>
      </c>
      <c r="T316" s="59">
        <v>60</v>
      </c>
      <c r="U316" s="59">
        <v>60</v>
      </c>
      <c r="V316" s="59">
        <v>60</v>
      </c>
      <c r="W316" s="59">
        <v>60</v>
      </c>
      <c r="X316" s="59">
        <v>60</v>
      </c>
      <c r="Y316" s="59">
        <v>110</v>
      </c>
      <c r="Z316" s="59">
        <v>193</v>
      </c>
      <c r="AA316" s="59">
        <v>295</v>
      </c>
      <c r="AB316" s="59">
        <v>494</v>
      </c>
      <c r="AC316" s="59">
        <f>VLOOKUP($A316,'[1]Flu Deaths Updated'!$A$2:$N$460,14,FALSE)</f>
        <v>60</v>
      </c>
      <c r="AD316" s="60">
        <f t="shared" si="4"/>
        <v>1572</v>
      </c>
      <c r="AE316" s="66">
        <f>Integrated[[#This Row],[Flu Deaths &lt;5 years old]]/Integrated[[#This Row],[Population &lt;5 years]]</f>
        <v>2.4609478340582874E-4</v>
      </c>
      <c r="AF316" s="67">
        <f>Integrated[[#This Row],[Flu Deaths 5 to 14 years]]/Integrated[[#This Row],[Population 5 to 14 years]]</f>
        <v>6.0562504542187842E-5</v>
      </c>
      <c r="AG316" s="67">
        <f>Integrated[[#This Row],[Flu Deaths 15 to 24 years]]/Integrated[[#This Row],[Population 15 to 24 years]]</f>
        <v>5.5297500552975008E-5</v>
      </c>
      <c r="AH316" s="67">
        <f>Integrated[[#This Row],[Flu Deaths 25 to 34 years]]/Integrated[[#This Row],[Population 25 to 34 years]]</f>
        <v>5.4174751495900326E-5</v>
      </c>
      <c r="AI316" s="67">
        <f>Integrated[[#This Row],[Flu Deaths 35 to 44 years]]/Integrated[[#This Row],[Population 35 to 44 years]]</f>
        <v>5.7555392268776008E-5</v>
      </c>
      <c r="AJ316" s="67">
        <f>Integrated[[#This Row],[Flu Deaths 45 to 54 years]]/Integrated[[#This Row],[Population 45 to 54 years]]</f>
        <v>5.3864944424843592E-5</v>
      </c>
      <c r="AK316" s="67">
        <f>Integrated[[#This Row],[Flu Deaths 55 to 64 years]]/Integrated[[#This Row],[Population 55 to 64 years]]</f>
        <v>1.126111138979518E-4</v>
      </c>
      <c r="AL316" s="67">
        <f>Integrated[[#This Row],[Flu Deaths 65 to 74 years]]/Integrated[[#This Row],[Population 65 to 74 years]]</f>
        <v>3.0935287545902037E-4</v>
      </c>
      <c r="AM316" s="67">
        <f>Integrated[[#This Row],[Flu Deaths 75 to 84 years]]/Integrated[[#This Row],[Population 75 to 84 years]]</f>
        <v>9.7643320534886798E-4</v>
      </c>
      <c r="AN316" s="67">
        <f>Integrated[[#This Row],[Flu Deaths 85+ years]]/Integrated[[#This Row],[Population 85+ years]]</f>
        <v>3.9264622892705844E-3</v>
      </c>
      <c r="AO316" s="68">
        <f>Integrated[[#This Row],[Total Flu Deaths]]/Integrated[[#This Row],[Total population]]</f>
        <v>2.0003830249939715E-4</v>
      </c>
    </row>
    <row r="317" spans="1:41" x14ac:dyDescent="0.3">
      <c r="A317" s="44" t="s">
        <v>493</v>
      </c>
      <c r="B317" t="s">
        <v>483</v>
      </c>
      <c r="C317" s="45">
        <v>2015</v>
      </c>
      <c r="D317" s="51">
        <v>9630032</v>
      </c>
      <c r="E317" s="2">
        <v>4695465</v>
      </c>
      <c r="F317" s="2">
        <v>4934577</v>
      </c>
      <c r="G317" s="78">
        <f>Integrated[[#This Row],[Female Total population]]/Integrated[[#This Row],[Total population]]</f>
        <v>0.51241543122598143</v>
      </c>
      <c r="H317" s="2">
        <v>640759</v>
      </c>
      <c r="I317" s="2">
        <v>1360562</v>
      </c>
      <c r="J317" s="2">
        <v>1372971</v>
      </c>
      <c r="K317" s="2">
        <v>1314955</v>
      </c>
      <c r="L317" s="2">
        <v>1333211</v>
      </c>
      <c r="M317" s="2">
        <v>1350470</v>
      </c>
      <c r="N317" s="2">
        <v>1119408</v>
      </c>
      <c r="O317" s="2">
        <v>691375</v>
      </c>
      <c r="P317" s="2">
        <v>329725</v>
      </c>
      <c r="Q317" s="52">
        <v>118824</v>
      </c>
      <c r="R317" s="127">
        <f>Integrated[[#This Row],[Population 85+ years]]/Integrated[[#This Row],[Total population]]</f>
        <v>1.233889980843262E-2</v>
      </c>
      <c r="S317" s="58">
        <v>120</v>
      </c>
      <c r="T317" s="59">
        <v>60</v>
      </c>
      <c r="U317" s="59">
        <v>60</v>
      </c>
      <c r="V317" s="59">
        <v>60</v>
      </c>
      <c r="W317" s="59">
        <v>66</v>
      </c>
      <c r="X317" s="59">
        <v>60</v>
      </c>
      <c r="Y317" s="59">
        <v>167</v>
      </c>
      <c r="Z317" s="59">
        <v>241</v>
      </c>
      <c r="AA317" s="59">
        <v>419</v>
      </c>
      <c r="AB317" s="59">
        <v>499</v>
      </c>
      <c r="AC317" s="59">
        <f>VLOOKUP($A317,'[1]Flu Deaths Updated'!$A$2:$N$460,14,FALSE)</f>
        <v>60</v>
      </c>
      <c r="AD317" s="60">
        <f t="shared" si="4"/>
        <v>1812</v>
      </c>
      <c r="AE317" s="66">
        <f>Integrated[[#This Row],[Flu Deaths &lt;5 years old]]/Integrated[[#This Row],[Population &lt;5 years]]</f>
        <v>1.8727790011533198E-4</v>
      </c>
      <c r="AF317" s="67">
        <f>Integrated[[#This Row],[Flu Deaths 5 to 14 years]]/Integrated[[#This Row],[Population 5 to 14 years]]</f>
        <v>4.4099423620533277E-5</v>
      </c>
      <c r="AG317" s="67">
        <f>Integrated[[#This Row],[Flu Deaths 15 to 24 years]]/Integrated[[#This Row],[Population 15 to 24 years]]</f>
        <v>4.3700850200040644E-5</v>
      </c>
      <c r="AH317" s="67">
        <f>Integrated[[#This Row],[Flu Deaths 25 to 34 years]]/Integrated[[#This Row],[Population 25 to 34 years]]</f>
        <v>4.5628937872398678E-5</v>
      </c>
      <c r="AI317" s="67">
        <f>Integrated[[#This Row],[Flu Deaths 35 to 44 years]]/Integrated[[#This Row],[Population 35 to 44 years]]</f>
        <v>4.5004129128847573E-5</v>
      </c>
      <c r="AJ317" s="67">
        <f>Integrated[[#This Row],[Flu Deaths 45 to 54 years]]/Integrated[[#This Row],[Population 45 to 54 years]]</f>
        <v>4.8871874236376962E-5</v>
      </c>
      <c r="AK317" s="67">
        <f>Integrated[[#This Row],[Flu Deaths 55 to 64 years]]/Integrated[[#This Row],[Population 55 to 64 years]]</f>
        <v>1.4918599831339422E-4</v>
      </c>
      <c r="AL317" s="67">
        <f>Integrated[[#This Row],[Flu Deaths 65 to 74 years]]/Integrated[[#This Row],[Population 65 to 74 years]]</f>
        <v>3.485807268125113E-4</v>
      </c>
      <c r="AM317" s="67">
        <f>Integrated[[#This Row],[Flu Deaths 75 to 84 years]]/Integrated[[#This Row],[Population 75 to 84 years]]</f>
        <v>1.2707559329744485E-3</v>
      </c>
      <c r="AN317" s="67">
        <f>Integrated[[#This Row],[Flu Deaths 85+ years]]/Integrated[[#This Row],[Population 85+ years]]</f>
        <v>4.1994883188581434E-3</v>
      </c>
      <c r="AO317" s="68">
        <f>Integrated[[#This Row],[Total Flu Deaths]]/Integrated[[#This Row],[Total population]]</f>
        <v>1.8816136851881697E-4</v>
      </c>
    </row>
    <row r="318" spans="1:41" x14ac:dyDescent="0.3">
      <c r="A318" s="44" t="s">
        <v>393</v>
      </c>
      <c r="B318" t="s">
        <v>318</v>
      </c>
      <c r="C318" s="45">
        <v>2010</v>
      </c>
      <c r="D318" s="51">
        <v>5527204</v>
      </c>
      <c r="E318" s="2">
        <v>2740186</v>
      </c>
      <c r="F318" s="2">
        <v>2787018</v>
      </c>
      <c r="G318" s="78">
        <f>Integrated[[#This Row],[Female Total population]]/Integrated[[#This Row],[Total population]]</f>
        <v>0.50423650004595455</v>
      </c>
      <c r="H318" s="2">
        <v>348350</v>
      </c>
      <c r="I318" s="2">
        <v>731727</v>
      </c>
      <c r="J318" s="2">
        <v>784261</v>
      </c>
      <c r="K318" s="2">
        <v>689283</v>
      </c>
      <c r="L318" s="2">
        <v>749596</v>
      </c>
      <c r="M318" s="2">
        <v>851110</v>
      </c>
      <c r="N318" s="2">
        <v>638574</v>
      </c>
      <c r="O318" s="2">
        <v>369656</v>
      </c>
      <c r="P318" s="2">
        <v>256612</v>
      </c>
      <c r="Q318" s="52">
        <v>109284</v>
      </c>
      <c r="R318" s="127">
        <f>Integrated[[#This Row],[Population 85+ years]]/Integrated[[#This Row],[Total population]]</f>
        <v>1.9772022165275609E-2</v>
      </c>
      <c r="S318" s="58">
        <v>120</v>
      </c>
      <c r="T318" s="59">
        <v>60</v>
      </c>
      <c r="U318" s="59">
        <v>60</v>
      </c>
      <c r="V318" s="59">
        <v>60</v>
      </c>
      <c r="W318" s="59">
        <v>60</v>
      </c>
      <c r="X318" s="59">
        <v>60</v>
      </c>
      <c r="Y318" s="59">
        <v>60</v>
      </c>
      <c r="Z318" s="59">
        <v>60</v>
      </c>
      <c r="AA318" s="59">
        <v>225</v>
      </c>
      <c r="AB318" s="59">
        <v>501</v>
      </c>
      <c r="AC318" s="59">
        <f>VLOOKUP($A318,'[1]Flu Deaths Updated'!$A$2:$N$460,14,FALSE)</f>
        <v>60</v>
      </c>
      <c r="AD318" s="60">
        <f t="shared" si="4"/>
        <v>1326</v>
      </c>
      <c r="AE318" s="66">
        <f>Integrated[[#This Row],[Flu Deaths &lt;5 years old]]/Integrated[[#This Row],[Population &lt;5 years]]</f>
        <v>3.4448112530500931E-4</v>
      </c>
      <c r="AF318" s="67">
        <f>Integrated[[#This Row],[Flu Deaths 5 to 14 years]]/Integrated[[#This Row],[Population 5 to 14 years]]</f>
        <v>8.1997794259334431E-5</v>
      </c>
      <c r="AG318" s="67">
        <f>Integrated[[#This Row],[Flu Deaths 15 to 24 years]]/Integrated[[#This Row],[Population 15 to 24 years]]</f>
        <v>7.6505143058242092E-5</v>
      </c>
      <c r="AH318" s="67">
        <f>Integrated[[#This Row],[Flu Deaths 25 to 34 years]]/Integrated[[#This Row],[Population 25 to 34 years]]</f>
        <v>8.7046974900004793E-5</v>
      </c>
      <c r="AI318" s="67">
        <f>Integrated[[#This Row],[Flu Deaths 35 to 44 years]]/Integrated[[#This Row],[Population 35 to 44 years]]</f>
        <v>8.0043116558786337E-5</v>
      </c>
      <c r="AJ318" s="67">
        <f>Integrated[[#This Row],[Flu Deaths 45 to 54 years]]/Integrated[[#This Row],[Population 45 to 54 years]]</f>
        <v>7.049617558247465E-5</v>
      </c>
      <c r="AK318" s="67">
        <f>Integrated[[#This Row],[Flu Deaths 55 to 64 years]]/Integrated[[#This Row],[Population 55 to 64 years]]</f>
        <v>9.395935318381268E-5</v>
      </c>
      <c r="AL318" s="67">
        <f>Integrated[[#This Row],[Flu Deaths 65 to 74 years]]/Integrated[[#This Row],[Population 65 to 74 years]]</f>
        <v>1.6231306944835199E-4</v>
      </c>
      <c r="AM318" s="67">
        <f>Integrated[[#This Row],[Flu Deaths 75 to 84 years]]/Integrated[[#This Row],[Population 75 to 84 years]]</f>
        <v>8.7681012579302606E-4</v>
      </c>
      <c r="AN318" s="67">
        <f>Integrated[[#This Row],[Flu Deaths 85+ years]]/Integrated[[#This Row],[Population 85+ years]]</f>
        <v>4.5843856374217637E-3</v>
      </c>
      <c r="AO318" s="68">
        <f>Integrated[[#This Row],[Total Flu Deaths]]/Integrated[[#This Row],[Total population]]</f>
        <v>2.3990429881003126E-4</v>
      </c>
    </row>
    <row r="319" spans="1:41" x14ac:dyDescent="0.3">
      <c r="A319" s="44" t="s">
        <v>468</v>
      </c>
      <c r="B319" t="s">
        <v>382</v>
      </c>
      <c r="C319" s="45">
        <v>2017</v>
      </c>
      <c r="D319" s="51">
        <v>7945624</v>
      </c>
      <c r="E319" s="2">
        <v>3904752</v>
      </c>
      <c r="F319" s="2">
        <v>4040874</v>
      </c>
      <c r="G319" s="78">
        <f>Integrated[[#This Row],[Female Total population]]/Integrated[[#This Row],[Total population]]</f>
        <v>0.50856597291792316</v>
      </c>
      <c r="H319" s="2">
        <v>489299</v>
      </c>
      <c r="I319" s="2">
        <v>994868</v>
      </c>
      <c r="J319" s="2">
        <v>1083672</v>
      </c>
      <c r="K319" s="2">
        <v>1116648</v>
      </c>
      <c r="L319" s="2">
        <v>1046917</v>
      </c>
      <c r="M319" s="2">
        <v>1110776</v>
      </c>
      <c r="N319" s="2">
        <v>999477</v>
      </c>
      <c r="O319" s="2">
        <v>656685</v>
      </c>
      <c r="P319" s="2">
        <v>315842</v>
      </c>
      <c r="Q319" s="52">
        <v>131483</v>
      </c>
      <c r="R319" s="127">
        <f>Integrated[[#This Row],[Population 85+ years]]/Integrated[[#This Row],[Total population]]</f>
        <v>1.6547850741489907E-2</v>
      </c>
      <c r="S319" s="58">
        <v>120</v>
      </c>
      <c r="T319" s="59">
        <v>60</v>
      </c>
      <c r="U319" s="59">
        <v>60</v>
      </c>
      <c r="V319" s="59">
        <v>60</v>
      </c>
      <c r="W319" s="59">
        <v>68</v>
      </c>
      <c r="X319" s="59">
        <v>60</v>
      </c>
      <c r="Y319" s="59">
        <v>107</v>
      </c>
      <c r="Z319" s="59">
        <v>211</v>
      </c>
      <c r="AA319" s="59">
        <v>315</v>
      </c>
      <c r="AB319" s="59">
        <v>511</v>
      </c>
      <c r="AC319" s="59">
        <f>VLOOKUP($A319,'[1]Flu Deaths Updated'!$A$2:$N$460,14,FALSE)</f>
        <v>60</v>
      </c>
      <c r="AD319" s="60">
        <f t="shared" si="4"/>
        <v>1632</v>
      </c>
      <c r="AE319" s="66">
        <f>Integrated[[#This Row],[Flu Deaths &lt;5 years old]]/Integrated[[#This Row],[Population &lt;5 years]]</f>
        <v>2.4524881514166185E-4</v>
      </c>
      <c r="AF319" s="67">
        <f>Integrated[[#This Row],[Flu Deaths 5 to 14 years]]/Integrated[[#This Row],[Population 5 to 14 years]]</f>
        <v>6.0309508397093888E-5</v>
      </c>
      <c r="AG319" s="67">
        <f>Integrated[[#This Row],[Flu Deaths 15 to 24 years]]/Integrated[[#This Row],[Population 15 to 24 years]]</f>
        <v>5.5367306712732266E-5</v>
      </c>
      <c r="AH319" s="67">
        <f>Integrated[[#This Row],[Flu Deaths 25 to 34 years]]/Integrated[[#This Row],[Population 25 to 34 years]]</f>
        <v>5.3732241494186173E-5</v>
      </c>
      <c r="AI319" s="67">
        <f>Integrated[[#This Row],[Flu Deaths 35 to 44 years]]/Integrated[[#This Row],[Population 35 to 44 years]]</f>
        <v>5.7311133547358577E-5</v>
      </c>
      <c r="AJ319" s="67">
        <f>Integrated[[#This Row],[Flu Deaths 45 to 54 years]]/Integrated[[#This Row],[Population 45 to 54 years]]</f>
        <v>6.1218463488588163E-5</v>
      </c>
      <c r="AK319" s="67">
        <f>Integrated[[#This Row],[Flu Deaths 55 to 64 years]]/Integrated[[#This Row],[Population 55 to 64 years]]</f>
        <v>1.0705599028291796E-4</v>
      </c>
      <c r="AL319" s="67">
        <f>Integrated[[#This Row],[Flu Deaths 65 to 74 years]]/Integrated[[#This Row],[Population 65 to 74 years]]</f>
        <v>3.2131082634748778E-4</v>
      </c>
      <c r="AM319" s="67">
        <f>Integrated[[#This Row],[Flu Deaths 75 to 84 years]]/Integrated[[#This Row],[Population 75 to 84 years]]</f>
        <v>9.9733411009302118E-4</v>
      </c>
      <c r="AN319" s="67">
        <f>Integrated[[#This Row],[Flu Deaths 85+ years]]/Integrated[[#This Row],[Population 85+ years]]</f>
        <v>3.8864339876638044E-3</v>
      </c>
      <c r="AO319" s="68">
        <f>Integrated[[#This Row],[Total Flu Deaths]]/Integrated[[#This Row],[Total population]]</f>
        <v>2.0539607713629539E-4</v>
      </c>
    </row>
    <row r="320" spans="1:41" x14ac:dyDescent="0.3">
      <c r="A320" s="44" t="s">
        <v>363</v>
      </c>
      <c r="B320" t="s">
        <v>351</v>
      </c>
      <c r="C320" s="45">
        <v>2013</v>
      </c>
      <c r="D320" s="51">
        <v>5801682</v>
      </c>
      <c r="E320" s="2">
        <v>2808879</v>
      </c>
      <c r="F320" s="2">
        <v>2992803</v>
      </c>
      <c r="G320" s="78">
        <f>Integrated[[#This Row],[Female Total population]]/Integrated[[#This Row],[Total population]]</f>
        <v>0.5158509204744417</v>
      </c>
      <c r="H320" s="2">
        <v>364833</v>
      </c>
      <c r="I320" s="2">
        <v>741757</v>
      </c>
      <c r="J320" s="2">
        <v>796395</v>
      </c>
      <c r="K320" s="2">
        <v>780168</v>
      </c>
      <c r="L320" s="2">
        <v>781592</v>
      </c>
      <c r="M320" s="2">
        <v>891749</v>
      </c>
      <c r="N320" s="2">
        <v>714217</v>
      </c>
      <c r="O320" s="2">
        <v>408935</v>
      </c>
      <c r="P320" s="2">
        <v>224565</v>
      </c>
      <c r="Q320" s="52">
        <v>100635</v>
      </c>
      <c r="R320" s="127">
        <f>Integrated[[#This Row],[Population 85+ years]]/Integrated[[#This Row],[Total population]]</f>
        <v>1.7345831777749971E-2</v>
      </c>
      <c r="S320" s="58">
        <v>120</v>
      </c>
      <c r="T320" s="59">
        <v>60</v>
      </c>
      <c r="U320" s="59">
        <v>60</v>
      </c>
      <c r="V320" s="59">
        <v>60</v>
      </c>
      <c r="W320" s="59">
        <v>60</v>
      </c>
      <c r="X320" s="59">
        <v>60</v>
      </c>
      <c r="Y320" s="59">
        <v>83</v>
      </c>
      <c r="Z320" s="59">
        <v>132</v>
      </c>
      <c r="AA320" s="59">
        <v>275</v>
      </c>
      <c r="AB320" s="59">
        <v>513</v>
      </c>
      <c r="AC320" s="59">
        <f>VLOOKUP($A320,'[1]Flu Deaths Updated'!$A$2:$N$460,14,FALSE)</f>
        <v>60</v>
      </c>
      <c r="AD320" s="60">
        <f t="shared" si="4"/>
        <v>1483</v>
      </c>
      <c r="AE320" s="66">
        <f>Integrated[[#This Row],[Flu Deaths &lt;5 years old]]/Integrated[[#This Row],[Population &lt;5 years]]</f>
        <v>3.2891761436054304E-4</v>
      </c>
      <c r="AF320" s="67">
        <f>Integrated[[#This Row],[Flu Deaths 5 to 14 years]]/Integrated[[#This Row],[Population 5 to 14 years]]</f>
        <v>8.0889024303107355E-5</v>
      </c>
      <c r="AG320" s="67">
        <f>Integrated[[#This Row],[Flu Deaths 15 to 24 years]]/Integrated[[#This Row],[Population 15 to 24 years]]</f>
        <v>7.5339498615636713E-5</v>
      </c>
      <c r="AH320" s="67">
        <f>Integrated[[#This Row],[Flu Deaths 25 to 34 years]]/Integrated[[#This Row],[Population 25 to 34 years]]</f>
        <v>7.6906512443473707E-5</v>
      </c>
      <c r="AI320" s="67">
        <f>Integrated[[#This Row],[Flu Deaths 35 to 44 years]]/Integrated[[#This Row],[Population 35 to 44 years]]</f>
        <v>7.6766394743037292E-5</v>
      </c>
      <c r="AJ320" s="67">
        <f>Integrated[[#This Row],[Flu Deaths 45 to 54 years]]/Integrated[[#This Row],[Population 45 to 54 years]]</f>
        <v>6.7283506906091293E-5</v>
      </c>
      <c r="AK320" s="67">
        <f>Integrated[[#This Row],[Flu Deaths 55 to 64 years]]/Integrated[[#This Row],[Population 55 to 64 years]]</f>
        <v>1.1621117951546939E-4</v>
      </c>
      <c r="AL320" s="67">
        <f>Integrated[[#This Row],[Flu Deaths 65 to 74 years]]/Integrated[[#This Row],[Population 65 to 74 years]]</f>
        <v>3.2278968540232553E-4</v>
      </c>
      <c r="AM320" s="67">
        <f>Integrated[[#This Row],[Flu Deaths 75 to 84 years]]/Integrated[[#This Row],[Population 75 to 84 years]]</f>
        <v>1.2245897624295861E-3</v>
      </c>
      <c r="AN320" s="67">
        <f>Integrated[[#This Row],[Flu Deaths 85+ years]]/Integrated[[#This Row],[Population 85+ years]]</f>
        <v>5.097630049187658E-3</v>
      </c>
      <c r="AO320" s="68">
        <f>Integrated[[#This Row],[Total Flu Deaths]]/Integrated[[#This Row],[Total population]]</f>
        <v>2.556155266696796E-4</v>
      </c>
    </row>
    <row r="321" spans="1:41" x14ac:dyDescent="0.3">
      <c r="A321" s="44" t="s">
        <v>376</v>
      </c>
      <c r="B321" t="s">
        <v>318</v>
      </c>
      <c r="C321" s="45">
        <v>2009</v>
      </c>
      <c r="D321" s="51">
        <v>5599420</v>
      </c>
      <c r="E321" s="2">
        <v>2780010</v>
      </c>
      <c r="F321" s="2">
        <v>2819410</v>
      </c>
      <c r="G321" s="78">
        <f>Integrated[[#This Row],[Female Total population]]/Integrated[[#This Row],[Total population]]</f>
        <v>0.50351822153008707</v>
      </c>
      <c r="H321" s="2">
        <v>356646</v>
      </c>
      <c r="I321" s="2">
        <v>723181</v>
      </c>
      <c r="J321" s="2">
        <v>826767</v>
      </c>
      <c r="K321" s="2">
        <v>687485</v>
      </c>
      <c r="L321" s="2">
        <v>786325</v>
      </c>
      <c r="M321" s="2">
        <v>860985</v>
      </c>
      <c r="N321" s="2">
        <v>620701</v>
      </c>
      <c r="O321" s="2">
        <v>369244</v>
      </c>
      <c r="P321" s="2">
        <v>261561</v>
      </c>
      <c r="Q321" s="52">
        <v>108929</v>
      </c>
      <c r="R321" s="127">
        <f>Integrated[[#This Row],[Population 85+ years]]/Integrated[[#This Row],[Total population]]</f>
        <v>1.9453621982276736E-2</v>
      </c>
      <c r="S321" s="58">
        <v>120</v>
      </c>
      <c r="T321" s="59">
        <v>60</v>
      </c>
      <c r="U321" s="59">
        <v>60</v>
      </c>
      <c r="V321" s="59">
        <v>60</v>
      </c>
      <c r="W321" s="59">
        <v>72</v>
      </c>
      <c r="X321" s="59">
        <v>60</v>
      </c>
      <c r="Y321" s="59">
        <v>60</v>
      </c>
      <c r="Z321" s="59">
        <v>75</v>
      </c>
      <c r="AA321" s="59">
        <v>234</v>
      </c>
      <c r="AB321" s="59">
        <v>514</v>
      </c>
      <c r="AC321" s="59">
        <f>VLOOKUP($A321,'[1]Flu Deaths Updated'!$A$2:$N$460,14,FALSE)</f>
        <v>60</v>
      </c>
      <c r="AD321" s="60">
        <f t="shared" si="4"/>
        <v>1375</v>
      </c>
      <c r="AE321" s="66">
        <f>Integrated[[#This Row],[Flu Deaths &lt;5 years old]]/Integrated[[#This Row],[Population &lt;5 years]]</f>
        <v>3.3646809441294727E-4</v>
      </c>
      <c r="AF321" s="67">
        <f>Integrated[[#This Row],[Flu Deaths 5 to 14 years]]/Integrated[[#This Row],[Population 5 to 14 years]]</f>
        <v>8.2966781483473709E-5</v>
      </c>
      <c r="AG321" s="67">
        <f>Integrated[[#This Row],[Flu Deaths 15 to 24 years]]/Integrated[[#This Row],[Population 15 to 24 years]]</f>
        <v>7.2571837047197092E-5</v>
      </c>
      <c r="AH321" s="67">
        <f>Integrated[[#This Row],[Flu Deaths 25 to 34 years]]/Integrated[[#This Row],[Population 25 to 34 years]]</f>
        <v>8.7274631446504288E-5</v>
      </c>
      <c r="AI321" s="67">
        <f>Integrated[[#This Row],[Flu Deaths 35 to 44 years]]/Integrated[[#This Row],[Population 35 to 44 years]]</f>
        <v>7.6304327091215461E-5</v>
      </c>
      <c r="AJ321" s="67">
        <f>Integrated[[#This Row],[Flu Deaths 45 to 54 years]]/Integrated[[#This Row],[Population 45 to 54 years]]</f>
        <v>8.3625150263941887E-5</v>
      </c>
      <c r="AK321" s="67">
        <f>Integrated[[#This Row],[Flu Deaths 55 to 64 years]]/Integrated[[#This Row],[Population 55 to 64 years]]</f>
        <v>9.6664899847108347E-5</v>
      </c>
      <c r="AL321" s="67">
        <f>Integrated[[#This Row],[Flu Deaths 65 to 74 years]]/Integrated[[#This Row],[Population 65 to 74 years]]</f>
        <v>2.0311772161497546E-4</v>
      </c>
      <c r="AM321" s="67">
        <f>Integrated[[#This Row],[Flu Deaths 75 to 84 years]]/Integrated[[#This Row],[Population 75 to 84 years]]</f>
        <v>8.9462878640164244E-4</v>
      </c>
      <c r="AN321" s="67">
        <f>Integrated[[#This Row],[Flu Deaths 85+ years]]/Integrated[[#This Row],[Population 85+ years]]</f>
        <v>4.718669959331308E-3</v>
      </c>
      <c r="AO321" s="68">
        <f>Integrated[[#This Row],[Total Flu Deaths]]/Integrated[[#This Row],[Total population]]</f>
        <v>2.4556114740455264E-4</v>
      </c>
    </row>
    <row r="322" spans="1:41" x14ac:dyDescent="0.3">
      <c r="A322" s="44" t="s">
        <v>350</v>
      </c>
      <c r="B322" t="s">
        <v>351</v>
      </c>
      <c r="C322" s="45">
        <v>2015</v>
      </c>
      <c r="D322" s="51">
        <v>5930148</v>
      </c>
      <c r="E322" s="2">
        <v>2872675</v>
      </c>
      <c r="F322" s="2">
        <v>3057473</v>
      </c>
      <c r="G322" s="78">
        <f>Integrated[[#This Row],[Female Total population]]/Integrated[[#This Row],[Total population]]</f>
        <v>0.51558123001314637</v>
      </c>
      <c r="H322" s="2">
        <v>367784</v>
      </c>
      <c r="I322" s="2">
        <v>750742</v>
      </c>
      <c r="J322" s="2">
        <v>797979</v>
      </c>
      <c r="K322" s="2">
        <v>812888</v>
      </c>
      <c r="L322" s="2">
        <v>774826</v>
      </c>
      <c r="M322" s="2">
        <v>889405</v>
      </c>
      <c r="N322" s="2">
        <v>753020</v>
      </c>
      <c r="O322" s="2">
        <v>451289</v>
      </c>
      <c r="P322" s="2">
        <v>230134</v>
      </c>
      <c r="Q322" s="52">
        <v>105615</v>
      </c>
      <c r="R322" s="127">
        <f>Integrated[[#This Row],[Population 85+ years]]/Integrated[[#This Row],[Total population]]</f>
        <v>1.7809842182690886E-2</v>
      </c>
      <c r="S322" s="58">
        <v>120</v>
      </c>
      <c r="T322" s="59">
        <v>60</v>
      </c>
      <c r="U322" s="59">
        <v>60</v>
      </c>
      <c r="V322" s="59">
        <v>60</v>
      </c>
      <c r="W322" s="59">
        <v>60</v>
      </c>
      <c r="X322" s="59">
        <v>60</v>
      </c>
      <c r="Y322" s="59">
        <v>75</v>
      </c>
      <c r="Z322" s="59">
        <v>175</v>
      </c>
      <c r="AA322" s="59">
        <v>305</v>
      </c>
      <c r="AB322" s="59">
        <v>518</v>
      </c>
      <c r="AC322" s="59">
        <f>VLOOKUP($A322,'[1]Flu Deaths Updated'!$A$2:$N$460,14,FALSE)</f>
        <v>60</v>
      </c>
      <c r="AD322" s="60">
        <f t="shared" ref="AD322:AD385" si="5">SUM(S322:AC322)</f>
        <v>1553</v>
      </c>
      <c r="AE322" s="66">
        <f>Integrated[[#This Row],[Flu Deaths &lt;5 years old]]/Integrated[[#This Row],[Population &lt;5 years]]</f>
        <v>3.2627846779631524E-4</v>
      </c>
      <c r="AF322" s="67">
        <f>Integrated[[#This Row],[Flu Deaths 5 to 14 years]]/Integrated[[#This Row],[Population 5 to 14 years]]</f>
        <v>7.9920931558378241E-5</v>
      </c>
      <c r="AG322" s="67">
        <f>Integrated[[#This Row],[Flu Deaths 15 to 24 years]]/Integrated[[#This Row],[Population 15 to 24 years]]</f>
        <v>7.5189948607670131E-5</v>
      </c>
      <c r="AH322" s="67">
        <f>Integrated[[#This Row],[Flu Deaths 25 to 34 years]]/Integrated[[#This Row],[Population 25 to 34 years]]</f>
        <v>7.3810906299514819E-5</v>
      </c>
      <c r="AI322" s="67">
        <f>Integrated[[#This Row],[Flu Deaths 35 to 44 years]]/Integrated[[#This Row],[Population 35 to 44 years]]</f>
        <v>7.7436740635962142E-5</v>
      </c>
      <c r="AJ322" s="67">
        <f>Integrated[[#This Row],[Flu Deaths 45 to 54 years]]/Integrated[[#This Row],[Population 45 to 54 years]]</f>
        <v>6.7460830555258854E-5</v>
      </c>
      <c r="AK322" s="67">
        <f>Integrated[[#This Row],[Flu Deaths 55 to 64 years]]/Integrated[[#This Row],[Population 55 to 64 years]]</f>
        <v>9.9598948235106636E-5</v>
      </c>
      <c r="AL322" s="67">
        <f>Integrated[[#This Row],[Flu Deaths 65 to 74 years]]/Integrated[[#This Row],[Population 65 to 74 years]]</f>
        <v>3.8777812000735673E-4</v>
      </c>
      <c r="AM322" s="67">
        <f>Integrated[[#This Row],[Flu Deaths 75 to 84 years]]/Integrated[[#This Row],[Population 75 to 84 years]]</f>
        <v>1.32531481658512E-3</v>
      </c>
      <c r="AN322" s="67">
        <f>Integrated[[#This Row],[Flu Deaths 85+ years]]/Integrated[[#This Row],[Population 85+ years]]</f>
        <v>4.9046063532642145E-3</v>
      </c>
      <c r="AO322" s="68">
        <f>Integrated[[#This Row],[Total Flu Deaths]]/Integrated[[#This Row],[Total population]]</f>
        <v>2.6188216550413244E-4</v>
      </c>
    </row>
    <row r="323" spans="1:41" x14ac:dyDescent="0.3">
      <c r="A323" s="44" t="s">
        <v>283</v>
      </c>
      <c r="B323" t="s">
        <v>257</v>
      </c>
      <c r="C323" s="45">
        <v>2016</v>
      </c>
      <c r="D323" s="51">
        <v>6148835</v>
      </c>
      <c r="E323" s="2">
        <v>2994886</v>
      </c>
      <c r="F323" s="2">
        <v>3153950</v>
      </c>
      <c r="G323" s="78">
        <f>Integrated[[#This Row],[Female Total population]]/Integrated[[#This Row],[Total population]]</f>
        <v>0.51293456402716942</v>
      </c>
      <c r="H323" s="2">
        <v>380456</v>
      </c>
      <c r="I323" s="2">
        <v>789877</v>
      </c>
      <c r="J323" s="2">
        <v>831979</v>
      </c>
      <c r="K323" s="2">
        <v>817063</v>
      </c>
      <c r="L323" s="2">
        <v>789316</v>
      </c>
      <c r="M323" s="2">
        <v>840714</v>
      </c>
      <c r="N323" s="2">
        <v>788252</v>
      </c>
      <c r="O323" s="2">
        <v>541424</v>
      </c>
      <c r="P323" s="2">
        <v>270665</v>
      </c>
      <c r="Q323" s="52">
        <v>100463</v>
      </c>
      <c r="R323" s="127">
        <f>Integrated[[#This Row],[Population 85+ years]]/Integrated[[#This Row],[Total population]]</f>
        <v>1.6338542179128241E-2</v>
      </c>
      <c r="S323" s="58">
        <v>120</v>
      </c>
      <c r="T323" s="59">
        <v>60</v>
      </c>
      <c r="U323" s="59">
        <v>60</v>
      </c>
      <c r="V323" s="59">
        <v>60</v>
      </c>
      <c r="W323" s="59">
        <v>82</v>
      </c>
      <c r="X323" s="59">
        <v>60</v>
      </c>
      <c r="Y323" s="59">
        <v>183</v>
      </c>
      <c r="Z323" s="59">
        <v>281</v>
      </c>
      <c r="AA323" s="59">
        <v>412</v>
      </c>
      <c r="AB323" s="59">
        <v>519</v>
      </c>
      <c r="AC323" s="59">
        <f>VLOOKUP($A323,'[1]Flu Deaths Updated'!$A$2:$N$460,14,FALSE)</f>
        <v>60</v>
      </c>
      <c r="AD323" s="60">
        <f t="shared" si="5"/>
        <v>1897</v>
      </c>
      <c r="AE323" s="66">
        <f>Integrated[[#This Row],[Flu Deaths &lt;5 years old]]/Integrated[[#This Row],[Population &lt;5 years]]</f>
        <v>3.154109805076014E-4</v>
      </c>
      <c r="AF323" s="67">
        <f>Integrated[[#This Row],[Flu Deaths 5 to 14 years]]/Integrated[[#This Row],[Population 5 to 14 years]]</f>
        <v>7.5961193958046632E-5</v>
      </c>
      <c r="AG323" s="67">
        <f>Integrated[[#This Row],[Flu Deaths 15 to 24 years]]/Integrated[[#This Row],[Population 15 to 24 years]]</f>
        <v>7.2117204881373207E-5</v>
      </c>
      <c r="AH323" s="67">
        <f>Integrated[[#This Row],[Flu Deaths 25 to 34 years]]/Integrated[[#This Row],[Population 25 to 34 years]]</f>
        <v>7.3433749906677947E-5</v>
      </c>
      <c r="AI323" s="67">
        <f>Integrated[[#This Row],[Flu Deaths 35 to 44 years]]/Integrated[[#This Row],[Population 35 to 44 years]]</f>
        <v>7.6015182765837766E-5</v>
      </c>
      <c r="AJ323" s="67">
        <f>Integrated[[#This Row],[Flu Deaths 45 to 54 years]]/Integrated[[#This Row],[Population 45 to 54 years]]</f>
        <v>9.7536141898433944E-5</v>
      </c>
      <c r="AK323" s="67">
        <f>Integrated[[#This Row],[Flu Deaths 55 to 64 years]]/Integrated[[#This Row],[Population 55 to 64 years]]</f>
        <v>2.321592587142183E-4</v>
      </c>
      <c r="AL323" s="67">
        <f>Integrated[[#This Row],[Flu Deaths 65 to 74 years]]/Integrated[[#This Row],[Population 65 to 74 years]]</f>
        <v>5.1900174355034136E-4</v>
      </c>
      <c r="AM323" s="67">
        <f>Integrated[[#This Row],[Flu Deaths 75 to 84 years]]/Integrated[[#This Row],[Population 75 to 84 years]]</f>
        <v>1.5221768606949551E-3</v>
      </c>
      <c r="AN323" s="67">
        <f>Integrated[[#This Row],[Flu Deaths 85+ years]]/Integrated[[#This Row],[Population 85+ years]]</f>
        <v>5.1660810447627485E-3</v>
      </c>
      <c r="AO323" s="68">
        <f>Integrated[[#This Row],[Total Flu Deaths]]/Integrated[[#This Row],[Total population]]</f>
        <v>3.0851372658397891E-4</v>
      </c>
    </row>
    <row r="324" spans="1:41" x14ac:dyDescent="0.3">
      <c r="A324" s="44" t="s">
        <v>365</v>
      </c>
      <c r="B324" t="s">
        <v>318</v>
      </c>
      <c r="C324" s="45">
        <v>2017</v>
      </c>
      <c r="D324" s="51">
        <v>5444586</v>
      </c>
      <c r="E324" s="2">
        <v>2702480</v>
      </c>
      <c r="F324" s="2">
        <v>2742107</v>
      </c>
      <c r="G324" s="78">
        <f>Integrated[[#This Row],[Female Total population]]/Integrated[[#This Row],[Total population]]</f>
        <v>0.50363921150294988</v>
      </c>
      <c r="H324" s="2">
        <v>320109</v>
      </c>
      <c r="I324" s="2">
        <v>691743</v>
      </c>
      <c r="J324" s="2">
        <v>746445</v>
      </c>
      <c r="K324" s="2">
        <v>695339</v>
      </c>
      <c r="L324" s="2">
        <v>658092</v>
      </c>
      <c r="M324" s="2">
        <v>751863</v>
      </c>
      <c r="N324" s="2">
        <v>744000</v>
      </c>
      <c r="O324" s="2">
        <v>471824</v>
      </c>
      <c r="P324" s="2">
        <v>247769</v>
      </c>
      <c r="Q324" s="52">
        <v>117455</v>
      </c>
      <c r="R324" s="127">
        <f>Integrated[[#This Row],[Population 85+ years]]/Integrated[[#This Row],[Total population]]</f>
        <v>2.1572806453970972E-2</v>
      </c>
      <c r="S324" s="58">
        <v>120</v>
      </c>
      <c r="T324" s="59">
        <v>60</v>
      </c>
      <c r="U324" s="59">
        <v>60</v>
      </c>
      <c r="V324" s="59">
        <v>60</v>
      </c>
      <c r="W324" s="59">
        <v>60</v>
      </c>
      <c r="X324" s="59">
        <v>60</v>
      </c>
      <c r="Y324" s="59">
        <v>73</v>
      </c>
      <c r="Z324" s="59">
        <v>125</v>
      </c>
      <c r="AA324" s="59">
        <v>190</v>
      </c>
      <c r="AB324" s="59">
        <v>521</v>
      </c>
      <c r="AC324" s="59">
        <f>VLOOKUP($A324,'[1]Flu Deaths Updated'!$A$2:$N$460,14,FALSE)</f>
        <v>60</v>
      </c>
      <c r="AD324" s="60">
        <f t="shared" si="5"/>
        <v>1389</v>
      </c>
      <c r="AE324" s="66">
        <f>Integrated[[#This Row],[Flu Deaths &lt;5 years old]]/Integrated[[#This Row],[Population &lt;5 years]]</f>
        <v>3.7487230911970612E-4</v>
      </c>
      <c r="AF324" s="67">
        <f>Integrated[[#This Row],[Flu Deaths 5 to 14 years]]/Integrated[[#This Row],[Population 5 to 14 years]]</f>
        <v>8.6737415485230781E-5</v>
      </c>
      <c r="AG324" s="67">
        <f>Integrated[[#This Row],[Flu Deaths 15 to 24 years]]/Integrated[[#This Row],[Population 15 to 24 years]]</f>
        <v>8.0381005968289693E-5</v>
      </c>
      <c r="AH324" s="67">
        <f>Integrated[[#This Row],[Flu Deaths 25 to 34 years]]/Integrated[[#This Row],[Population 25 to 34 years]]</f>
        <v>8.6288846159930627E-5</v>
      </c>
      <c r="AI324" s="67">
        <f>Integrated[[#This Row],[Flu Deaths 35 to 44 years]]/Integrated[[#This Row],[Population 35 to 44 years]]</f>
        <v>9.1172662788789415E-5</v>
      </c>
      <c r="AJ324" s="67">
        <f>Integrated[[#This Row],[Flu Deaths 45 to 54 years]]/Integrated[[#This Row],[Population 45 to 54 years]]</f>
        <v>7.9801772397364944E-5</v>
      </c>
      <c r="AK324" s="67">
        <f>Integrated[[#This Row],[Flu Deaths 55 to 64 years]]/Integrated[[#This Row],[Population 55 to 64 years]]</f>
        <v>9.8118279569892476E-5</v>
      </c>
      <c r="AL324" s="67">
        <f>Integrated[[#This Row],[Flu Deaths 65 to 74 years]]/Integrated[[#This Row],[Population 65 to 74 years]]</f>
        <v>2.6492929566957168E-4</v>
      </c>
      <c r="AM324" s="67">
        <f>Integrated[[#This Row],[Flu Deaths 75 to 84 years]]/Integrated[[#This Row],[Population 75 to 84 years]]</f>
        <v>7.6684330969572459E-4</v>
      </c>
      <c r="AN324" s="67">
        <f>Integrated[[#This Row],[Flu Deaths 85+ years]]/Integrated[[#This Row],[Population 85+ years]]</f>
        <v>4.4357413477502019E-3</v>
      </c>
      <c r="AO324" s="68">
        <f>Integrated[[#This Row],[Total Flu Deaths]]/Integrated[[#This Row],[Total population]]</f>
        <v>2.5511581596837667E-4</v>
      </c>
    </row>
    <row r="325" spans="1:41" x14ac:dyDescent="0.3">
      <c r="A325" s="44" t="s">
        <v>482</v>
      </c>
      <c r="B325" t="s">
        <v>483</v>
      </c>
      <c r="C325" s="45">
        <v>2014</v>
      </c>
      <c r="D325" s="51">
        <v>9478325</v>
      </c>
      <c r="E325" s="2">
        <v>4628890</v>
      </c>
      <c r="F325" s="2">
        <v>4849441</v>
      </c>
      <c r="G325" s="78">
        <f>Integrated[[#This Row],[Female Total population]]/Integrated[[#This Row],[Total population]]</f>
        <v>0.51163480889292146</v>
      </c>
      <c r="H325" s="2">
        <v>645372</v>
      </c>
      <c r="I325" s="2">
        <v>1346907</v>
      </c>
      <c r="J325" s="2">
        <v>1363381</v>
      </c>
      <c r="K325" s="2">
        <v>1305158</v>
      </c>
      <c r="L325" s="2">
        <v>1331836</v>
      </c>
      <c r="M325" s="2">
        <v>1336090</v>
      </c>
      <c r="N325" s="2">
        <v>1077172</v>
      </c>
      <c r="O325" s="2">
        <v>641972</v>
      </c>
      <c r="P325" s="2">
        <v>313403</v>
      </c>
      <c r="Q325" s="52">
        <v>115190</v>
      </c>
      <c r="R325" s="127">
        <f>Integrated[[#This Row],[Population 85+ years]]/Integrated[[#This Row],[Total population]]</f>
        <v>1.2152991166688207E-2</v>
      </c>
      <c r="S325" s="58">
        <v>120</v>
      </c>
      <c r="T325" s="59">
        <v>60</v>
      </c>
      <c r="U325" s="59">
        <v>60</v>
      </c>
      <c r="V325" s="59">
        <v>69</v>
      </c>
      <c r="W325" s="59">
        <v>92</v>
      </c>
      <c r="X325" s="59">
        <v>60</v>
      </c>
      <c r="Y325" s="59">
        <v>197</v>
      </c>
      <c r="Z325" s="59">
        <v>257</v>
      </c>
      <c r="AA325" s="59">
        <v>348</v>
      </c>
      <c r="AB325" s="59">
        <v>528</v>
      </c>
      <c r="AC325" s="59">
        <f>VLOOKUP($A325,'[1]Flu Deaths Updated'!$A$2:$N$460,14,FALSE)</f>
        <v>60</v>
      </c>
      <c r="AD325" s="60">
        <f t="shared" si="5"/>
        <v>1851</v>
      </c>
      <c r="AE325" s="66">
        <f>Integrated[[#This Row],[Flu Deaths &lt;5 years old]]/Integrated[[#This Row],[Population &lt;5 years]]</f>
        <v>1.8593927223368848E-4</v>
      </c>
      <c r="AF325" s="67">
        <f>Integrated[[#This Row],[Flu Deaths 5 to 14 years]]/Integrated[[#This Row],[Population 5 to 14 years]]</f>
        <v>4.4546505438014654E-5</v>
      </c>
      <c r="AG325" s="67">
        <f>Integrated[[#This Row],[Flu Deaths 15 to 24 years]]/Integrated[[#This Row],[Population 15 to 24 years]]</f>
        <v>4.4008241276649738E-5</v>
      </c>
      <c r="AH325" s="67">
        <f>Integrated[[#This Row],[Flu Deaths 25 to 34 years]]/Integrated[[#This Row],[Population 25 to 34 years]]</f>
        <v>4.597144560275461E-5</v>
      </c>
      <c r="AI325" s="67">
        <f>Integrated[[#This Row],[Flu Deaths 35 to 44 years]]/Integrated[[#This Row],[Population 35 to 44 years]]</f>
        <v>5.1808180586798976E-5</v>
      </c>
      <c r="AJ325" s="67">
        <f>Integrated[[#This Row],[Flu Deaths 45 to 54 years]]/Integrated[[#This Row],[Population 45 to 54 years]]</f>
        <v>6.8857636835841895E-5</v>
      </c>
      <c r="AK325" s="67">
        <f>Integrated[[#This Row],[Flu Deaths 55 to 64 years]]/Integrated[[#This Row],[Population 55 to 64 years]]</f>
        <v>1.8288629856698838E-4</v>
      </c>
      <c r="AL325" s="67">
        <f>Integrated[[#This Row],[Flu Deaths 65 to 74 years]]/Integrated[[#This Row],[Population 65 to 74 years]]</f>
        <v>4.0032898631092945E-4</v>
      </c>
      <c r="AM325" s="67">
        <f>Integrated[[#This Row],[Flu Deaths 75 to 84 years]]/Integrated[[#This Row],[Population 75 to 84 years]]</f>
        <v>1.1103914129730729E-3</v>
      </c>
      <c r="AN325" s="67">
        <f>Integrated[[#This Row],[Flu Deaths 85+ years]]/Integrated[[#This Row],[Population 85+ years]]</f>
        <v>4.5837312266689819E-3</v>
      </c>
      <c r="AO325" s="68">
        <f>Integrated[[#This Row],[Total Flu Deaths]]/Integrated[[#This Row],[Total population]]</f>
        <v>1.9528766949856646E-4</v>
      </c>
    </row>
    <row r="326" spans="1:41" x14ac:dyDescent="0.3">
      <c r="A326" s="44" t="s">
        <v>488</v>
      </c>
      <c r="B326" t="s">
        <v>483</v>
      </c>
      <c r="C326" s="45">
        <v>2013</v>
      </c>
      <c r="D326" s="51">
        <v>9590802</v>
      </c>
      <c r="E326" s="2">
        <v>4681047</v>
      </c>
      <c r="F326" s="2">
        <v>4909762</v>
      </c>
      <c r="G326" s="78">
        <f>Integrated[[#This Row],[Female Total population]]/Integrated[[#This Row],[Total population]]</f>
        <v>0.5119240288768343</v>
      </c>
      <c r="H326" s="2">
        <v>664530</v>
      </c>
      <c r="I326" s="2">
        <v>1369268</v>
      </c>
      <c r="J326" s="2">
        <v>1386260</v>
      </c>
      <c r="K326" s="2">
        <v>1313515</v>
      </c>
      <c r="L326" s="2">
        <v>1359393</v>
      </c>
      <c r="M326" s="2">
        <v>1359324</v>
      </c>
      <c r="N326" s="2">
        <v>1075832</v>
      </c>
      <c r="O326" s="2">
        <v>631816</v>
      </c>
      <c r="P326" s="2">
        <v>315208</v>
      </c>
      <c r="Q326" s="52">
        <v>117183</v>
      </c>
      <c r="R326" s="127">
        <f>Integrated[[#This Row],[Population 85+ years]]/Integrated[[#This Row],[Total population]]</f>
        <v>1.2218269129109328E-2</v>
      </c>
      <c r="S326" s="58">
        <v>120</v>
      </c>
      <c r="T326" s="59">
        <v>60</v>
      </c>
      <c r="U326" s="59">
        <v>60</v>
      </c>
      <c r="V326" s="59">
        <v>72</v>
      </c>
      <c r="W326" s="59">
        <v>87</v>
      </c>
      <c r="X326" s="59">
        <v>60</v>
      </c>
      <c r="Y326" s="59">
        <v>143</v>
      </c>
      <c r="Z326" s="59">
        <v>227</v>
      </c>
      <c r="AA326" s="59">
        <v>398</v>
      </c>
      <c r="AB326" s="59">
        <v>531</v>
      </c>
      <c r="AC326" s="59">
        <f>VLOOKUP($A326,'[1]Flu Deaths Updated'!$A$2:$N$460,14,FALSE)</f>
        <v>60</v>
      </c>
      <c r="AD326" s="60">
        <f t="shared" si="5"/>
        <v>1818</v>
      </c>
      <c r="AE326" s="66">
        <f>Integrated[[#This Row],[Flu Deaths &lt;5 years old]]/Integrated[[#This Row],[Population &lt;5 years]]</f>
        <v>1.8057875490948489E-4</v>
      </c>
      <c r="AF326" s="67">
        <f>Integrated[[#This Row],[Flu Deaths 5 to 14 years]]/Integrated[[#This Row],[Population 5 to 14 years]]</f>
        <v>4.3819033235276071E-5</v>
      </c>
      <c r="AG326" s="67">
        <f>Integrated[[#This Row],[Flu Deaths 15 to 24 years]]/Integrated[[#This Row],[Population 15 to 24 years]]</f>
        <v>4.3281924025796025E-5</v>
      </c>
      <c r="AH326" s="67">
        <f>Integrated[[#This Row],[Flu Deaths 25 to 34 years]]/Integrated[[#This Row],[Population 25 to 34 years]]</f>
        <v>4.5678960651381982E-5</v>
      </c>
      <c r="AI326" s="67">
        <f>Integrated[[#This Row],[Flu Deaths 35 to 44 years]]/Integrated[[#This Row],[Population 35 to 44 years]]</f>
        <v>5.296481591416169E-5</v>
      </c>
      <c r="AJ326" s="67">
        <f>Integrated[[#This Row],[Flu Deaths 45 to 54 years]]/Integrated[[#This Row],[Population 45 to 54 years]]</f>
        <v>6.4002401193534437E-5</v>
      </c>
      <c r="AK326" s="67">
        <f>Integrated[[#This Row],[Flu Deaths 55 to 64 years]]/Integrated[[#This Row],[Population 55 to 64 years]]</f>
        <v>1.3292038162092222E-4</v>
      </c>
      <c r="AL326" s="67">
        <f>Integrated[[#This Row],[Flu Deaths 65 to 74 years]]/Integrated[[#This Row],[Population 65 to 74 years]]</f>
        <v>3.5928181622497691E-4</v>
      </c>
      <c r="AM326" s="67">
        <f>Integrated[[#This Row],[Flu Deaths 75 to 84 years]]/Integrated[[#This Row],[Population 75 to 84 years]]</f>
        <v>1.2626583081647674E-3</v>
      </c>
      <c r="AN326" s="67">
        <f>Integrated[[#This Row],[Flu Deaths 85+ years]]/Integrated[[#This Row],[Population 85+ years]]</f>
        <v>4.5313740047617825E-3</v>
      </c>
      <c r="AO326" s="68">
        <f>Integrated[[#This Row],[Total Flu Deaths]]/Integrated[[#This Row],[Total population]]</f>
        <v>1.895566189355176E-4</v>
      </c>
    </row>
    <row r="327" spans="1:41" x14ac:dyDescent="0.3">
      <c r="A327" s="44" t="s">
        <v>360</v>
      </c>
      <c r="B327" t="s">
        <v>318</v>
      </c>
      <c r="C327" s="45">
        <v>2011</v>
      </c>
      <c r="D327" s="51">
        <v>5429786</v>
      </c>
      <c r="E327" s="2">
        <v>2691871</v>
      </c>
      <c r="F327" s="2">
        <v>2737916</v>
      </c>
      <c r="G327" s="78">
        <f>Integrated[[#This Row],[Female Total population]]/Integrated[[#This Row],[Total population]]</f>
        <v>0.50424013027401082</v>
      </c>
      <c r="H327" s="2">
        <v>341575</v>
      </c>
      <c r="I327" s="2">
        <v>713724</v>
      </c>
      <c r="J327" s="2">
        <v>767232</v>
      </c>
      <c r="K327" s="2">
        <v>684623</v>
      </c>
      <c r="L327" s="2">
        <v>714841</v>
      </c>
      <c r="M327" s="2">
        <v>829322</v>
      </c>
      <c r="N327" s="2">
        <v>648590</v>
      </c>
      <c r="O327" s="2">
        <v>371269</v>
      </c>
      <c r="P327" s="2">
        <v>250510</v>
      </c>
      <c r="Q327" s="52">
        <v>109218</v>
      </c>
      <c r="R327" s="127">
        <f>Integrated[[#This Row],[Population 85+ years]]/Integrated[[#This Row],[Total population]]</f>
        <v>2.0114604884980736E-2</v>
      </c>
      <c r="S327" s="58">
        <v>120</v>
      </c>
      <c r="T327" s="59">
        <v>60</v>
      </c>
      <c r="U327" s="59">
        <v>60</v>
      </c>
      <c r="V327" s="59">
        <v>60</v>
      </c>
      <c r="W327" s="59">
        <v>60</v>
      </c>
      <c r="X327" s="59">
        <v>60</v>
      </c>
      <c r="Y327" s="59">
        <v>60</v>
      </c>
      <c r="Z327" s="59">
        <v>78</v>
      </c>
      <c r="AA327" s="59">
        <v>241</v>
      </c>
      <c r="AB327" s="59">
        <v>532</v>
      </c>
      <c r="AC327" s="59">
        <f>VLOOKUP($A327,'[1]Flu Deaths Updated'!$A$2:$N$460,14,FALSE)</f>
        <v>60</v>
      </c>
      <c r="AD327" s="60">
        <f t="shared" si="5"/>
        <v>1391</v>
      </c>
      <c r="AE327" s="66">
        <f>Integrated[[#This Row],[Flu Deaths &lt;5 years old]]/Integrated[[#This Row],[Population &lt;5 years]]</f>
        <v>3.5131376710824857E-4</v>
      </c>
      <c r="AF327" s="67">
        <f>Integrated[[#This Row],[Flu Deaths 5 to 14 years]]/Integrated[[#This Row],[Population 5 to 14 years]]</f>
        <v>8.4066109588580457E-5</v>
      </c>
      <c r="AG327" s="67">
        <f>Integrated[[#This Row],[Flu Deaths 15 to 24 years]]/Integrated[[#This Row],[Population 15 to 24 years]]</f>
        <v>7.8203203203203203E-5</v>
      </c>
      <c r="AH327" s="67">
        <f>Integrated[[#This Row],[Flu Deaths 25 to 34 years]]/Integrated[[#This Row],[Population 25 to 34 years]]</f>
        <v>8.7639474572136775E-5</v>
      </c>
      <c r="AI327" s="67">
        <f>Integrated[[#This Row],[Flu Deaths 35 to 44 years]]/Integrated[[#This Row],[Population 35 to 44 years]]</f>
        <v>8.3934749126029424E-5</v>
      </c>
      <c r="AJ327" s="67">
        <f>Integrated[[#This Row],[Flu Deaths 45 to 54 years]]/Integrated[[#This Row],[Population 45 to 54 years]]</f>
        <v>7.2348255562977945E-5</v>
      </c>
      <c r="AK327" s="67">
        <f>Integrated[[#This Row],[Flu Deaths 55 to 64 years]]/Integrated[[#This Row],[Population 55 to 64 years]]</f>
        <v>9.2508364297938606E-5</v>
      </c>
      <c r="AL327" s="67">
        <f>Integrated[[#This Row],[Flu Deaths 65 to 74 years]]/Integrated[[#This Row],[Population 65 to 74 years]]</f>
        <v>2.1009025800699762E-4</v>
      </c>
      <c r="AM327" s="67">
        <f>Integrated[[#This Row],[Flu Deaths 75 to 84 years]]/Integrated[[#This Row],[Population 75 to 84 years]]</f>
        <v>9.6203744361502536E-4</v>
      </c>
      <c r="AN327" s="67">
        <f>Integrated[[#This Row],[Flu Deaths 85+ years]]/Integrated[[#This Row],[Population 85+ years]]</f>
        <v>4.8709919610320646E-3</v>
      </c>
      <c r="AO327" s="68">
        <f>Integrated[[#This Row],[Total Flu Deaths]]/Integrated[[#This Row],[Total population]]</f>
        <v>2.5617952530725889E-4</v>
      </c>
    </row>
    <row r="328" spans="1:41" x14ac:dyDescent="0.3">
      <c r="A328" s="44" t="s">
        <v>399</v>
      </c>
      <c r="B328" t="s">
        <v>391</v>
      </c>
      <c r="C328" s="45">
        <v>2013</v>
      </c>
      <c r="D328" s="51">
        <v>6295459</v>
      </c>
      <c r="E328" s="2">
        <v>3098019</v>
      </c>
      <c r="F328" s="2">
        <v>3197443</v>
      </c>
      <c r="G328" s="78">
        <f>Integrated[[#This Row],[Female Total population]]/Integrated[[#This Row],[Total population]]</f>
        <v>0.50789672365430383</v>
      </c>
      <c r="H328" s="2">
        <v>415278</v>
      </c>
      <c r="I328" s="2">
        <v>867131</v>
      </c>
      <c r="J328" s="2">
        <v>906580</v>
      </c>
      <c r="K328" s="2">
        <v>810178</v>
      </c>
      <c r="L328" s="2">
        <v>808509</v>
      </c>
      <c r="M328" s="2">
        <v>896233</v>
      </c>
      <c r="N328" s="2">
        <v>765712</v>
      </c>
      <c r="O328" s="2">
        <v>452817</v>
      </c>
      <c r="P328" s="2">
        <v>263770</v>
      </c>
      <c r="Q328" s="52">
        <v>112538</v>
      </c>
      <c r="R328" s="127">
        <f>Integrated[[#This Row],[Population 85+ years]]/Integrated[[#This Row],[Total population]]</f>
        <v>1.7876059553401904E-2</v>
      </c>
      <c r="S328" s="58">
        <v>120</v>
      </c>
      <c r="T328" s="59">
        <v>60</v>
      </c>
      <c r="U328" s="59">
        <v>60</v>
      </c>
      <c r="V328" s="59">
        <v>60</v>
      </c>
      <c r="W328" s="59">
        <v>60</v>
      </c>
      <c r="X328" s="59">
        <v>60</v>
      </c>
      <c r="Y328" s="59">
        <v>95</v>
      </c>
      <c r="Z328" s="59">
        <v>120</v>
      </c>
      <c r="AA328" s="59">
        <v>265</v>
      </c>
      <c r="AB328" s="59">
        <v>532</v>
      </c>
      <c r="AC328" s="59">
        <f>VLOOKUP($A328,'[1]Flu Deaths Updated'!$A$2:$N$460,14,FALSE)</f>
        <v>60</v>
      </c>
      <c r="AD328" s="60">
        <f t="shared" si="5"/>
        <v>1492</v>
      </c>
      <c r="AE328" s="66">
        <f>Integrated[[#This Row],[Flu Deaths &lt;5 years old]]/Integrated[[#This Row],[Population &lt;5 years]]</f>
        <v>2.8896305607328105E-4</v>
      </c>
      <c r="AF328" s="67">
        <f>Integrated[[#This Row],[Flu Deaths 5 to 14 years]]/Integrated[[#This Row],[Population 5 to 14 years]]</f>
        <v>6.9193697376751615E-5</v>
      </c>
      <c r="AG328" s="67">
        <f>Integrated[[#This Row],[Flu Deaths 15 to 24 years]]/Integrated[[#This Row],[Population 15 to 24 years]]</f>
        <v>6.6182796884996356E-5</v>
      </c>
      <c r="AH328" s="67">
        <f>Integrated[[#This Row],[Flu Deaths 25 to 34 years]]/Integrated[[#This Row],[Population 25 to 34 years]]</f>
        <v>7.4057799644028848E-5</v>
      </c>
      <c r="AI328" s="67">
        <f>Integrated[[#This Row],[Flu Deaths 35 to 44 years]]/Integrated[[#This Row],[Population 35 to 44 years]]</f>
        <v>7.4210676690055399E-5</v>
      </c>
      <c r="AJ328" s="67">
        <f>Integrated[[#This Row],[Flu Deaths 45 to 54 years]]/Integrated[[#This Row],[Population 45 to 54 years]]</f>
        <v>6.6946876537686068E-5</v>
      </c>
      <c r="AK328" s="67">
        <f>Integrated[[#This Row],[Flu Deaths 55 to 64 years]]/Integrated[[#This Row],[Population 55 to 64 years]]</f>
        <v>1.2406753452995383E-4</v>
      </c>
      <c r="AL328" s="67">
        <f>Integrated[[#This Row],[Flu Deaths 65 to 74 years]]/Integrated[[#This Row],[Population 65 to 74 years]]</f>
        <v>2.6500771834979696E-4</v>
      </c>
      <c r="AM328" s="67">
        <f>Integrated[[#This Row],[Flu Deaths 75 to 84 years]]/Integrated[[#This Row],[Population 75 to 84 years]]</f>
        <v>1.0046631535049475E-3</v>
      </c>
      <c r="AN328" s="67">
        <f>Integrated[[#This Row],[Flu Deaths 85+ years]]/Integrated[[#This Row],[Population 85+ years]]</f>
        <v>4.7272921146634915E-3</v>
      </c>
      <c r="AO328" s="68">
        <f>Integrated[[#This Row],[Total Flu Deaths]]/Integrated[[#This Row],[Total population]]</f>
        <v>2.3699622219761895E-4</v>
      </c>
    </row>
    <row r="329" spans="1:41" x14ac:dyDescent="0.3">
      <c r="A329" s="44" t="s">
        <v>499</v>
      </c>
      <c r="B329" t="s">
        <v>483</v>
      </c>
      <c r="C329" s="45">
        <v>2012</v>
      </c>
      <c r="D329" s="51">
        <v>9449909</v>
      </c>
      <c r="E329" s="2">
        <v>4616109</v>
      </c>
      <c r="F329" s="2">
        <v>4833806</v>
      </c>
      <c r="G329" s="78">
        <f>Integrated[[#This Row],[Female Total population]]/Integrated[[#This Row],[Total population]]</f>
        <v>0.51151878817034113</v>
      </c>
      <c r="H329" s="2">
        <v>667574</v>
      </c>
      <c r="I329" s="2">
        <v>1347019</v>
      </c>
      <c r="J329" s="2">
        <v>1365591</v>
      </c>
      <c r="K329" s="2">
        <v>1306803</v>
      </c>
      <c r="L329" s="2">
        <v>1369632</v>
      </c>
      <c r="M329" s="2">
        <v>1346216</v>
      </c>
      <c r="N329" s="2">
        <v>1040580</v>
      </c>
      <c r="O329" s="2">
        <v>595147</v>
      </c>
      <c r="P329" s="2">
        <v>304811</v>
      </c>
      <c r="Q329" s="52">
        <v>113170</v>
      </c>
      <c r="R329" s="127">
        <f>Integrated[[#This Row],[Population 85+ years]]/Integrated[[#This Row],[Total population]]</f>
        <v>1.1975776697955505E-2</v>
      </c>
      <c r="S329" s="58">
        <v>120</v>
      </c>
      <c r="T329" s="59">
        <v>60</v>
      </c>
      <c r="U329" s="59">
        <v>60</v>
      </c>
      <c r="V329" s="59">
        <v>60</v>
      </c>
      <c r="W329" s="59">
        <v>68</v>
      </c>
      <c r="X329" s="59">
        <v>60</v>
      </c>
      <c r="Y329" s="59">
        <v>134</v>
      </c>
      <c r="Z329" s="59">
        <v>166</v>
      </c>
      <c r="AA329" s="59">
        <v>419</v>
      </c>
      <c r="AB329" s="59">
        <v>533</v>
      </c>
      <c r="AC329" s="59">
        <f>VLOOKUP($A329,'[1]Flu Deaths Updated'!$A$2:$N$460,14,FALSE)</f>
        <v>60</v>
      </c>
      <c r="AD329" s="60">
        <f t="shared" si="5"/>
        <v>1740</v>
      </c>
      <c r="AE329" s="66">
        <f>Integrated[[#This Row],[Flu Deaths &lt;5 years old]]/Integrated[[#This Row],[Population &lt;5 years]]</f>
        <v>1.7975535296461517E-4</v>
      </c>
      <c r="AF329" s="67">
        <f>Integrated[[#This Row],[Flu Deaths 5 to 14 years]]/Integrated[[#This Row],[Population 5 to 14 years]]</f>
        <v>4.4542801549198639E-5</v>
      </c>
      <c r="AG329" s="67">
        <f>Integrated[[#This Row],[Flu Deaths 15 to 24 years]]/Integrated[[#This Row],[Population 15 to 24 years]]</f>
        <v>4.3937020674565077E-5</v>
      </c>
      <c r="AH329" s="67">
        <f>Integrated[[#This Row],[Flu Deaths 25 to 34 years]]/Integrated[[#This Row],[Population 25 to 34 years]]</f>
        <v>4.5913576874249601E-5</v>
      </c>
      <c r="AI329" s="67">
        <f>Integrated[[#This Row],[Flu Deaths 35 to 44 years]]/Integrated[[#This Row],[Population 35 to 44 years]]</f>
        <v>4.3807387677857992E-5</v>
      </c>
      <c r="AJ329" s="67">
        <f>Integrated[[#This Row],[Flu Deaths 45 to 54 years]]/Integrated[[#This Row],[Population 45 to 54 years]]</f>
        <v>5.0511953505232444E-5</v>
      </c>
      <c r="AK329" s="67">
        <f>Integrated[[#This Row],[Flu Deaths 55 to 64 years]]/Integrated[[#This Row],[Population 55 to 64 years]]</f>
        <v>1.2877433738876396E-4</v>
      </c>
      <c r="AL329" s="67">
        <f>Integrated[[#This Row],[Flu Deaths 65 to 74 years]]/Integrated[[#This Row],[Population 65 to 74 years]]</f>
        <v>2.7892268632791564E-4</v>
      </c>
      <c r="AM329" s="67">
        <f>Integrated[[#This Row],[Flu Deaths 75 to 84 years]]/Integrated[[#This Row],[Population 75 to 84 years]]</f>
        <v>1.3746223069377418E-3</v>
      </c>
      <c r="AN329" s="67">
        <f>Integrated[[#This Row],[Flu Deaths 85+ years]]/Integrated[[#This Row],[Population 85+ years]]</f>
        <v>4.7097287266943538E-3</v>
      </c>
      <c r="AO329" s="68">
        <f>Integrated[[#This Row],[Total Flu Deaths]]/Integrated[[#This Row],[Total population]]</f>
        <v>1.841287572187203E-4</v>
      </c>
    </row>
    <row r="330" spans="1:41" x14ac:dyDescent="0.3">
      <c r="A330" s="44" t="s">
        <v>315</v>
      </c>
      <c r="B330" t="s">
        <v>257</v>
      </c>
      <c r="C330" s="45">
        <v>2010</v>
      </c>
      <c r="D330" s="51">
        <v>6137920</v>
      </c>
      <c r="E330" s="2">
        <v>2991101</v>
      </c>
      <c r="F330" s="2">
        <v>3146820</v>
      </c>
      <c r="G330" s="78">
        <f>Integrated[[#This Row],[Female Total population]]/Integrated[[#This Row],[Total population]]</f>
        <v>0.51268507898441162</v>
      </c>
      <c r="H330" s="2">
        <v>397337</v>
      </c>
      <c r="I330" s="2">
        <v>812692</v>
      </c>
      <c r="J330" s="2">
        <v>836601</v>
      </c>
      <c r="K330" s="2">
        <v>807646</v>
      </c>
      <c r="L330" s="2">
        <v>859078</v>
      </c>
      <c r="M330" s="2">
        <v>894744</v>
      </c>
      <c r="N330" s="2">
        <v>729760</v>
      </c>
      <c r="O330" s="2">
        <v>449795</v>
      </c>
      <c r="P330" s="2">
        <v>258414</v>
      </c>
      <c r="Q330" s="52">
        <v>93003</v>
      </c>
      <c r="R330" s="127">
        <f>Integrated[[#This Row],[Population 85+ years]]/Integrated[[#This Row],[Total population]]</f>
        <v>1.5152201397215995E-2</v>
      </c>
      <c r="S330" s="58">
        <v>120</v>
      </c>
      <c r="T330" s="59">
        <v>60</v>
      </c>
      <c r="U330" s="59">
        <v>60</v>
      </c>
      <c r="V330" s="59">
        <v>60</v>
      </c>
      <c r="W330" s="59">
        <v>60</v>
      </c>
      <c r="X330" s="59">
        <v>60</v>
      </c>
      <c r="Y330" s="59">
        <v>125</v>
      </c>
      <c r="Z330" s="59">
        <v>209</v>
      </c>
      <c r="AA330" s="59">
        <v>373</v>
      </c>
      <c r="AB330" s="59">
        <v>535</v>
      </c>
      <c r="AC330" s="59">
        <f>VLOOKUP($A330,'[1]Flu Deaths Updated'!$A$2:$N$460,14,FALSE)</f>
        <v>60</v>
      </c>
      <c r="AD330" s="60">
        <f t="shared" si="5"/>
        <v>1722</v>
      </c>
      <c r="AE330" s="66">
        <f>Integrated[[#This Row],[Flu Deaths &lt;5 years old]]/Integrated[[#This Row],[Population &lt;5 years]]</f>
        <v>3.0201063580789105E-4</v>
      </c>
      <c r="AF330" s="67">
        <f>Integrated[[#This Row],[Flu Deaths 5 to 14 years]]/Integrated[[#This Row],[Population 5 to 14 years]]</f>
        <v>7.3828707554645542E-5</v>
      </c>
      <c r="AG330" s="67">
        <f>Integrated[[#This Row],[Flu Deaths 15 to 24 years]]/Integrated[[#This Row],[Population 15 to 24 years]]</f>
        <v>7.1718776334238181E-5</v>
      </c>
      <c r="AH330" s="67">
        <f>Integrated[[#This Row],[Flu Deaths 25 to 34 years]]/Integrated[[#This Row],[Population 25 to 34 years]]</f>
        <v>7.4289973577532727E-5</v>
      </c>
      <c r="AI330" s="67">
        <f>Integrated[[#This Row],[Flu Deaths 35 to 44 years]]/Integrated[[#This Row],[Population 35 to 44 years]]</f>
        <v>6.9842319323740098E-5</v>
      </c>
      <c r="AJ330" s="67">
        <f>Integrated[[#This Row],[Flu Deaths 45 to 54 years]]/Integrated[[#This Row],[Population 45 to 54 years]]</f>
        <v>6.7058287063115256E-5</v>
      </c>
      <c r="AK330" s="67">
        <f>Integrated[[#This Row],[Flu Deaths 55 to 64 years]]/Integrated[[#This Row],[Population 55 to 64 years]]</f>
        <v>1.7128919096689324E-4</v>
      </c>
      <c r="AL330" s="67">
        <f>Integrated[[#This Row],[Flu Deaths 65 to 74 years]]/Integrated[[#This Row],[Population 65 to 74 years]]</f>
        <v>4.6465612112184441E-4</v>
      </c>
      <c r="AM330" s="67">
        <f>Integrated[[#This Row],[Flu Deaths 75 to 84 years]]/Integrated[[#This Row],[Population 75 to 84 years]]</f>
        <v>1.4434202481289713E-3</v>
      </c>
      <c r="AN330" s="67">
        <f>Integrated[[#This Row],[Flu Deaths 85+ years]]/Integrated[[#This Row],[Population 85+ years]]</f>
        <v>5.752502607442771E-3</v>
      </c>
      <c r="AO330" s="68">
        <f>Integrated[[#This Row],[Total Flu Deaths]]/Integrated[[#This Row],[Total population]]</f>
        <v>2.8055106615922006E-4</v>
      </c>
    </row>
    <row r="331" spans="1:41" x14ac:dyDescent="0.3">
      <c r="A331" s="44" t="s">
        <v>395</v>
      </c>
      <c r="B331" t="s">
        <v>391</v>
      </c>
      <c r="C331" s="45">
        <v>2009</v>
      </c>
      <c r="D331" s="51">
        <v>6342469</v>
      </c>
      <c r="E331" s="2">
        <v>3120257</v>
      </c>
      <c r="F331" s="2">
        <v>3222214</v>
      </c>
      <c r="G331" s="78">
        <f>Integrated[[#This Row],[Female Total population]]/Integrated[[#This Row],[Total population]]</f>
        <v>0.50803780042125546</v>
      </c>
      <c r="H331" s="2">
        <v>441561</v>
      </c>
      <c r="I331" s="2">
        <v>872486</v>
      </c>
      <c r="J331" s="2">
        <v>909046</v>
      </c>
      <c r="K331" s="2">
        <v>826894</v>
      </c>
      <c r="L331" s="2">
        <v>878845</v>
      </c>
      <c r="M331" s="2">
        <v>924560</v>
      </c>
      <c r="N331" s="2">
        <v>687797</v>
      </c>
      <c r="O331" s="2">
        <v>412449</v>
      </c>
      <c r="P331" s="2">
        <v>277976</v>
      </c>
      <c r="Q331" s="52">
        <v>108382</v>
      </c>
      <c r="R331" s="127">
        <f>Integrated[[#This Row],[Population 85+ years]]/Integrated[[#This Row],[Total population]]</f>
        <v>1.7088297948322648E-2</v>
      </c>
      <c r="S331" s="58">
        <v>120</v>
      </c>
      <c r="T331" s="59">
        <v>60</v>
      </c>
      <c r="U331" s="59">
        <v>60</v>
      </c>
      <c r="V331" s="59">
        <v>60</v>
      </c>
      <c r="W331" s="59">
        <v>60</v>
      </c>
      <c r="X331" s="59">
        <v>60</v>
      </c>
      <c r="Y331" s="59">
        <v>85</v>
      </c>
      <c r="Z331" s="59">
        <v>118</v>
      </c>
      <c r="AA331" s="59">
        <v>296</v>
      </c>
      <c r="AB331" s="59">
        <v>537</v>
      </c>
      <c r="AC331" s="59">
        <f>VLOOKUP($A331,'[1]Flu Deaths Updated'!$A$2:$N$460,14,FALSE)</f>
        <v>60</v>
      </c>
      <c r="AD331" s="60">
        <f t="shared" si="5"/>
        <v>1516</v>
      </c>
      <c r="AE331" s="66">
        <f>Integrated[[#This Row],[Flu Deaths &lt;5 years old]]/Integrated[[#This Row],[Population &lt;5 years]]</f>
        <v>2.7176313125479832E-4</v>
      </c>
      <c r="AF331" s="67">
        <f>Integrated[[#This Row],[Flu Deaths 5 to 14 years]]/Integrated[[#This Row],[Population 5 to 14 years]]</f>
        <v>6.8769011766377916E-5</v>
      </c>
      <c r="AG331" s="67">
        <f>Integrated[[#This Row],[Flu Deaths 15 to 24 years]]/Integrated[[#This Row],[Population 15 to 24 years]]</f>
        <v>6.6003260561071713E-5</v>
      </c>
      <c r="AH331" s="67">
        <f>Integrated[[#This Row],[Flu Deaths 25 to 34 years]]/Integrated[[#This Row],[Population 25 to 34 years]]</f>
        <v>7.2560690971273223E-5</v>
      </c>
      <c r="AI331" s="67">
        <f>Integrated[[#This Row],[Flu Deaths 35 to 44 years]]/Integrated[[#This Row],[Population 35 to 44 years]]</f>
        <v>6.8271424426377802E-5</v>
      </c>
      <c r="AJ331" s="67">
        <f>Integrated[[#This Row],[Flu Deaths 45 to 54 years]]/Integrated[[#This Row],[Population 45 to 54 years]]</f>
        <v>6.4895734187072772E-5</v>
      </c>
      <c r="AK331" s="67">
        <f>Integrated[[#This Row],[Flu Deaths 55 to 64 years]]/Integrated[[#This Row],[Population 55 to 64 years]]</f>
        <v>1.2358297579082199E-4</v>
      </c>
      <c r="AL331" s="67">
        <f>Integrated[[#This Row],[Flu Deaths 65 to 74 years]]/Integrated[[#This Row],[Population 65 to 74 years]]</f>
        <v>2.8609597792696797E-4</v>
      </c>
      <c r="AM331" s="67">
        <f>Integrated[[#This Row],[Flu Deaths 75 to 84 years]]/Integrated[[#This Row],[Population 75 to 84 years]]</f>
        <v>1.0648401300831726E-3</v>
      </c>
      <c r="AN331" s="67">
        <f>Integrated[[#This Row],[Flu Deaths 85+ years]]/Integrated[[#This Row],[Population 85+ years]]</f>
        <v>4.9546972744551679E-3</v>
      </c>
      <c r="AO331" s="68">
        <f>Integrated[[#This Row],[Total Flu Deaths]]/Integrated[[#This Row],[Total population]]</f>
        <v>2.3902363574816054E-4</v>
      </c>
    </row>
    <row r="332" spans="1:41" x14ac:dyDescent="0.3">
      <c r="A332" s="44" t="s">
        <v>487</v>
      </c>
      <c r="B332" t="s">
        <v>483</v>
      </c>
      <c r="C332" s="45">
        <v>2011</v>
      </c>
      <c r="D332" s="51">
        <v>9452654</v>
      </c>
      <c r="E332" s="2">
        <v>4617735</v>
      </c>
      <c r="F332" s="2">
        <v>4834924</v>
      </c>
      <c r="G332" s="78">
        <f>Integrated[[#This Row],[Female Total population]]/Integrated[[#This Row],[Total population]]</f>
        <v>0.51148851952054941</v>
      </c>
      <c r="H332" s="2">
        <v>679925</v>
      </c>
      <c r="I332" s="2">
        <v>1352063</v>
      </c>
      <c r="J332" s="2">
        <v>1369095</v>
      </c>
      <c r="K332" s="2">
        <v>1310186</v>
      </c>
      <c r="L332" s="2">
        <v>1393481</v>
      </c>
      <c r="M332" s="2">
        <v>1345956</v>
      </c>
      <c r="N332" s="2">
        <v>1018275</v>
      </c>
      <c r="O332" s="2">
        <v>573591</v>
      </c>
      <c r="P332" s="2">
        <v>302462</v>
      </c>
      <c r="Q332" s="52">
        <v>110113</v>
      </c>
      <c r="R332" s="127">
        <f>Integrated[[#This Row],[Population 85+ years]]/Integrated[[#This Row],[Total population]]</f>
        <v>1.1648897759295961E-2</v>
      </c>
      <c r="S332" s="58">
        <v>120</v>
      </c>
      <c r="T332" s="59">
        <v>60</v>
      </c>
      <c r="U332" s="59">
        <v>60</v>
      </c>
      <c r="V332" s="59">
        <v>60</v>
      </c>
      <c r="W332" s="59">
        <v>67</v>
      </c>
      <c r="X332" s="59">
        <v>60</v>
      </c>
      <c r="Y332" s="59">
        <v>145</v>
      </c>
      <c r="Z332" s="59">
        <v>253</v>
      </c>
      <c r="AA332" s="59">
        <v>376</v>
      </c>
      <c r="AB332" s="59">
        <v>544</v>
      </c>
      <c r="AC332" s="59">
        <f>VLOOKUP($A332,'[1]Flu Deaths Updated'!$A$2:$N$460,14,FALSE)</f>
        <v>60</v>
      </c>
      <c r="AD332" s="60">
        <f t="shared" si="5"/>
        <v>1805</v>
      </c>
      <c r="AE332" s="66">
        <f>Integrated[[#This Row],[Flu Deaths &lt;5 years old]]/Integrated[[#This Row],[Population &lt;5 years]]</f>
        <v>1.7649005405007904E-4</v>
      </c>
      <c r="AF332" s="67">
        <f>Integrated[[#This Row],[Flu Deaths 5 to 14 years]]/Integrated[[#This Row],[Population 5 to 14 years]]</f>
        <v>4.4376630378909855E-5</v>
      </c>
      <c r="AG332" s="67">
        <f>Integrated[[#This Row],[Flu Deaths 15 to 24 years]]/Integrated[[#This Row],[Population 15 to 24 years]]</f>
        <v>4.3824570245308031E-5</v>
      </c>
      <c r="AH332" s="67">
        <f>Integrated[[#This Row],[Flu Deaths 25 to 34 years]]/Integrated[[#This Row],[Population 25 to 34 years]]</f>
        <v>4.5795024523235633E-5</v>
      </c>
      <c r="AI332" s="67">
        <f>Integrated[[#This Row],[Flu Deaths 35 to 44 years]]/Integrated[[#This Row],[Population 35 to 44 years]]</f>
        <v>4.3057637671414252E-5</v>
      </c>
      <c r="AJ332" s="67">
        <f>Integrated[[#This Row],[Flu Deaths 45 to 54 years]]/Integrated[[#This Row],[Population 45 to 54 years]]</f>
        <v>4.977874462463855E-5</v>
      </c>
      <c r="AK332" s="67">
        <f>Integrated[[#This Row],[Flu Deaths 55 to 64 years]]/Integrated[[#This Row],[Population 55 to 64 years]]</f>
        <v>1.4239768235496306E-4</v>
      </c>
      <c r="AL332" s="67">
        <f>Integrated[[#This Row],[Flu Deaths 65 to 74 years]]/Integrated[[#This Row],[Population 65 to 74 years]]</f>
        <v>4.4108083983186627E-4</v>
      </c>
      <c r="AM332" s="67">
        <f>Integrated[[#This Row],[Flu Deaths 75 to 84 years]]/Integrated[[#This Row],[Population 75 to 84 years]]</f>
        <v>1.2431313685686135E-3</v>
      </c>
      <c r="AN332" s="67">
        <f>Integrated[[#This Row],[Flu Deaths 85+ years]]/Integrated[[#This Row],[Population 85+ years]]</f>
        <v>4.9403794284053658E-3</v>
      </c>
      <c r="AO332" s="68">
        <f>Integrated[[#This Row],[Total Flu Deaths]]/Integrated[[#This Row],[Total population]]</f>
        <v>1.9095166288748112E-4</v>
      </c>
    </row>
    <row r="333" spans="1:41" x14ac:dyDescent="0.3">
      <c r="A333" s="44" t="s">
        <v>275</v>
      </c>
      <c r="B333" t="s">
        <v>257</v>
      </c>
      <c r="C333" s="45">
        <v>2017</v>
      </c>
      <c r="D333" s="51">
        <v>6296816</v>
      </c>
      <c r="E333" s="2">
        <v>3072080</v>
      </c>
      <c r="F333" s="2">
        <v>3224740</v>
      </c>
      <c r="G333" s="78">
        <f>Integrated[[#This Row],[Female Total population]]/Integrated[[#This Row],[Total population]]</f>
        <v>0.51212231705674738</v>
      </c>
      <c r="H333" s="2">
        <v>387628</v>
      </c>
      <c r="I333" s="2">
        <v>803057</v>
      </c>
      <c r="J333" s="2">
        <v>846032</v>
      </c>
      <c r="K333" s="2">
        <v>846954</v>
      </c>
      <c r="L333" s="2">
        <v>802030</v>
      </c>
      <c r="M333" s="2">
        <v>850639</v>
      </c>
      <c r="N333" s="2">
        <v>810895</v>
      </c>
      <c r="O333" s="2">
        <v>565214</v>
      </c>
      <c r="P333" s="2">
        <v>278563</v>
      </c>
      <c r="Q333" s="52">
        <v>105881</v>
      </c>
      <c r="R333" s="127">
        <f>Integrated[[#This Row],[Population 85+ years]]/Integrated[[#This Row],[Total population]]</f>
        <v>1.6815006187254004E-2</v>
      </c>
      <c r="S333" s="58">
        <v>120</v>
      </c>
      <c r="T333" s="59">
        <v>60</v>
      </c>
      <c r="U333" s="59">
        <v>60</v>
      </c>
      <c r="V333" s="59">
        <v>60</v>
      </c>
      <c r="W333" s="59">
        <v>88</v>
      </c>
      <c r="X333" s="59">
        <v>60</v>
      </c>
      <c r="Y333" s="59">
        <v>167</v>
      </c>
      <c r="Z333" s="59">
        <v>337</v>
      </c>
      <c r="AA333" s="59">
        <v>439</v>
      </c>
      <c r="AB333" s="59">
        <v>545</v>
      </c>
      <c r="AC333" s="59">
        <f>VLOOKUP($A333,'[1]Flu Deaths Updated'!$A$2:$N$460,14,FALSE)</f>
        <v>60</v>
      </c>
      <c r="AD333" s="60">
        <f t="shared" si="5"/>
        <v>1996</v>
      </c>
      <c r="AE333" s="66">
        <f>Integrated[[#This Row],[Flu Deaths &lt;5 years old]]/Integrated[[#This Row],[Population &lt;5 years]]</f>
        <v>3.0957515968918655E-4</v>
      </c>
      <c r="AF333" s="67">
        <f>Integrated[[#This Row],[Flu Deaths 5 to 14 years]]/Integrated[[#This Row],[Population 5 to 14 years]]</f>
        <v>7.4714497227469529E-5</v>
      </c>
      <c r="AG333" s="67">
        <f>Integrated[[#This Row],[Flu Deaths 15 to 24 years]]/Integrated[[#This Row],[Population 15 to 24 years]]</f>
        <v>7.0919303288764494E-5</v>
      </c>
      <c r="AH333" s="67">
        <f>Integrated[[#This Row],[Flu Deaths 25 to 34 years]]/Integrated[[#This Row],[Population 25 to 34 years]]</f>
        <v>7.0842100043213687E-5</v>
      </c>
      <c r="AI333" s="67">
        <f>Integrated[[#This Row],[Flu Deaths 35 to 44 years]]/Integrated[[#This Row],[Population 35 to 44 years]]</f>
        <v>7.4810169195665992E-5</v>
      </c>
      <c r="AJ333" s="67">
        <f>Integrated[[#This Row],[Flu Deaths 45 to 54 years]]/Integrated[[#This Row],[Population 45 to 54 years]]</f>
        <v>1.0345164047263293E-4</v>
      </c>
      <c r="AK333" s="67">
        <f>Integrated[[#This Row],[Flu Deaths 55 to 64 years]]/Integrated[[#This Row],[Population 55 to 64 years]]</f>
        <v>2.0594528268148157E-4</v>
      </c>
      <c r="AL333" s="67">
        <f>Integrated[[#This Row],[Flu Deaths 65 to 74 years]]/Integrated[[#This Row],[Population 65 to 74 years]]</f>
        <v>5.9623434663684906E-4</v>
      </c>
      <c r="AM333" s="67">
        <f>Integrated[[#This Row],[Flu Deaths 75 to 84 years]]/Integrated[[#This Row],[Population 75 to 84 years]]</f>
        <v>1.575945118339478E-3</v>
      </c>
      <c r="AN333" s="67">
        <f>Integrated[[#This Row],[Flu Deaths 85+ years]]/Integrated[[#This Row],[Population 85+ years]]</f>
        <v>5.1472879931243566E-3</v>
      </c>
      <c r="AO333" s="68">
        <f>Integrated[[#This Row],[Total Flu Deaths]]/Integrated[[#This Row],[Total population]]</f>
        <v>3.1698560034150593E-4</v>
      </c>
    </row>
    <row r="334" spans="1:41" x14ac:dyDescent="0.3">
      <c r="A334" s="44" t="s">
        <v>359</v>
      </c>
      <c r="B334" t="s">
        <v>318</v>
      </c>
      <c r="C334" s="45">
        <v>2012</v>
      </c>
      <c r="D334" s="51">
        <v>5551257</v>
      </c>
      <c r="E334" s="2">
        <v>2752306</v>
      </c>
      <c r="F334" s="2">
        <v>2798953</v>
      </c>
      <c r="G334" s="78">
        <f>Integrated[[#This Row],[Female Total population]]/Integrated[[#This Row],[Total population]]</f>
        <v>0.50420166099317687</v>
      </c>
      <c r="H334" s="2">
        <v>347272</v>
      </c>
      <c r="I334" s="2">
        <v>724655</v>
      </c>
      <c r="J334" s="2">
        <v>776828</v>
      </c>
      <c r="K334" s="2">
        <v>706551</v>
      </c>
      <c r="L334" s="2">
        <v>710508</v>
      </c>
      <c r="M334" s="2">
        <v>843066</v>
      </c>
      <c r="N334" s="2">
        <v>684932</v>
      </c>
      <c r="O334" s="2">
        <v>392143</v>
      </c>
      <c r="P334" s="2">
        <v>251923</v>
      </c>
      <c r="Q334" s="52">
        <v>112369</v>
      </c>
      <c r="R334" s="127">
        <f>Integrated[[#This Row],[Population 85+ years]]/Integrated[[#This Row],[Total population]]</f>
        <v>2.0242082108610716E-2</v>
      </c>
      <c r="S334" s="58">
        <v>120</v>
      </c>
      <c r="T334" s="59">
        <v>60</v>
      </c>
      <c r="U334" s="59">
        <v>60</v>
      </c>
      <c r="V334" s="59">
        <v>60</v>
      </c>
      <c r="W334" s="59">
        <v>60</v>
      </c>
      <c r="X334" s="59">
        <v>60</v>
      </c>
      <c r="Y334" s="59">
        <v>60</v>
      </c>
      <c r="Z334" s="59">
        <v>82</v>
      </c>
      <c r="AA334" s="59">
        <v>257</v>
      </c>
      <c r="AB334" s="59">
        <v>546</v>
      </c>
      <c r="AC334" s="59">
        <f>VLOOKUP($A334,'[1]Flu Deaths Updated'!$A$2:$N$460,14,FALSE)</f>
        <v>60</v>
      </c>
      <c r="AD334" s="60">
        <f t="shared" si="5"/>
        <v>1425</v>
      </c>
      <c r="AE334" s="66">
        <f>Integrated[[#This Row],[Flu Deaths &lt;5 years old]]/Integrated[[#This Row],[Population &lt;5 years]]</f>
        <v>3.4555046188578404E-4</v>
      </c>
      <c r="AF334" s="67">
        <f>Integrated[[#This Row],[Flu Deaths 5 to 14 years]]/Integrated[[#This Row],[Population 5 to 14 years]]</f>
        <v>8.2798021127295052E-5</v>
      </c>
      <c r="AG334" s="67">
        <f>Integrated[[#This Row],[Flu Deaths 15 to 24 years]]/Integrated[[#This Row],[Population 15 to 24 years]]</f>
        <v>7.7237174767129919E-5</v>
      </c>
      <c r="AH334" s="67">
        <f>Integrated[[#This Row],[Flu Deaths 25 to 34 years]]/Integrated[[#This Row],[Population 25 to 34 years]]</f>
        <v>8.4919559946840351E-5</v>
      </c>
      <c r="AI334" s="67">
        <f>Integrated[[#This Row],[Flu Deaths 35 to 44 years]]/Integrated[[#This Row],[Population 35 to 44 years]]</f>
        <v>8.4446621290682161E-5</v>
      </c>
      <c r="AJ334" s="67">
        <f>Integrated[[#This Row],[Flu Deaths 45 to 54 years]]/Integrated[[#This Row],[Population 45 to 54 years]]</f>
        <v>7.1168805289265603E-5</v>
      </c>
      <c r="AK334" s="67">
        <f>Integrated[[#This Row],[Flu Deaths 55 to 64 years]]/Integrated[[#This Row],[Population 55 to 64 years]]</f>
        <v>8.7599936928045414E-5</v>
      </c>
      <c r="AL334" s="67">
        <f>Integrated[[#This Row],[Flu Deaths 65 to 74 years]]/Integrated[[#This Row],[Population 65 to 74 years]]</f>
        <v>2.0910739194630529E-4</v>
      </c>
      <c r="AM334" s="67">
        <f>Integrated[[#This Row],[Flu Deaths 75 to 84 years]]/Integrated[[#This Row],[Population 75 to 84 years]]</f>
        <v>1.0201529832528193E-3</v>
      </c>
      <c r="AN334" s="67">
        <f>Integrated[[#This Row],[Flu Deaths 85+ years]]/Integrated[[#This Row],[Population 85+ years]]</f>
        <v>4.8589913588267227E-3</v>
      </c>
      <c r="AO334" s="68">
        <f>Integrated[[#This Row],[Total Flu Deaths]]/Integrated[[#This Row],[Total population]]</f>
        <v>2.5669861798868255E-4</v>
      </c>
    </row>
    <row r="335" spans="1:41" x14ac:dyDescent="0.3">
      <c r="A335" s="44" t="s">
        <v>518</v>
      </c>
      <c r="B335" t="s">
        <v>472</v>
      </c>
      <c r="C335" s="45">
        <v>2010</v>
      </c>
      <c r="D335" s="51">
        <v>8721577</v>
      </c>
      <c r="E335" s="2">
        <v>4244502</v>
      </c>
      <c r="F335" s="2">
        <v>4477075</v>
      </c>
      <c r="G335" s="78">
        <f>Integrated[[#This Row],[Female Total population]]/Integrated[[#This Row],[Total population]]</f>
        <v>0.51333319650792508</v>
      </c>
      <c r="H335" s="2">
        <v>547067</v>
      </c>
      <c r="I335" s="2">
        <v>1156244</v>
      </c>
      <c r="J335" s="2">
        <v>1127554</v>
      </c>
      <c r="K335" s="2">
        <v>1096924</v>
      </c>
      <c r="L335" s="2">
        <v>1294306</v>
      </c>
      <c r="M335" s="2">
        <v>1350582</v>
      </c>
      <c r="N335" s="2">
        <v>993167</v>
      </c>
      <c r="O335" s="2">
        <v>586248</v>
      </c>
      <c r="P335" s="2">
        <v>402962</v>
      </c>
      <c r="Q335" s="52">
        <v>166423</v>
      </c>
      <c r="R335" s="127">
        <f>Integrated[[#This Row],[Population 85+ years]]/Integrated[[#This Row],[Total population]]</f>
        <v>1.9081755512793157E-2</v>
      </c>
      <c r="S335" s="58">
        <v>120</v>
      </c>
      <c r="T335" s="59">
        <v>60</v>
      </c>
      <c r="U335" s="59">
        <v>60</v>
      </c>
      <c r="V335" s="59">
        <v>60</v>
      </c>
      <c r="W335" s="59">
        <v>60</v>
      </c>
      <c r="X335" s="59">
        <v>60</v>
      </c>
      <c r="Y335" s="59">
        <v>76</v>
      </c>
      <c r="Z335" s="59">
        <v>117</v>
      </c>
      <c r="AA335" s="59">
        <v>286</v>
      </c>
      <c r="AB335" s="59">
        <v>546</v>
      </c>
      <c r="AC335" s="59">
        <f>VLOOKUP($A335,'[1]Flu Deaths Updated'!$A$2:$N$460,14,FALSE)</f>
        <v>60</v>
      </c>
      <c r="AD335" s="60">
        <f t="shared" si="5"/>
        <v>1505</v>
      </c>
      <c r="AE335" s="66">
        <f>Integrated[[#This Row],[Flu Deaths &lt;5 years old]]/Integrated[[#This Row],[Population &lt;5 years]]</f>
        <v>2.1935156022936863E-4</v>
      </c>
      <c r="AF335" s="67">
        <f>Integrated[[#This Row],[Flu Deaths 5 to 14 years]]/Integrated[[#This Row],[Population 5 to 14 years]]</f>
        <v>5.1892161170133639E-5</v>
      </c>
      <c r="AG335" s="67">
        <f>Integrated[[#This Row],[Flu Deaths 15 to 24 years]]/Integrated[[#This Row],[Population 15 to 24 years]]</f>
        <v>5.3212529067344003E-5</v>
      </c>
      <c r="AH335" s="67">
        <f>Integrated[[#This Row],[Flu Deaths 25 to 34 years]]/Integrated[[#This Row],[Population 25 to 34 years]]</f>
        <v>5.4698411193482865E-5</v>
      </c>
      <c r="AI335" s="67">
        <f>Integrated[[#This Row],[Flu Deaths 35 to 44 years]]/Integrated[[#This Row],[Population 35 to 44 years]]</f>
        <v>4.6356889329107645E-5</v>
      </c>
      <c r="AJ335" s="67">
        <f>Integrated[[#This Row],[Flu Deaths 45 to 54 years]]/Integrated[[#This Row],[Population 45 to 54 years]]</f>
        <v>4.4425292207359494E-5</v>
      </c>
      <c r="AK335" s="67">
        <f>Integrated[[#This Row],[Flu Deaths 55 to 64 years]]/Integrated[[#This Row],[Population 55 to 64 years]]</f>
        <v>7.65228808448126E-5</v>
      </c>
      <c r="AL335" s="67">
        <f>Integrated[[#This Row],[Flu Deaths 65 to 74 years]]/Integrated[[#This Row],[Population 65 to 74 years]]</f>
        <v>1.9957424161788184E-4</v>
      </c>
      <c r="AM335" s="67">
        <f>Integrated[[#This Row],[Flu Deaths 75 to 84 years]]/Integrated[[#This Row],[Population 75 to 84 years]]</f>
        <v>7.0974434313905526E-4</v>
      </c>
      <c r="AN335" s="67">
        <f>Integrated[[#This Row],[Flu Deaths 85+ years]]/Integrated[[#This Row],[Population 85+ years]]</f>
        <v>3.2807965245188466E-3</v>
      </c>
      <c r="AO335" s="68">
        <f>Integrated[[#This Row],[Total Flu Deaths]]/Integrated[[#This Row],[Total population]]</f>
        <v>1.7256053578383818E-4</v>
      </c>
    </row>
    <row r="336" spans="1:41" x14ac:dyDescent="0.3">
      <c r="A336" s="44" t="s">
        <v>390</v>
      </c>
      <c r="B336" t="s">
        <v>391</v>
      </c>
      <c r="C336" s="45">
        <v>2010</v>
      </c>
      <c r="D336" s="51">
        <v>6416963</v>
      </c>
      <c r="E336" s="2">
        <v>3155070</v>
      </c>
      <c r="F336" s="2">
        <v>3261894</v>
      </c>
      <c r="G336" s="78">
        <f>Integrated[[#This Row],[Female Total population]]/Integrated[[#This Row],[Total population]]</f>
        <v>0.50832364157312426</v>
      </c>
      <c r="H336" s="2">
        <v>434314</v>
      </c>
      <c r="I336" s="2">
        <v>892450</v>
      </c>
      <c r="J336" s="2">
        <v>925443</v>
      </c>
      <c r="K336" s="2">
        <v>821699</v>
      </c>
      <c r="L336" s="2">
        <v>867650</v>
      </c>
      <c r="M336" s="2">
        <v>937879</v>
      </c>
      <c r="N336" s="2">
        <v>722495</v>
      </c>
      <c r="O336" s="2">
        <v>429639</v>
      </c>
      <c r="P336" s="2">
        <v>279328</v>
      </c>
      <c r="Q336" s="52">
        <v>107898</v>
      </c>
      <c r="R336" s="127">
        <f>Integrated[[#This Row],[Population 85+ years]]/Integrated[[#This Row],[Total population]]</f>
        <v>1.6814496203266249E-2</v>
      </c>
      <c r="S336" s="58">
        <v>120</v>
      </c>
      <c r="T336" s="59">
        <v>60</v>
      </c>
      <c r="U336" s="59">
        <v>60</v>
      </c>
      <c r="V336" s="59">
        <v>60</v>
      </c>
      <c r="W336" s="59">
        <v>65</v>
      </c>
      <c r="X336" s="59">
        <v>60</v>
      </c>
      <c r="Y336" s="59">
        <v>83</v>
      </c>
      <c r="Z336" s="59">
        <v>116</v>
      </c>
      <c r="AA336" s="59">
        <v>311</v>
      </c>
      <c r="AB336" s="59">
        <v>549</v>
      </c>
      <c r="AC336" s="59">
        <f>VLOOKUP($A336,'[1]Flu Deaths Updated'!$A$2:$N$460,14,FALSE)</f>
        <v>60</v>
      </c>
      <c r="AD336" s="60">
        <f t="shared" si="5"/>
        <v>1544</v>
      </c>
      <c r="AE336" s="66">
        <f>Integrated[[#This Row],[Flu Deaths &lt;5 years old]]/Integrated[[#This Row],[Population &lt;5 years]]</f>
        <v>2.762977937621168E-4</v>
      </c>
      <c r="AF336" s="67">
        <f>Integrated[[#This Row],[Flu Deaths 5 to 14 years]]/Integrated[[#This Row],[Population 5 to 14 years]]</f>
        <v>6.7230657179673925E-5</v>
      </c>
      <c r="AG336" s="67">
        <f>Integrated[[#This Row],[Flu Deaths 15 to 24 years]]/Integrated[[#This Row],[Population 15 to 24 years]]</f>
        <v>6.4833814724407656E-5</v>
      </c>
      <c r="AH336" s="67">
        <f>Integrated[[#This Row],[Flu Deaths 25 to 34 years]]/Integrated[[#This Row],[Population 25 to 34 years]]</f>
        <v>7.3019438991650228E-5</v>
      </c>
      <c r="AI336" s="67">
        <f>Integrated[[#This Row],[Flu Deaths 35 to 44 years]]/Integrated[[#This Row],[Population 35 to 44 years]]</f>
        <v>6.9152307958278105E-5</v>
      </c>
      <c r="AJ336" s="67">
        <f>Integrated[[#This Row],[Flu Deaths 45 to 54 years]]/Integrated[[#This Row],[Population 45 to 54 years]]</f>
        <v>6.930531550445206E-5</v>
      </c>
      <c r="AK336" s="67">
        <f>Integrated[[#This Row],[Flu Deaths 55 to 64 years]]/Integrated[[#This Row],[Population 55 to 64 years]]</f>
        <v>1.1487968774870415E-4</v>
      </c>
      <c r="AL336" s="67">
        <f>Integrated[[#This Row],[Flu Deaths 65 to 74 years]]/Integrated[[#This Row],[Population 65 to 74 years]]</f>
        <v>2.6999411133533035E-4</v>
      </c>
      <c r="AM336" s="67">
        <f>Integrated[[#This Row],[Flu Deaths 75 to 84 years]]/Integrated[[#This Row],[Population 75 to 84 years]]</f>
        <v>1.1133864131057396E-3</v>
      </c>
      <c r="AN336" s="67">
        <f>Integrated[[#This Row],[Flu Deaths 85+ years]]/Integrated[[#This Row],[Population 85+ years]]</f>
        <v>5.0881387977534335E-3</v>
      </c>
      <c r="AO336" s="68">
        <f>Integrated[[#This Row],[Total Flu Deaths]]/Integrated[[#This Row],[Total population]]</f>
        <v>2.406122647115154E-4</v>
      </c>
    </row>
    <row r="337" spans="1:41" x14ac:dyDescent="0.3">
      <c r="A337" s="44" t="s">
        <v>459</v>
      </c>
      <c r="B337" t="s">
        <v>382</v>
      </c>
      <c r="C337" s="45">
        <v>2009</v>
      </c>
      <c r="D337" s="51">
        <v>7678761</v>
      </c>
      <c r="E337" s="2">
        <v>3772899</v>
      </c>
      <c r="F337" s="2">
        <v>3905862</v>
      </c>
      <c r="G337" s="78">
        <f>Integrated[[#This Row],[Female Total population]]/Integrated[[#This Row],[Total population]]</f>
        <v>0.50865784206592701</v>
      </c>
      <c r="H337" s="2">
        <v>519889</v>
      </c>
      <c r="I337" s="2">
        <v>991496</v>
      </c>
      <c r="J337" s="2">
        <v>1107600</v>
      </c>
      <c r="K337" s="2">
        <v>1039954</v>
      </c>
      <c r="L337" s="2">
        <v>1140934</v>
      </c>
      <c r="M337" s="2">
        <v>1134108</v>
      </c>
      <c r="N337" s="2">
        <v>847182</v>
      </c>
      <c r="O337" s="2">
        <v>488724</v>
      </c>
      <c r="P337" s="2">
        <v>299178</v>
      </c>
      <c r="Q337" s="52">
        <v>111360</v>
      </c>
      <c r="R337" s="127">
        <f>Integrated[[#This Row],[Population 85+ years]]/Integrated[[#This Row],[Total population]]</f>
        <v>1.450233963526147E-2</v>
      </c>
      <c r="S337" s="58">
        <v>120</v>
      </c>
      <c r="T337" s="59">
        <v>60</v>
      </c>
      <c r="U337" s="59">
        <v>60</v>
      </c>
      <c r="V337" s="59">
        <v>60</v>
      </c>
      <c r="W337" s="59">
        <v>65</v>
      </c>
      <c r="X337" s="59">
        <v>60</v>
      </c>
      <c r="Y337" s="59">
        <v>79</v>
      </c>
      <c r="Z337" s="59">
        <v>130</v>
      </c>
      <c r="AA337" s="59">
        <v>351</v>
      </c>
      <c r="AB337" s="59">
        <v>550</v>
      </c>
      <c r="AC337" s="59">
        <f>VLOOKUP($A337,'[1]Flu Deaths Updated'!$A$2:$N$460,14,FALSE)</f>
        <v>60</v>
      </c>
      <c r="AD337" s="60">
        <f t="shared" si="5"/>
        <v>1595</v>
      </c>
      <c r="AE337" s="66">
        <f>Integrated[[#This Row],[Flu Deaths &lt;5 years old]]/Integrated[[#This Row],[Population &lt;5 years]]</f>
        <v>2.3081850164169659E-4</v>
      </c>
      <c r="AF337" s="67">
        <f>Integrated[[#This Row],[Flu Deaths 5 to 14 years]]/Integrated[[#This Row],[Population 5 to 14 years]]</f>
        <v>6.0514616296989601E-5</v>
      </c>
      <c r="AG337" s="67">
        <f>Integrated[[#This Row],[Flu Deaths 15 to 24 years]]/Integrated[[#This Row],[Population 15 to 24 years]]</f>
        <v>5.4171180931744312E-5</v>
      </c>
      <c r="AH337" s="67">
        <f>Integrated[[#This Row],[Flu Deaths 25 to 34 years]]/Integrated[[#This Row],[Population 25 to 34 years]]</f>
        <v>5.7694859580327592E-5</v>
      </c>
      <c r="AI337" s="67">
        <f>Integrated[[#This Row],[Flu Deaths 35 to 44 years]]/Integrated[[#This Row],[Population 35 to 44 years]]</f>
        <v>5.2588493287078833E-5</v>
      </c>
      <c r="AJ337" s="67">
        <f>Integrated[[#This Row],[Flu Deaths 45 to 54 years]]/Integrated[[#This Row],[Population 45 to 54 years]]</f>
        <v>5.7313765532030458E-5</v>
      </c>
      <c r="AK337" s="67">
        <f>Integrated[[#This Row],[Flu Deaths 55 to 64 years]]/Integrated[[#This Row],[Population 55 to 64 years]]</f>
        <v>9.32503287369184E-5</v>
      </c>
      <c r="AL337" s="67">
        <f>Integrated[[#This Row],[Flu Deaths 65 to 74 years]]/Integrated[[#This Row],[Population 65 to 74 years]]</f>
        <v>2.659988050515219E-4</v>
      </c>
      <c r="AM337" s="67">
        <f>Integrated[[#This Row],[Flu Deaths 75 to 84 years]]/Integrated[[#This Row],[Population 75 to 84 years]]</f>
        <v>1.1732146080259912E-3</v>
      </c>
      <c r="AN337" s="67">
        <f>Integrated[[#This Row],[Flu Deaths 85+ years]]/Integrated[[#This Row],[Population 85+ years]]</f>
        <v>4.9389367816091954E-3</v>
      </c>
      <c r="AO337" s="68">
        <f>Integrated[[#This Row],[Total Flu Deaths]]/Integrated[[#This Row],[Total population]]</f>
        <v>2.0771580206754709E-4</v>
      </c>
    </row>
    <row r="338" spans="1:41" x14ac:dyDescent="0.3">
      <c r="A338" s="44" t="s">
        <v>308</v>
      </c>
      <c r="B338" t="s">
        <v>257</v>
      </c>
      <c r="C338" s="45">
        <v>2011</v>
      </c>
      <c r="D338" s="51">
        <v>6223260</v>
      </c>
      <c r="E338" s="2">
        <v>3033778</v>
      </c>
      <c r="F338" s="2">
        <v>3189483</v>
      </c>
      <c r="G338" s="78">
        <f>Integrated[[#This Row],[Female Total population]]/Integrated[[#This Row],[Total population]]</f>
        <v>0.51251000279596226</v>
      </c>
      <c r="H338" s="2">
        <v>402450</v>
      </c>
      <c r="I338" s="2">
        <v>820576</v>
      </c>
      <c r="J338" s="2">
        <v>850119</v>
      </c>
      <c r="K338" s="2">
        <v>814926</v>
      </c>
      <c r="L338" s="2">
        <v>854313</v>
      </c>
      <c r="M338" s="2">
        <v>902946</v>
      </c>
      <c r="N338" s="2">
        <v>753428</v>
      </c>
      <c r="O338" s="2">
        <v>464722</v>
      </c>
      <c r="P338" s="2">
        <v>262614</v>
      </c>
      <c r="Q338" s="52">
        <v>97093</v>
      </c>
      <c r="R338" s="127">
        <f>Integrated[[#This Row],[Population 85+ years]]/Integrated[[#This Row],[Total population]]</f>
        <v>1.560163001385126E-2</v>
      </c>
      <c r="S338" s="58">
        <v>120</v>
      </c>
      <c r="T338" s="59">
        <v>60</v>
      </c>
      <c r="U338" s="59">
        <v>60</v>
      </c>
      <c r="V338" s="59">
        <v>60</v>
      </c>
      <c r="W338" s="59">
        <v>77</v>
      </c>
      <c r="X338" s="59">
        <v>60</v>
      </c>
      <c r="Y338" s="59">
        <v>117</v>
      </c>
      <c r="Z338" s="59">
        <v>236</v>
      </c>
      <c r="AA338" s="59">
        <v>406</v>
      </c>
      <c r="AB338" s="59">
        <v>550</v>
      </c>
      <c r="AC338" s="59">
        <f>VLOOKUP($A338,'[1]Flu Deaths Updated'!$A$2:$N$460,14,FALSE)</f>
        <v>60</v>
      </c>
      <c r="AD338" s="60">
        <f t="shared" si="5"/>
        <v>1806</v>
      </c>
      <c r="AE338" s="66">
        <f>Integrated[[#This Row],[Flu Deaths &lt;5 years old]]/Integrated[[#This Row],[Population &lt;5 years]]</f>
        <v>2.9817368617219528E-4</v>
      </c>
      <c r="AF338" s="67">
        <f>Integrated[[#This Row],[Flu Deaths 5 to 14 years]]/Integrated[[#This Row],[Population 5 to 14 years]]</f>
        <v>7.3119369808524748E-5</v>
      </c>
      <c r="AG338" s="67">
        <f>Integrated[[#This Row],[Flu Deaths 15 to 24 years]]/Integrated[[#This Row],[Population 15 to 24 years]]</f>
        <v>7.0578354324512209E-5</v>
      </c>
      <c r="AH338" s="67">
        <f>Integrated[[#This Row],[Flu Deaths 25 to 34 years]]/Integrated[[#This Row],[Population 25 to 34 years]]</f>
        <v>7.3626316990745166E-5</v>
      </c>
      <c r="AI338" s="67">
        <f>Integrated[[#This Row],[Flu Deaths 35 to 44 years]]/Integrated[[#This Row],[Population 35 to 44 years]]</f>
        <v>7.0231870520523503E-5</v>
      </c>
      <c r="AJ338" s="67">
        <f>Integrated[[#This Row],[Flu Deaths 45 to 54 years]]/Integrated[[#This Row],[Population 45 to 54 years]]</f>
        <v>8.5276417415880901E-5</v>
      </c>
      <c r="AK338" s="67">
        <f>Integrated[[#This Row],[Flu Deaths 55 to 64 years]]/Integrated[[#This Row],[Population 55 to 64 years]]</f>
        <v>1.5529022016702327E-4</v>
      </c>
      <c r="AL338" s="67">
        <f>Integrated[[#This Row],[Flu Deaths 65 to 74 years]]/Integrated[[#This Row],[Population 65 to 74 years]]</f>
        <v>5.0783048790459674E-4</v>
      </c>
      <c r="AM338" s="67">
        <f>Integrated[[#This Row],[Flu Deaths 75 to 84 years]]/Integrated[[#This Row],[Population 75 to 84 years]]</f>
        <v>1.5459952630095882E-3</v>
      </c>
      <c r="AN338" s="67">
        <f>Integrated[[#This Row],[Flu Deaths 85+ years]]/Integrated[[#This Row],[Population 85+ years]]</f>
        <v>5.6646720154903034E-3</v>
      </c>
      <c r="AO338" s="68">
        <f>Integrated[[#This Row],[Total Flu Deaths]]/Integrated[[#This Row],[Total population]]</f>
        <v>2.9020159851910415E-4</v>
      </c>
    </row>
    <row r="339" spans="1:41" x14ac:dyDescent="0.3">
      <c r="A339" s="44" t="s">
        <v>313</v>
      </c>
      <c r="B339" t="s">
        <v>257</v>
      </c>
      <c r="C339" s="45">
        <v>2009</v>
      </c>
      <c r="D339" s="51">
        <v>6056214</v>
      </c>
      <c r="E339" s="2">
        <v>2951304</v>
      </c>
      <c r="F339" s="2">
        <v>3104910</v>
      </c>
      <c r="G339" s="78">
        <f>Integrated[[#This Row],[Female Total population]]/Integrated[[#This Row],[Total population]]</f>
        <v>0.51268168529051317</v>
      </c>
      <c r="H339" s="2">
        <v>406015</v>
      </c>
      <c r="I339" s="2">
        <v>795274</v>
      </c>
      <c r="J339" s="2">
        <v>815594</v>
      </c>
      <c r="K339" s="2">
        <v>820191</v>
      </c>
      <c r="L339" s="2">
        <v>861099</v>
      </c>
      <c r="M339" s="2">
        <v>879227</v>
      </c>
      <c r="N339" s="2">
        <v>696256</v>
      </c>
      <c r="O339" s="2">
        <v>427045</v>
      </c>
      <c r="P339" s="2">
        <v>262156</v>
      </c>
      <c r="Q339" s="52">
        <v>94567</v>
      </c>
      <c r="R339" s="127">
        <f>Integrated[[#This Row],[Population 85+ years]]/Integrated[[#This Row],[Total population]]</f>
        <v>1.5614870940822104E-2</v>
      </c>
      <c r="S339" s="58">
        <v>120</v>
      </c>
      <c r="T339" s="59">
        <v>60</v>
      </c>
      <c r="U339" s="59">
        <v>60</v>
      </c>
      <c r="V339" s="59">
        <v>60</v>
      </c>
      <c r="W339" s="59">
        <v>66</v>
      </c>
      <c r="X339" s="59">
        <v>60</v>
      </c>
      <c r="Y339" s="59">
        <v>129</v>
      </c>
      <c r="Z339" s="59">
        <v>165</v>
      </c>
      <c r="AA339" s="59">
        <v>378</v>
      </c>
      <c r="AB339" s="59">
        <v>554</v>
      </c>
      <c r="AC339" s="59">
        <f>VLOOKUP($A339,'[1]Flu Deaths Updated'!$A$2:$N$460,14,FALSE)</f>
        <v>60</v>
      </c>
      <c r="AD339" s="60">
        <f t="shared" si="5"/>
        <v>1712</v>
      </c>
      <c r="AE339" s="66">
        <f>Integrated[[#This Row],[Flu Deaths &lt;5 years old]]/Integrated[[#This Row],[Population &lt;5 years]]</f>
        <v>2.9555558292181322E-4</v>
      </c>
      <c r="AF339" s="67">
        <f>Integrated[[#This Row],[Flu Deaths 5 to 14 years]]/Integrated[[#This Row],[Population 5 to 14 years]]</f>
        <v>7.5445695445846344E-5</v>
      </c>
      <c r="AG339" s="67">
        <f>Integrated[[#This Row],[Flu Deaths 15 to 24 years]]/Integrated[[#This Row],[Population 15 to 24 years]]</f>
        <v>7.3566014463078447E-5</v>
      </c>
      <c r="AH339" s="67">
        <f>Integrated[[#This Row],[Flu Deaths 25 to 34 years]]/Integrated[[#This Row],[Population 25 to 34 years]]</f>
        <v>7.3153692249732074E-5</v>
      </c>
      <c r="AI339" s="67">
        <f>Integrated[[#This Row],[Flu Deaths 35 to 44 years]]/Integrated[[#This Row],[Population 35 to 44 years]]</f>
        <v>6.9678399347810184E-5</v>
      </c>
      <c r="AJ339" s="67">
        <f>Integrated[[#This Row],[Flu Deaths 45 to 54 years]]/Integrated[[#This Row],[Population 45 to 54 years]]</f>
        <v>7.50659386028864E-5</v>
      </c>
      <c r="AK339" s="67">
        <f>Integrated[[#This Row],[Flu Deaths 55 to 64 years]]/Integrated[[#This Row],[Population 55 to 64 years]]</f>
        <v>1.8527667984189722E-4</v>
      </c>
      <c r="AL339" s="67">
        <f>Integrated[[#This Row],[Flu Deaths 65 to 74 years]]/Integrated[[#This Row],[Population 65 to 74 years]]</f>
        <v>3.8637614302942312E-4</v>
      </c>
      <c r="AM339" s="67">
        <f>Integrated[[#This Row],[Flu Deaths 75 to 84 years]]/Integrated[[#This Row],[Population 75 to 84 years]]</f>
        <v>1.4418895619402188E-3</v>
      </c>
      <c r="AN339" s="67">
        <f>Integrated[[#This Row],[Flu Deaths 85+ years]]/Integrated[[#This Row],[Population 85+ years]]</f>
        <v>5.8582803726458486E-3</v>
      </c>
      <c r="AO339" s="68">
        <f>Integrated[[#This Row],[Total Flu Deaths]]/Integrated[[#This Row],[Total population]]</f>
        <v>2.8268485889038926E-4</v>
      </c>
    </row>
    <row r="340" spans="1:41" x14ac:dyDescent="0.3">
      <c r="A340" s="44" t="s">
        <v>490</v>
      </c>
      <c r="B340" t="s">
        <v>483</v>
      </c>
      <c r="C340" s="45">
        <v>2010</v>
      </c>
      <c r="D340" s="51">
        <v>9411405</v>
      </c>
      <c r="E340" s="2">
        <v>4599379</v>
      </c>
      <c r="F340" s="2">
        <v>4812031</v>
      </c>
      <c r="G340" s="78">
        <f>Integrated[[#This Row],[Female Total population]]/Integrated[[#This Row],[Total population]]</f>
        <v>0.51129783491412817</v>
      </c>
      <c r="H340" s="2">
        <v>683922</v>
      </c>
      <c r="I340" s="2">
        <v>1345912</v>
      </c>
      <c r="J340" s="2">
        <v>1365260</v>
      </c>
      <c r="K340" s="2">
        <v>1311964</v>
      </c>
      <c r="L340" s="2">
        <v>1412299</v>
      </c>
      <c r="M340" s="2">
        <v>1335659</v>
      </c>
      <c r="N340" s="2">
        <v>993104</v>
      </c>
      <c r="O340" s="2">
        <v>556842</v>
      </c>
      <c r="P340" s="2">
        <v>298738</v>
      </c>
      <c r="Q340" s="52">
        <v>108740</v>
      </c>
      <c r="R340" s="127">
        <f>Integrated[[#This Row],[Population 85+ years]]/Integrated[[#This Row],[Total population]]</f>
        <v>1.1554066581982179E-2</v>
      </c>
      <c r="S340" s="58">
        <v>120</v>
      </c>
      <c r="T340" s="59">
        <v>60</v>
      </c>
      <c r="U340" s="59">
        <v>60</v>
      </c>
      <c r="V340" s="59">
        <v>60</v>
      </c>
      <c r="W340" s="59">
        <v>72</v>
      </c>
      <c r="X340" s="59">
        <v>60</v>
      </c>
      <c r="Y340" s="59">
        <v>116</v>
      </c>
      <c r="Z340" s="59">
        <v>223</v>
      </c>
      <c r="AA340" s="59">
        <v>392</v>
      </c>
      <c r="AB340" s="59">
        <v>557</v>
      </c>
      <c r="AC340" s="59">
        <f>VLOOKUP($A340,'[1]Flu Deaths Updated'!$A$2:$N$460,14,FALSE)</f>
        <v>60</v>
      </c>
      <c r="AD340" s="60">
        <f t="shared" si="5"/>
        <v>1780</v>
      </c>
      <c r="AE340" s="66">
        <f>Integrated[[#This Row],[Flu Deaths &lt;5 years old]]/Integrated[[#This Row],[Population &lt;5 years]]</f>
        <v>1.7545860492863222E-4</v>
      </c>
      <c r="AF340" s="67">
        <f>Integrated[[#This Row],[Flu Deaths 5 to 14 years]]/Integrated[[#This Row],[Population 5 to 14 years]]</f>
        <v>4.4579437585815416E-5</v>
      </c>
      <c r="AG340" s="67">
        <f>Integrated[[#This Row],[Flu Deaths 15 to 24 years]]/Integrated[[#This Row],[Population 15 to 24 years]]</f>
        <v>4.39476729707162E-5</v>
      </c>
      <c r="AH340" s="67">
        <f>Integrated[[#This Row],[Flu Deaths 25 to 34 years]]/Integrated[[#This Row],[Population 25 to 34 years]]</f>
        <v>4.5732962184938003E-5</v>
      </c>
      <c r="AI340" s="67">
        <f>Integrated[[#This Row],[Flu Deaths 35 to 44 years]]/Integrated[[#This Row],[Population 35 to 44 years]]</f>
        <v>4.2483921605835592E-5</v>
      </c>
      <c r="AJ340" s="67">
        <f>Integrated[[#This Row],[Flu Deaths 45 to 54 years]]/Integrated[[#This Row],[Population 45 to 54 years]]</f>
        <v>5.3905974503971448E-5</v>
      </c>
      <c r="AK340" s="67">
        <f>Integrated[[#This Row],[Flu Deaths 55 to 64 years]]/Integrated[[#This Row],[Population 55 to 64 years]]</f>
        <v>1.1680549066361629E-4</v>
      </c>
      <c r="AL340" s="67">
        <f>Integrated[[#This Row],[Flu Deaths 65 to 74 years]]/Integrated[[#This Row],[Population 65 to 74 years]]</f>
        <v>4.0047266549577798E-4</v>
      </c>
      <c r="AM340" s="67">
        <f>Integrated[[#This Row],[Flu Deaths 75 to 84 years]]/Integrated[[#This Row],[Population 75 to 84 years]]</f>
        <v>1.3121865982901404E-3</v>
      </c>
      <c r="AN340" s="67">
        <f>Integrated[[#This Row],[Flu Deaths 85+ years]]/Integrated[[#This Row],[Population 85+ years]]</f>
        <v>5.1223100974802285E-3</v>
      </c>
      <c r="AO340" s="68">
        <f>Integrated[[#This Row],[Total Flu Deaths]]/Integrated[[#This Row],[Total population]]</f>
        <v>1.8913222839735407E-4</v>
      </c>
    </row>
    <row r="341" spans="1:41" x14ac:dyDescent="0.3">
      <c r="A341" s="44" t="s">
        <v>366</v>
      </c>
      <c r="B341" t="s">
        <v>318</v>
      </c>
      <c r="C341" s="45">
        <v>2014</v>
      </c>
      <c r="D341" s="51">
        <v>5548036</v>
      </c>
      <c r="E341" s="2">
        <v>2752375</v>
      </c>
      <c r="F341" s="2">
        <v>2795662</v>
      </c>
      <c r="G341" s="78">
        <f>Integrated[[#This Row],[Female Total population]]/Integrated[[#This Row],[Total population]]</f>
        <v>0.50390120035270136</v>
      </c>
      <c r="H341" s="2">
        <v>336838</v>
      </c>
      <c r="I341" s="2">
        <v>718741</v>
      </c>
      <c r="J341" s="2">
        <v>766874</v>
      </c>
      <c r="K341" s="2">
        <v>710532</v>
      </c>
      <c r="L341" s="2">
        <v>683945</v>
      </c>
      <c r="M341" s="2">
        <v>821029</v>
      </c>
      <c r="N341" s="2">
        <v>722310</v>
      </c>
      <c r="O341" s="2">
        <v>421944</v>
      </c>
      <c r="P341" s="2">
        <v>250516</v>
      </c>
      <c r="Q341" s="52">
        <v>117645</v>
      </c>
      <c r="R341" s="127">
        <f>Integrated[[#This Row],[Population 85+ years]]/Integrated[[#This Row],[Total population]]</f>
        <v>2.1204801122415212E-2</v>
      </c>
      <c r="S341" s="58">
        <v>120</v>
      </c>
      <c r="T341" s="59">
        <v>60</v>
      </c>
      <c r="U341" s="59">
        <v>60</v>
      </c>
      <c r="V341" s="59">
        <v>60</v>
      </c>
      <c r="W341" s="59">
        <v>69</v>
      </c>
      <c r="X341" s="59">
        <v>60</v>
      </c>
      <c r="Y341" s="59">
        <v>76</v>
      </c>
      <c r="Z341" s="59">
        <v>84</v>
      </c>
      <c r="AA341" s="59">
        <v>198</v>
      </c>
      <c r="AB341" s="59">
        <v>560</v>
      </c>
      <c r="AC341" s="59">
        <f>VLOOKUP($A341,'[1]Flu Deaths Updated'!$A$2:$N$460,14,FALSE)</f>
        <v>60</v>
      </c>
      <c r="AD341" s="60">
        <f t="shared" si="5"/>
        <v>1407</v>
      </c>
      <c r="AE341" s="66">
        <f>Integrated[[#This Row],[Flu Deaths &lt;5 years old]]/Integrated[[#This Row],[Population &lt;5 years]]</f>
        <v>3.5625434184979128E-4</v>
      </c>
      <c r="AF341" s="67">
        <f>Integrated[[#This Row],[Flu Deaths 5 to 14 years]]/Integrated[[#This Row],[Population 5 to 14 years]]</f>
        <v>8.3479306175659944E-5</v>
      </c>
      <c r="AG341" s="67">
        <f>Integrated[[#This Row],[Flu Deaths 15 to 24 years]]/Integrated[[#This Row],[Population 15 to 24 years]]</f>
        <v>7.8239710826028783E-5</v>
      </c>
      <c r="AH341" s="67">
        <f>Integrated[[#This Row],[Flu Deaths 25 to 34 years]]/Integrated[[#This Row],[Population 25 to 34 years]]</f>
        <v>8.4443768894293291E-5</v>
      </c>
      <c r="AI341" s="67">
        <f>Integrated[[#This Row],[Flu Deaths 35 to 44 years]]/Integrated[[#This Row],[Population 35 to 44 years]]</f>
        <v>8.7726352265167523E-5</v>
      </c>
      <c r="AJ341" s="67">
        <f>Integrated[[#This Row],[Flu Deaths 45 to 54 years]]/Integrated[[#This Row],[Population 45 to 54 years]]</f>
        <v>8.4040880407391212E-5</v>
      </c>
      <c r="AK341" s="67">
        <f>Integrated[[#This Row],[Flu Deaths 55 to 64 years]]/Integrated[[#This Row],[Population 55 to 64 years]]</f>
        <v>1.052179811992081E-4</v>
      </c>
      <c r="AL341" s="67">
        <f>Integrated[[#This Row],[Flu Deaths 65 to 74 years]]/Integrated[[#This Row],[Population 65 to 74 years]]</f>
        <v>1.9907855070815084E-4</v>
      </c>
      <c r="AM341" s="67">
        <f>Integrated[[#This Row],[Flu Deaths 75 to 84 years]]/Integrated[[#This Row],[Population 75 to 84 years]]</f>
        <v>7.9036867904644815E-4</v>
      </c>
      <c r="AN341" s="67">
        <f>Integrated[[#This Row],[Flu Deaths 85+ years]]/Integrated[[#This Row],[Population 85+ years]]</f>
        <v>4.7600833014577754E-3</v>
      </c>
      <c r="AO341" s="68">
        <f>Integrated[[#This Row],[Total Flu Deaths]]/Integrated[[#This Row],[Total population]]</f>
        <v>2.5360325708052362E-4</v>
      </c>
    </row>
    <row r="342" spans="1:41" x14ac:dyDescent="0.3">
      <c r="A342" s="44" t="s">
        <v>325</v>
      </c>
      <c r="B342" t="s">
        <v>286</v>
      </c>
      <c r="C342" s="45">
        <v>2011</v>
      </c>
      <c r="D342" s="51">
        <v>5750906</v>
      </c>
      <c r="E342" s="2">
        <v>2813844</v>
      </c>
      <c r="F342" s="2">
        <v>2937067</v>
      </c>
      <c r="G342" s="78">
        <f>Integrated[[#This Row],[Female Total population]]/Integrated[[#This Row],[Total population]]</f>
        <v>0.51071379014019702</v>
      </c>
      <c r="H342" s="2">
        <v>374071</v>
      </c>
      <c r="I342" s="2">
        <v>757685</v>
      </c>
      <c r="J342" s="2">
        <v>814819</v>
      </c>
      <c r="K342" s="2">
        <v>746199</v>
      </c>
      <c r="L342" s="2">
        <v>740226</v>
      </c>
      <c r="M342" s="2">
        <v>850534</v>
      </c>
      <c r="N342" s="2">
        <v>679678</v>
      </c>
      <c r="O342" s="2">
        <v>418297</v>
      </c>
      <c r="P342" s="2">
        <v>261061</v>
      </c>
      <c r="Q342" s="52">
        <v>107910</v>
      </c>
      <c r="R342" s="127">
        <f>Integrated[[#This Row],[Population 85+ years]]/Integrated[[#This Row],[Total population]]</f>
        <v>1.8763999968005041E-2</v>
      </c>
      <c r="S342" s="58">
        <v>120</v>
      </c>
      <c r="T342" s="59">
        <v>60</v>
      </c>
      <c r="U342" s="59">
        <v>60</v>
      </c>
      <c r="V342" s="59">
        <v>60</v>
      </c>
      <c r="W342" s="59">
        <v>60</v>
      </c>
      <c r="X342" s="59">
        <v>60</v>
      </c>
      <c r="Y342" s="59">
        <v>84</v>
      </c>
      <c r="Z342" s="59">
        <v>144</v>
      </c>
      <c r="AA342" s="59">
        <v>310</v>
      </c>
      <c r="AB342" s="59">
        <v>562</v>
      </c>
      <c r="AC342" s="59">
        <f>VLOOKUP($A342,'[1]Flu Deaths Updated'!$A$2:$N$460,14,FALSE)</f>
        <v>60</v>
      </c>
      <c r="AD342" s="60">
        <f t="shared" si="5"/>
        <v>1580</v>
      </c>
      <c r="AE342" s="66">
        <f>Integrated[[#This Row],[Flu Deaths &lt;5 years old]]/Integrated[[#This Row],[Population &lt;5 years]]</f>
        <v>3.2079471544172095E-4</v>
      </c>
      <c r="AF342" s="67">
        <f>Integrated[[#This Row],[Flu Deaths 5 to 14 years]]/Integrated[[#This Row],[Population 5 to 14 years]]</f>
        <v>7.9188581006618848E-5</v>
      </c>
      <c r="AG342" s="67">
        <f>Integrated[[#This Row],[Flu Deaths 15 to 24 years]]/Integrated[[#This Row],[Population 15 to 24 years]]</f>
        <v>7.3635985415165816E-5</v>
      </c>
      <c r="AH342" s="67">
        <f>Integrated[[#This Row],[Flu Deaths 25 to 34 years]]/Integrated[[#This Row],[Population 25 to 34 years]]</f>
        <v>8.0407505236538781E-5</v>
      </c>
      <c r="AI342" s="67">
        <f>Integrated[[#This Row],[Flu Deaths 35 to 44 years]]/Integrated[[#This Row],[Population 35 to 44 years]]</f>
        <v>8.1056326040965864E-5</v>
      </c>
      <c r="AJ342" s="67">
        <f>Integrated[[#This Row],[Flu Deaths 45 to 54 years]]/Integrated[[#This Row],[Population 45 to 54 years]]</f>
        <v>7.054391711560032E-5</v>
      </c>
      <c r="AK342" s="67">
        <f>Integrated[[#This Row],[Flu Deaths 55 to 64 years]]/Integrated[[#This Row],[Population 55 to 64 years]]</f>
        <v>1.235879342865298E-4</v>
      </c>
      <c r="AL342" s="67">
        <f>Integrated[[#This Row],[Flu Deaths 65 to 74 years]]/Integrated[[#This Row],[Population 65 to 74 years]]</f>
        <v>3.4425300683485656E-4</v>
      </c>
      <c r="AM342" s="67">
        <f>Integrated[[#This Row],[Flu Deaths 75 to 84 years]]/Integrated[[#This Row],[Population 75 to 84 years]]</f>
        <v>1.1874619341839647E-3</v>
      </c>
      <c r="AN342" s="67">
        <f>Integrated[[#This Row],[Flu Deaths 85+ years]]/Integrated[[#This Row],[Population 85+ years]]</f>
        <v>5.2080437401538322E-3</v>
      </c>
      <c r="AO342" s="68">
        <f>Integrated[[#This Row],[Total Flu Deaths]]/Integrated[[#This Row],[Total population]]</f>
        <v>2.7473931933507523E-4</v>
      </c>
    </row>
    <row r="343" spans="1:41" x14ac:dyDescent="0.3">
      <c r="A343" s="44" t="s">
        <v>489</v>
      </c>
      <c r="B343" t="s">
        <v>483</v>
      </c>
      <c r="C343" s="45">
        <v>2009</v>
      </c>
      <c r="D343" s="51">
        <v>9497667</v>
      </c>
      <c r="E343" s="2">
        <v>4666651</v>
      </c>
      <c r="F343" s="2">
        <v>4831025</v>
      </c>
      <c r="G343" s="78">
        <f>Integrated[[#This Row],[Female Total population]]/Integrated[[#This Row],[Total population]]</f>
        <v>0.50865386204843777</v>
      </c>
      <c r="H343" s="2">
        <v>726126</v>
      </c>
      <c r="I343" s="2">
        <v>1365161</v>
      </c>
      <c r="J343" s="2">
        <v>1378820</v>
      </c>
      <c r="K343" s="2">
        <v>1353234</v>
      </c>
      <c r="L343" s="2">
        <v>1440327</v>
      </c>
      <c r="M343" s="2">
        <v>1325957</v>
      </c>
      <c r="N343" s="2">
        <v>958702</v>
      </c>
      <c r="O343" s="2">
        <v>530692</v>
      </c>
      <c r="P343" s="2">
        <v>305788</v>
      </c>
      <c r="Q343" s="52">
        <v>112366</v>
      </c>
      <c r="R343" s="127">
        <f>Integrated[[#This Row],[Population 85+ years]]/Integrated[[#This Row],[Total population]]</f>
        <v>1.1830905421299779E-2</v>
      </c>
      <c r="S343" s="58">
        <v>120</v>
      </c>
      <c r="T343" s="59">
        <v>60</v>
      </c>
      <c r="U343" s="59">
        <v>60</v>
      </c>
      <c r="V343" s="59">
        <v>65</v>
      </c>
      <c r="W343" s="59">
        <v>76</v>
      </c>
      <c r="X343" s="59">
        <v>60</v>
      </c>
      <c r="Y343" s="59">
        <v>131</v>
      </c>
      <c r="Z343" s="59">
        <v>194</v>
      </c>
      <c r="AA343" s="59">
        <v>410</v>
      </c>
      <c r="AB343" s="59">
        <v>562</v>
      </c>
      <c r="AC343" s="59">
        <f>VLOOKUP($A343,'[1]Flu Deaths Updated'!$A$2:$N$460,14,FALSE)</f>
        <v>60</v>
      </c>
      <c r="AD343" s="60">
        <f t="shared" si="5"/>
        <v>1798</v>
      </c>
      <c r="AE343" s="66">
        <f>Integrated[[#This Row],[Flu Deaths &lt;5 years old]]/Integrated[[#This Row],[Population &lt;5 years]]</f>
        <v>1.6526057461101792E-4</v>
      </c>
      <c r="AF343" s="67">
        <f>Integrated[[#This Row],[Flu Deaths 5 to 14 years]]/Integrated[[#This Row],[Population 5 to 14 years]]</f>
        <v>4.3950860008453216E-5</v>
      </c>
      <c r="AG343" s="67">
        <f>Integrated[[#This Row],[Flu Deaths 15 to 24 years]]/Integrated[[#This Row],[Population 15 to 24 years]]</f>
        <v>4.3515469749495947E-5</v>
      </c>
      <c r="AH343" s="67">
        <f>Integrated[[#This Row],[Flu Deaths 25 to 34 years]]/Integrated[[#This Row],[Population 25 to 34 years]]</f>
        <v>4.4338229751838927E-5</v>
      </c>
      <c r="AI343" s="67">
        <f>Integrated[[#This Row],[Flu Deaths 35 to 44 years]]/Integrated[[#This Row],[Population 35 to 44 years]]</f>
        <v>4.5128640926678455E-5</v>
      </c>
      <c r="AJ343" s="67">
        <f>Integrated[[#This Row],[Flu Deaths 45 to 54 years]]/Integrated[[#This Row],[Population 45 to 54 years]]</f>
        <v>5.7317092484899588E-5</v>
      </c>
      <c r="AK343" s="67">
        <f>Integrated[[#This Row],[Flu Deaths 55 to 64 years]]/Integrated[[#This Row],[Population 55 to 64 years]]</f>
        <v>1.3664308617276276E-4</v>
      </c>
      <c r="AL343" s="67">
        <f>Integrated[[#This Row],[Flu Deaths 65 to 74 years]]/Integrated[[#This Row],[Population 65 to 74 years]]</f>
        <v>3.6556043806953937E-4</v>
      </c>
      <c r="AM343" s="67">
        <f>Integrated[[#This Row],[Flu Deaths 75 to 84 years]]/Integrated[[#This Row],[Population 75 to 84 years]]</f>
        <v>1.3407982000601725E-3</v>
      </c>
      <c r="AN343" s="67">
        <f>Integrated[[#This Row],[Flu Deaths 85+ years]]/Integrated[[#This Row],[Population 85+ years]]</f>
        <v>5.0015129131587843E-3</v>
      </c>
      <c r="AO343" s="68">
        <f>Integrated[[#This Row],[Total Flu Deaths]]/Integrated[[#This Row],[Total population]]</f>
        <v>1.893096483589075E-4</v>
      </c>
    </row>
    <row r="344" spans="1:41" x14ac:dyDescent="0.3">
      <c r="A344" s="44" t="s">
        <v>296</v>
      </c>
      <c r="B344" t="s">
        <v>286</v>
      </c>
      <c r="C344" s="45">
        <v>2017</v>
      </c>
      <c r="D344" s="51">
        <v>5568992</v>
      </c>
      <c r="E344" s="2">
        <v>2733369</v>
      </c>
      <c r="F344" s="2">
        <v>2835630</v>
      </c>
      <c r="G344" s="78">
        <f>Integrated[[#This Row],[Female Total population]]/Integrated[[#This Row],[Total population]]</f>
        <v>0.50918191299251281</v>
      </c>
      <c r="H344" s="2">
        <v>344333</v>
      </c>
      <c r="I344" s="2">
        <v>712135</v>
      </c>
      <c r="J344" s="2">
        <v>765224</v>
      </c>
      <c r="K344" s="2">
        <v>753286</v>
      </c>
      <c r="L344" s="2">
        <v>675417</v>
      </c>
      <c r="M344" s="2">
        <v>736531</v>
      </c>
      <c r="N344" s="2">
        <v>729795</v>
      </c>
      <c r="O344" s="2">
        <v>486434</v>
      </c>
      <c r="P344" s="2">
        <v>256105</v>
      </c>
      <c r="Q344" s="52">
        <v>109809</v>
      </c>
      <c r="R344" s="127">
        <f>Integrated[[#This Row],[Population 85+ years]]/Integrated[[#This Row],[Total population]]</f>
        <v>1.9717931000798709E-2</v>
      </c>
      <c r="S344" s="58">
        <v>120</v>
      </c>
      <c r="T344" s="59">
        <v>60</v>
      </c>
      <c r="U344" s="59">
        <v>60</v>
      </c>
      <c r="V344" s="59">
        <v>60</v>
      </c>
      <c r="W344" s="59">
        <v>60</v>
      </c>
      <c r="X344" s="59">
        <v>60</v>
      </c>
      <c r="Y344" s="59">
        <v>70</v>
      </c>
      <c r="Z344" s="59">
        <v>181</v>
      </c>
      <c r="AA344" s="59">
        <v>365</v>
      </c>
      <c r="AB344" s="59">
        <v>566</v>
      </c>
      <c r="AC344" s="59">
        <f>VLOOKUP($A344,'[1]Flu Deaths Updated'!$A$2:$N$460,14,FALSE)</f>
        <v>60</v>
      </c>
      <c r="AD344" s="60">
        <f t="shared" si="5"/>
        <v>1662</v>
      </c>
      <c r="AE344" s="66">
        <f>Integrated[[#This Row],[Flu Deaths &lt;5 years old]]/Integrated[[#This Row],[Population &lt;5 years]]</f>
        <v>3.4849985333964504E-4</v>
      </c>
      <c r="AF344" s="67">
        <f>Integrated[[#This Row],[Flu Deaths 5 to 14 years]]/Integrated[[#This Row],[Population 5 to 14 years]]</f>
        <v>8.425368785412878E-5</v>
      </c>
      <c r="AG344" s="67">
        <f>Integrated[[#This Row],[Flu Deaths 15 to 24 years]]/Integrated[[#This Row],[Population 15 to 24 years]]</f>
        <v>7.840841374551765E-5</v>
      </c>
      <c r="AH344" s="67">
        <f>Integrated[[#This Row],[Flu Deaths 25 to 34 years]]/Integrated[[#This Row],[Population 25 to 34 years]]</f>
        <v>7.9651022320871483E-5</v>
      </c>
      <c r="AI344" s="67">
        <f>Integrated[[#This Row],[Flu Deaths 35 to 44 years]]/Integrated[[#This Row],[Population 35 to 44 years]]</f>
        <v>8.8834009212086752E-5</v>
      </c>
      <c r="AJ344" s="67">
        <f>Integrated[[#This Row],[Flu Deaths 45 to 54 years]]/Integrated[[#This Row],[Population 45 to 54 years]]</f>
        <v>8.1462966256681655E-5</v>
      </c>
      <c r="AK344" s="67">
        <f>Integrated[[#This Row],[Flu Deaths 55 to 64 years]]/Integrated[[#This Row],[Population 55 to 64 years]]</f>
        <v>9.5917346652142047E-5</v>
      </c>
      <c r="AL344" s="67">
        <f>Integrated[[#This Row],[Flu Deaths 65 to 74 years]]/Integrated[[#This Row],[Population 65 to 74 years]]</f>
        <v>3.7209570054724795E-4</v>
      </c>
      <c r="AM344" s="67">
        <f>Integrated[[#This Row],[Flu Deaths 75 to 84 years]]/Integrated[[#This Row],[Population 75 to 84 years]]</f>
        <v>1.4251966966673825E-3</v>
      </c>
      <c r="AN344" s="67">
        <f>Integrated[[#This Row],[Flu Deaths 85+ years]]/Integrated[[#This Row],[Population 85+ years]]</f>
        <v>5.1544044659363073E-3</v>
      </c>
      <c r="AO344" s="68">
        <f>Integrated[[#This Row],[Total Flu Deaths]]/Integrated[[#This Row],[Total population]]</f>
        <v>2.9843820928455273E-4</v>
      </c>
    </row>
    <row r="345" spans="1:41" x14ac:dyDescent="0.3">
      <c r="A345" s="44" t="s">
        <v>330</v>
      </c>
      <c r="B345" t="s">
        <v>286</v>
      </c>
      <c r="C345" s="45">
        <v>2010</v>
      </c>
      <c r="D345" s="51">
        <v>5731790</v>
      </c>
      <c r="E345" s="2">
        <v>2798579</v>
      </c>
      <c r="F345" s="2">
        <v>2933213</v>
      </c>
      <c r="G345" s="78">
        <f>Integrated[[#This Row],[Female Total population]]/Integrated[[#This Row],[Total population]]</f>
        <v>0.51174467313003447</v>
      </c>
      <c r="H345" s="2">
        <v>374901</v>
      </c>
      <c r="I345" s="2">
        <v>762402</v>
      </c>
      <c r="J345" s="2">
        <v>812142</v>
      </c>
      <c r="K345" s="2">
        <v>731334</v>
      </c>
      <c r="L345" s="2">
        <v>756321</v>
      </c>
      <c r="M345" s="2">
        <v>851685</v>
      </c>
      <c r="N345" s="2">
        <v>659709</v>
      </c>
      <c r="O345" s="2">
        <v>413850</v>
      </c>
      <c r="P345" s="2">
        <v>264493</v>
      </c>
      <c r="Q345" s="52">
        <v>107559</v>
      </c>
      <c r="R345" s="127">
        <f>Integrated[[#This Row],[Population 85+ years]]/Integrated[[#This Row],[Total population]]</f>
        <v>1.8765342065916582E-2</v>
      </c>
      <c r="S345" s="58">
        <v>120</v>
      </c>
      <c r="T345" s="59">
        <v>60</v>
      </c>
      <c r="U345" s="59">
        <v>60</v>
      </c>
      <c r="V345" s="59">
        <v>60</v>
      </c>
      <c r="W345" s="59">
        <v>65</v>
      </c>
      <c r="X345" s="59">
        <v>60</v>
      </c>
      <c r="Y345" s="59">
        <v>67</v>
      </c>
      <c r="Z345" s="59">
        <v>126</v>
      </c>
      <c r="AA345" s="59">
        <v>312</v>
      </c>
      <c r="AB345" s="59">
        <v>568</v>
      </c>
      <c r="AC345" s="59">
        <f>VLOOKUP($A345,'[1]Flu Deaths Updated'!$A$2:$N$460,14,FALSE)</f>
        <v>60</v>
      </c>
      <c r="AD345" s="60">
        <f t="shared" si="5"/>
        <v>1558</v>
      </c>
      <c r="AE345" s="66">
        <f>Integrated[[#This Row],[Flu Deaths &lt;5 years old]]/Integrated[[#This Row],[Population &lt;5 years]]</f>
        <v>3.2008450230860947E-4</v>
      </c>
      <c r="AF345" s="67">
        <f>Integrated[[#This Row],[Flu Deaths 5 to 14 years]]/Integrated[[#This Row],[Population 5 to 14 years]]</f>
        <v>7.8698639300526496E-5</v>
      </c>
      <c r="AG345" s="67">
        <f>Integrated[[#This Row],[Flu Deaths 15 to 24 years]]/Integrated[[#This Row],[Population 15 to 24 years]]</f>
        <v>7.3878705940586749E-5</v>
      </c>
      <c r="AH345" s="67">
        <f>Integrated[[#This Row],[Flu Deaths 25 to 34 years]]/Integrated[[#This Row],[Population 25 to 34 years]]</f>
        <v>8.2041857755827028E-5</v>
      </c>
      <c r="AI345" s="67">
        <f>Integrated[[#This Row],[Flu Deaths 35 to 44 years]]/Integrated[[#This Row],[Population 35 to 44 years]]</f>
        <v>7.933139500291543E-5</v>
      </c>
      <c r="AJ345" s="67">
        <f>Integrated[[#This Row],[Flu Deaths 45 to 54 years]]/Integrated[[#This Row],[Population 45 to 54 years]]</f>
        <v>7.6319296453501002E-5</v>
      </c>
      <c r="AK345" s="67">
        <f>Integrated[[#This Row],[Flu Deaths 55 to 64 years]]/Integrated[[#This Row],[Population 55 to 64 years]]</f>
        <v>1.0155993021165393E-4</v>
      </c>
      <c r="AL345" s="67">
        <f>Integrated[[#This Row],[Flu Deaths 65 to 74 years]]/Integrated[[#This Row],[Population 65 to 74 years]]</f>
        <v>3.0445813700616164E-4</v>
      </c>
      <c r="AM345" s="67">
        <f>Integrated[[#This Row],[Flu Deaths 75 to 84 years]]/Integrated[[#This Row],[Population 75 to 84 years]]</f>
        <v>1.1796153395363961E-3</v>
      </c>
      <c r="AN345" s="67">
        <f>Integrated[[#This Row],[Flu Deaths 85+ years]]/Integrated[[#This Row],[Population 85+ years]]</f>
        <v>5.280822618283919E-3</v>
      </c>
      <c r="AO345" s="68">
        <f>Integrated[[#This Row],[Total Flu Deaths]]/Integrated[[#This Row],[Total population]]</f>
        <v>2.718173554858081E-4</v>
      </c>
    </row>
    <row r="346" spans="1:41" x14ac:dyDescent="0.3">
      <c r="A346" s="44" t="s">
        <v>517</v>
      </c>
      <c r="B346" t="s">
        <v>472</v>
      </c>
      <c r="C346" s="45">
        <v>2012</v>
      </c>
      <c r="D346" s="51">
        <v>8793888</v>
      </c>
      <c r="E346" s="2">
        <v>4283189</v>
      </c>
      <c r="F346" s="2">
        <v>4510699</v>
      </c>
      <c r="G346" s="78">
        <f>Integrated[[#This Row],[Female Total population]]/Integrated[[#This Row],[Total population]]</f>
        <v>0.51293568896942965</v>
      </c>
      <c r="H346" s="2">
        <v>538341</v>
      </c>
      <c r="I346" s="2">
        <v>1149066</v>
      </c>
      <c r="J346" s="2">
        <v>1137625</v>
      </c>
      <c r="K346" s="2">
        <v>1113233</v>
      </c>
      <c r="L346" s="2">
        <v>1242377</v>
      </c>
      <c r="M346" s="2">
        <v>1366593</v>
      </c>
      <c r="N346" s="2">
        <v>1050482</v>
      </c>
      <c r="O346" s="2">
        <v>622666</v>
      </c>
      <c r="P346" s="2">
        <v>397892</v>
      </c>
      <c r="Q346" s="52">
        <v>177904</v>
      </c>
      <c r="R346" s="127">
        <f>Integrated[[#This Row],[Population 85+ years]]/Integrated[[#This Row],[Total population]]</f>
        <v>2.023041457885295E-2</v>
      </c>
      <c r="S346" s="58">
        <v>120</v>
      </c>
      <c r="T346" s="59">
        <v>60</v>
      </c>
      <c r="U346" s="59">
        <v>60</v>
      </c>
      <c r="V346" s="59">
        <v>60</v>
      </c>
      <c r="W346" s="59">
        <v>60</v>
      </c>
      <c r="X346" s="59">
        <v>60</v>
      </c>
      <c r="Y346" s="59">
        <v>73</v>
      </c>
      <c r="Z346" s="59">
        <v>118</v>
      </c>
      <c r="AA346" s="59">
        <v>283</v>
      </c>
      <c r="AB346" s="59">
        <v>571</v>
      </c>
      <c r="AC346" s="59">
        <f>VLOOKUP($A346,'[1]Flu Deaths Updated'!$A$2:$N$460,14,FALSE)</f>
        <v>60</v>
      </c>
      <c r="AD346" s="60">
        <f t="shared" si="5"/>
        <v>1525</v>
      </c>
      <c r="AE346" s="66">
        <f>Integrated[[#This Row],[Flu Deaths &lt;5 years old]]/Integrated[[#This Row],[Population &lt;5 years]]</f>
        <v>2.229070421907304E-4</v>
      </c>
      <c r="AF346" s="67">
        <f>Integrated[[#This Row],[Flu Deaths 5 to 14 years]]/Integrated[[#This Row],[Population 5 to 14 years]]</f>
        <v>5.2216321777861324E-5</v>
      </c>
      <c r="AG346" s="67">
        <f>Integrated[[#This Row],[Flu Deaths 15 to 24 years]]/Integrated[[#This Row],[Population 15 to 24 years]]</f>
        <v>5.274145698274915E-5</v>
      </c>
      <c r="AH346" s="67">
        <f>Integrated[[#This Row],[Flu Deaths 25 to 34 years]]/Integrated[[#This Row],[Population 25 to 34 years]]</f>
        <v>5.3897072760149945E-5</v>
      </c>
      <c r="AI346" s="67">
        <f>Integrated[[#This Row],[Flu Deaths 35 to 44 years]]/Integrated[[#This Row],[Population 35 to 44 years]]</f>
        <v>4.8294519296477641E-5</v>
      </c>
      <c r="AJ346" s="67">
        <f>Integrated[[#This Row],[Flu Deaths 45 to 54 years]]/Integrated[[#This Row],[Population 45 to 54 years]]</f>
        <v>4.3904805600497002E-5</v>
      </c>
      <c r="AK346" s="67">
        <f>Integrated[[#This Row],[Flu Deaths 55 to 64 years]]/Integrated[[#This Row],[Population 55 to 64 years]]</f>
        <v>6.9491909428243421E-5</v>
      </c>
      <c r="AL346" s="67">
        <f>Integrated[[#This Row],[Flu Deaths 65 to 74 years]]/Integrated[[#This Row],[Population 65 to 74 years]]</f>
        <v>1.8950769754571471E-4</v>
      </c>
      <c r="AM346" s="67">
        <f>Integrated[[#This Row],[Flu Deaths 75 to 84 years]]/Integrated[[#This Row],[Population 75 to 84 years]]</f>
        <v>7.1124827842731196E-4</v>
      </c>
      <c r="AN346" s="67">
        <f>Integrated[[#This Row],[Flu Deaths 85+ years]]/Integrated[[#This Row],[Population 85+ years]]</f>
        <v>3.2095961867074376E-3</v>
      </c>
      <c r="AO346" s="68">
        <f>Integrated[[#This Row],[Total Flu Deaths]]/Integrated[[#This Row],[Total population]]</f>
        <v>1.7341589977038597E-4</v>
      </c>
    </row>
    <row r="347" spans="1:41" x14ac:dyDescent="0.3">
      <c r="A347" s="44" t="s">
        <v>320</v>
      </c>
      <c r="B347" t="s">
        <v>286</v>
      </c>
      <c r="C347" s="45">
        <v>2012</v>
      </c>
      <c r="D347" s="51">
        <v>5773126</v>
      </c>
      <c r="E347" s="2">
        <v>2824484</v>
      </c>
      <c r="F347" s="2">
        <v>2948644</v>
      </c>
      <c r="G347" s="78">
        <f>Integrated[[#This Row],[Female Total population]]/Integrated[[#This Row],[Total population]]</f>
        <v>0.51075344622653307</v>
      </c>
      <c r="H347" s="2">
        <v>373610</v>
      </c>
      <c r="I347" s="2">
        <v>760799</v>
      </c>
      <c r="J347" s="2">
        <v>807920</v>
      </c>
      <c r="K347" s="2">
        <v>753161</v>
      </c>
      <c r="L347" s="2">
        <v>727262</v>
      </c>
      <c r="M347" s="2">
        <v>846197</v>
      </c>
      <c r="N347" s="2">
        <v>698977</v>
      </c>
      <c r="O347" s="2">
        <v>434365</v>
      </c>
      <c r="P347" s="2">
        <v>260366</v>
      </c>
      <c r="Q347" s="52">
        <v>110362</v>
      </c>
      <c r="R347" s="127">
        <f>Integrated[[#This Row],[Population 85+ years]]/Integrated[[#This Row],[Total population]]</f>
        <v>1.9116506378000411E-2</v>
      </c>
      <c r="S347" s="58">
        <v>120</v>
      </c>
      <c r="T347" s="59">
        <v>60</v>
      </c>
      <c r="U347" s="59">
        <v>60</v>
      </c>
      <c r="V347" s="59">
        <v>60</v>
      </c>
      <c r="W347" s="59">
        <v>60</v>
      </c>
      <c r="X347" s="59">
        <v>60</v>
      </c>
      <c r="Y347" s="59">
        <v>99</v>
      </c>
      <c r="Z347" s="59">
        <v>139</v>
      </c>
      <c r="AA347" s="59">
        <v>317</v>
      </c>
      <c r="AB347" s="59">
        <v>573</v>
      </c>
      <c r="AC347" s="59">
        <f>VLOOKUP($A347,'[1]Flu Deaths Updated'!$A$2:$N$460,14,FALSE)</f>
        <v>60</v>
      </c>
      <c r="AD347" s="60">
        <f t="shared" si="5"/>
        <v>1608</v>
      </c>
      <c r="AE347" s="66">
        <f>Integrated[[#This Row],[Flu Deaths &lt;5 years old]]/Integrated[[#This Row],[Population &lt;5 years]]</f>
        <v>3.2119054629158749E-4</v>
      </c>
      <c r="AF347" s="67">
        <f>Integrated[[#This Row],[Flu Deaths 5 to 14 years]]/Integrated[[#This Row],[Population 5 to 14 years]]</f>
        <v>7.8864456972209485E-5</v>
      </c>
      <c r="AG347" s="67">
        <f>Integrated[[#This Row],[Flu Deaths 15 to 24 years]]/Integrated[[#This Row],[Population 15 to 24 years]]</f>
        <v>7.4264778690959497E-5</v>
      </c>
      <c r="AH347" s="67">
        <f>Integrated[[#This Row],[Flu Deaths 25 to 34 years]]/Integrated[[#This Row],[Population 25 to 34 years]]</f>
        <v>7.9664241775662846E-5</v>
      </c>
      <c r="AI347" s="67">
        <f>Integrated[[#This Row],[Flu Deaths 35 to 44 years]]/Integrated[[#This Row],[Population 35 to 44 years]]</f>
        <v>8.2501216892949173E-5</v>
      </c>
      <c r="AJ347" s="67">
        <f>Integrated[[#This Row],[Flu Deaths 45 to 54 years]]/Integrated[[#This Row],[Population 45 to 54 years]]</f>
        <v>7.0905474729879688E-5</v>
      </c>
      <c r="AK347" s="67">
        <f>Integrated[[#This Row],[Flu Deaths 55 to 64 years]]/Integrated[[#This Row],[Population 55 to 64 years]]</f>
        <v>1.4163556168514843E-4</v>
      </c>
      <c r="AL347" s="67">
        <f>Integrated[[#This Row],[Flu Deaths 65 to 74 years]]/Integrated[[#This Row],[Population 65 to 74 years]]</f>
        <v>3.2000736707607659E-4</v>
      </c>
      <c r="AM347" s="67">
        <f>Integrated[[#This Row],[Flu Deaths 75 to 84 years]]/Integrated[[#This Row],[Population 75 to 84 years]]</f>
        <v>1.2175168800841892E-3</v>
      </c>
      <c r="AN347" s="67">
        <f>Integrated[[#This Row],[Flu Deaths 85+ years]]/Integrated[[#This Row],[Population 85+ years]]</f>
        <v>5.1920044943005745E-3</v>
      </c>
      <c r="AO347" s="68">
        <f>Integrated[[#This Row],[Total Flu Deaths]]/Integrated[[#This Row],[Total population]]</f>
        <v>2.7853194265983457E-4</v>
      </c>
    </row>
    <row r="348" spans="1:41" x14ac:dyDescent="0.3">
      <c r="A348" s="44" t="s">
        <v>456</v>
      </c>
      <c r="B348" t="s">
        <v>382</v>
      </c>
      <c r="C348" s="45">
        <v>2010</v>
      </c>
      <c r="D348" s="51">
        <v>7511879</v>
      </c>
      <c r="E348" s="2">
        <v>3688283</v>
      </c>
      <c r="F348" s="2">
        <v>3823598</v>
      </c>
      <c r="G348" s="78">
        <f>Integrated[[#This Row],[Female Total population]]/Integrated[[#This Row],[Total population]]</f>
        <v>0.5090068676558821</v>
      </c>
      <c r="H348" s="2">
        <v>487754</v>
      </c>
      <c r="I348" s="2">
        <v>972878</v>
      </c>
      <c r="J348" s="2">
        <v>1056292</v>
      </c>
      <c r="K348" s="2">
        <v>1013923</v>
      </c>
      <c r="L348" s="2">
        <v>1101240</v>
      </c>
      <c r="M348" s="2">
        <v>1138136</v>
      </c>
      <c r="N348" s="2">
        <v>861607</v>
      </c>
      <c r="O348" s="2">
        <v>487423</v>
      </c>
      <c r="P348" s="2">
        <v>286082</v>
      </c>
      <c r="Q348" s="52">
        <v>106781</v>
      </c>
      <c r="R348" s="127">
        <f>Integrated[[#This Row],[Population 85+ years]]/Integrated[[#This Row],[Total population]]</f>
        <v>1.4214952077902214E-2</v>
      </c>
      <c r="S348" s="58">
        <v>120</v>
      </c>
      <c r="T348" s="59">
        <v>60</v>
      </c>
      <c r="U348" s="59">
        <v>60</v>
      </c>
      <c r="V348" s="59">
        <v>60</v>
      </c>
      <c r="W348" s="59">
        <v>60</v>
      </c>
      <c r="X348" s="59">
        <v>60</v>
      </c>
      <c r="Y348" s="59">
        <v>60</v>
      </c>
      <c r="Z348" s="59">
        <v>133</v>
      </c>
      <c r="AA348" s="59">
        <v>329</v>
      </c>
      <c r="AB348" s="59">
        <v>581</v>
      </c>
      <c r="AC348" s="59">
        <f>VLOOKUP($A348,'[1]Flu Deaths Updated'!$A$2:$N$460,14,FALSE)</f>
        <v>60</v>
      </c>
      <c r="AD348" s="60">
        <f t="shared" si="5"/>
        <v>1583</v>
      </c>
      <c r="AE348" s="66">
        <f>Integrated[[#This Row],[Flu Deaths &lt;5 years old]]/Integrated[[#This Row],[Population &lt;5 years]]</f>
        <v>2.460256604763877E-4</v>
      </c>
      <c r="AF348" s="67">
        <f>Integrated[[#This Row],[Flu Deaths 5 to 14 years]]/Integrated[[#This Row],[Population 5 to 14 years]]</f>
        <v>6.1672686606131503E-5</v>
      </c>
      <c r="AG348" s="67">
        <f>Integrated[[#This Row],[Flu Deaths 15 to 24 years]]/Integrated[[#This Row],[Population 15 to 24 years]]</f>
        <v>5.6802475073180525E-5</v>
      </c>
      <c r="AH348" s="67">
        <f>Integrated[[#This Row],[Flu Deaths 25 to 34 years]]/Integrated[[#This Row],[Population 25 to 34 years]]</f>
        <v>5.9176091281093338E-5</v>
      </c>
      <c r="AI348" s="67">
        <f>Integrated[[#This Row],[Flu Deaths 35 to 44 years]]/Integrated[[#This Row],[Population 35 to 44 years]]</f>
        <v>5.448403617740002E-5</v>
      </c>
      <c r="AJ348" s="67">
        <f>Integrated[[#This Row],[Flu Deaths 45 to 54 years]]/Integrated[[#This Row],[Population 45 to 54 years]]</f>
        <v>5.2717777137354411E-5</v>
      </c>
      <c r="AK348" s="67">
        <f>Integrated[[#This Row],[Flu Deaths 55 to 64 years]]/Integrated[[#This Row],[Population 55 to 64 years]]</f>
        <v>6.9637317245565549E-5</v>
      </c>
      <c r="AL348" s="67">
        <f>Integrated[[#This Row],[Flu Deaths 65 to 74 years]]/Integrated[[#This Row],[Population 65 to 74 years]]</f>
        <v>2.7286361127808905E-4</v>
      </c>
      <c r="AM348" s="67">
        <f>Integrated[[#This Row],[Flu Deaths 75 to 84 years]]/Integrated[[#This Row],[Population 75 to 84 years]]</f>
        <v>1.1500199243573521E-3</v>
      </c>
      <c r="AN348" s="67">
        <f>Integrated[[#This Row],[Flu Deaths 85+ years]]/Integrated[[#This Row],[Population 85+ years]]</f>
        <v>5.441042882160684E-3</v>
      </c>
      <c r="AO348" s="68">
        <f>Integrated[[#This Row],[Total Flu Deaths]]/Integrated[[#This Row],[Total population]]</f>
        <v>2.107328938605108E-4</v>
      </c>
    </row>
    <row r="349" spans="1:41" x14ac:dyDescent="0.3">
      <c r="A349" s="44" t="s">
        <v>504</v>
      </c>
      <c r="B349" t="s">
        <v>472</v>
      </c>
      <c r="C349" s="45">
        <v>2016</v>
      </c>
      <c r="D349" s="51">
        <v>8850952</v>
      </c>
      <c r="E349" s="2">
        <v>4319124</v>
      </c>
      <c r="F349" s="2">
        <v>4531828</v>
      </c>
      <c r="G349" s="78">
        <f>Integrated[[#This Row],[Female Total population]]/Integrated[[#This Row],[Total population]]</f>
        <v>0.51201588258528574</v>
      </c>
      <c r="H349" s="2">
        <v>524758</v>
      </c>
      <c r="I349" s="2">
        <v>1116604</v>
      </c>
      <c r="J349" s="2">
        <v>1142066</v>
      </c>
      <c r="K349" s="2">
        <v>1140957</v>
      </c>
      <c r="L349" s="2">
        <v>1161387</v>
      </c>
      <c r="M349" s="2">
        <v>1322277</v>
      </c>
      <c r="N349" s="2">
        <v>1142393</v>
      </c>
      <c r="O349" s="2">
        <v>720365</v>
      </c>
      <c r="P349" s="2">
        <v>387983</v>
      </c>
      <c r="Q349" s="52">
        <v>193400</v>
      </c>
      <c r="R349" s="127">
        <f>Integrated[[#This Row],[Population 85+ years]]/Integrated[[#This Row],[Total population]]</f>
        <v>2.1850756845139371E-2</v>
      </c>
      <c r="S349" s="58">
        <v>120</v>
      </c>
      <c r="T349" s="59">
        <v>60</v>
      </c>
      <c r="U349" s="59">
        <v>60</v>
      </c>
      <c r="V349" s="59">
        <v>60</v>
      </c>
      <c r="W349" s="59">
        <v>60</v>
      </c>
      <c r="X349" s="59">
        <v>60</v>
      </c>
      <c r="Y349" s="59">
        <v>98</v>
      </c>
      <c r="Z349" s="59">
        <v>169</v>
      </c>
      <c r="AA349" s="59">
        <v>281</v>
      </c>
      <c r="AB349" s="59">
        <v>581</v>
      </c>
      <c r="AC349" s="59">
        <f>VLOOKUP($A349,'[1]Flu Deaths Updated'!$A$2:$N$460,14,FALSE)</f>
        <v>60</v>
      </c>
      <c r="AD349" s="60">
        <f t="shared" si="5"/>
        <v>1609</v>
      </c>
      <c r="AE349" s="66">
        <f>Integrated[[#This Row],[Flu Deaths &lt;5 years old]]/Integrated[[#This Row],[Population &lt;5 years]]</f>
        <v>2.2867683770423701E-4</v>
      </c>
      <c r="AF349" s="67">
        <f>Integrated[[#This Row],[Flu Deaths 5 to 14 years]]/Integrated[[#This Row],[Population 5 to 14 years]]</f>
        <v>5.373435882371906E-5</v>
      </c>
      <c r="AG349" s="67">
        <f>Integrated[[#This Row],[Flu Deaths 15 to 24 years]]/Integrated[[#This Row],[Population 15 to 24 years]]</f>
        <v>5.2536368300956335E-5</v>
      </c>
      <c r="AH349" s="67">
        <f>Integrated[[#This Row],[Flu Deaths 25 to 34 years]]/Integrated[[#This Row],[Population 25 to 34 years]]</f>
        <v>5.2587433181092711E-5</v>
      </c>
      <c r="AI349" s="67">
        <f>Integrated[[#This Row],[Flu Deaths 35 to 44 years]]/Integrated[[#This Row],[Population 35 to 44 years]]</f>
        <v>5.1662365774715923E-5</v>
      </c>
      <c r="AJ349" s="67">
        <f>Integrated[[#This Row],[Flu Deaths 45 to 54 years]]/Integrated[[#This Row],[Population 45 to 54 years]]</f>
        <v>4.537627138640391E-5</v>
      </c>
      <c r="AK349" s="67">
        <f>Integrated[[#This Row],[Flu Deaths 55 to 64 years]]/Integrated[[#This Row],[Population 55 to 64 years]]</f>
        <v>8.5784839367888282E-5</v>
      </c>
      <c r="AL349" s="67">
        <f>Integrated[[#This Row],[Flu Deaths 65 to 74 years]]/Integrated[[#This Row],[Population 65 to 74 years]]</f>
        <v>2.3460329138700519E-4</v>
      </c>
      <c r="AM349" s="67">
        <f>Integrated[[#This Row],[Flu Deaths 75 to 84 years]]/Integrated[[#This Row],[Population 75 to 84 years]]</f>
        <v>7.2425853710085238E-4</v>
      </c>
      <c r="AN349" s="67">
        <f>Integrated[[#This Row],[Flu Deaths 85+ years]]/Integrated[[#This Row],[Population 85+ years]]</f>
        <v>3.0041365046535678E-3</v>
      </c>
      <c r="AO349" s="68">
        <f>Integrated[[#This Row],[Total Flu Deaths]]/Integrated[[#This Row],[Total population]]</f>
        <v>1.8178835451824845E-4</v>
      </c>
    </row>
    <row r="350" spans="1:41" x14ac:dyDescent="0.3">
      <c r="A350" s="44" t="s">
        <v>273</v>
      </c>
      <c r="B350" t="s">
        <v>257</v>
      </c>
      <c r="C350" s="45">
        <v>2014</v>
      </c>
      <c r="D350" s="51">
        <v>6158334</v>
      </c>
      <c r="E350" s="2">
        <v>2997965</v>
      </c>
      <c r="F350" s="2">
        <v>3160371</v>
      </c>
      <c r="G350" s="78">
        <f>Integrated[[#This Row],[Female Total population]]/Integrated[[#This Row],[Total population]]</f>
        <v>0.5131860337552332</v>
      </c>
      <c r="H350" s="2">
        <v>386212</v>
      </c>
      <c r="I350" s="2">
        <v>801549</v>
      </c>
      <c r="J350" s="2">
        <v>840053</v>
      </c>
      <c r="K350" s="2">
        <v>806998</v>
      </c>
      <c r="L350" s="2">
        <v>805818</v>
      </c>
      <c r="M350" s="2">
        <v>862668</v>
      </c>
      <c r="N350" s="2">
        <v>778005</v>
      </c>
      <c r="O350" s="2">
        <v>506148</v>
      </c>
      <c r="P350" s="2">
        <v>268791</v>
      </c>
      <c r="Q350" s="52">
        <v>100935</v>
      </c>
      <c r="R350" s="127">
        <f>Integrated[[#This Row],[Population 85+ years]]/Integrated[[#This Row],[Total population]]</f>
        <v>1.6389984693912348E-2</v>
      </c>
      <c r="S350" s="58">
        <v>120</v>
      </c>
      <c r="T350" s="59">
        <v>60</v>
      </c>
      <c r="U350" s="59">
        <v>60</v>
      </c>
      <c r="V350" s="59">
        <v>71</v>
      </c>
      <c r="W350" s="59">
        <v>104</v>
      </c>
      <c r="X350" s="59">
        <v>60</v>
      </c>
      <c r="Y350" s="59">
        <v>172</v>
      </c>
      <c r="Z350" s="59">
        <v>257</v>
      </c>
      <c r="AA350" s="59">
        <v>409</v>
      </c>
      <c r="AB350" s="59">
        <v>582</v>
      </c>
      <c r="AC350" s="59">
        <f>VLOOKUP($A350,'[1]Flu Deaths Updated'!$A$2:$N$460,14,FALSE)</f>
        <v>60</v>
      </c>
      <c r="AD350" s="60">
        <f t="shared" si="5"/>
        <v>1955</v>
      </c>
      <c r="AE350" s="66">
        <f>Integrated[[#This Row],[Flu Deaths &lt;5 years old]]/Integrated[[#This Row],[Population &lt;5 years]]</f>
        <v>3.1071017990119416E-4</v>
      </c>
      <c r="AF350" s="67">
        <f>Integrated[[#This Row],[Flu Deaths 5 to 14 years]]/Integrated[[#This Row],[Population 5 to 14 years]]</f>
        <v>7.485506188642242E-5</v>
      </c>
      <c r="AG350" s="67">
        <f>Integrated[[#This Row],[Flu Deaths 15 to 24 years]]/Integrated[[#This Row],[Population 15 to 24 years]]</f>
        <v>7.1424064910190191E-5</v>
      </c>
      <c r="AH350" s="67">
        <f>Integrated[[#This Row],[Flu Deaths 25 to 34 years]]/Integrated[[#This Row],[Population 25 to 34 years]]</f>
        <v>7.4349626640958215E-5</v>
      </c>
      <c r="AI350" s="67">
        <f>Integrated[[#This Row],[Flu Deaths 35 to 44 years]]/Integrated[[#This Row],[Population 35 to 44 years]]</f>
        <v>8.8109225656413727E-5</v>
      </c>
      <c r="AJ350" s="67">
        <f>Integrated[[#This Row],[Flu Deaths 45 to 54 years]]/Integrated[[#This Row],[Population 45 to 54 years]]</f>
        <v>1.2055622788836493E-4</v>
      </c>
      <c r="AK350" s="67">
        <f>Integrated[[#This Row],[Flu Deaths 55 to 64 years]]/Integrated[[#This Row],[Population 55 to 64 years]]</f>
        <v>2.2107827070520113E-4</v>
      </c>
      <c r="AL350" s="67">
        <f>Integrated[[#This Row],[Flu Deaths 65 to 74 years]]/Integrated[[#This Row],[Population 65 to 74 years]]</f>
        <v>5.0775662454459957E-4</v>
      </c>
      <c r="AM350" s="67">
        <f>Integrated[[#This Row],[Flu Deaths 75 to 84 years]]/Integrated[[#This Row],[Population 75 to 84 years]]</f>
        <v>1.5216283283294456E-3</v>
      </c>
      <c r="AN350" s="67">
        <f>Integrated[[#This Row],[Flu Deaths 85+ years]]/Integrated[[#This Row],[Population 85+ years]]</f>
        <v>5.7660870857482536E-3</v>
      </c>
      <c r="AO350" s="68">
        <f>Integrated[[#This Row],[Total Flu Deaths]]/Integrated[[#This Row],[Total population]]</f>
        <v>3.1745598728487285E-4</v>
      </c>
    </row>
    <row r="351" spans="1:41" x14ac:dyDescent="0.3">
      <c r="A351" s="44" t="s">
        <v>300</v>
      </c>
      <c r="B351" t="s">
        <v>286</v>
      </c>
      <c r="C351" s="45">
        <v>2014</v>
      </c>
      <c r="D351" s="51">
        <v>5769992</v>
      </c>
      <c r="E351" s="2">
        <v>2821384</v>
      </c>
      <c r="F351" s="2">
        <v>2948613</v>
      </c>
      <c r="G351" s="78">
        <f>Integrated[[#This Row],[Female Total population]]/Integrated[[#This Row],[Total population]]</f>
        <v>0.51102549188976343</v>
      </c>
      <c r="H351" s="2">
        <v>363870</v>
      </c>
      <c r="I351" s="2">
        <v>751021</v>
      </c>
      <c r="J351" s="2">
        <v>803954</v>
      </c>
      <c r="K351" s="2">
        <v>761066</v>
      </c>
      <c r="L351" s="2">
        <v>705537</v>
      </c>
      <c r="M351" s="2">
        <v>816530</v>
      </c>
      <c r="N351" s="2">
        <v>731147</v>
      </c>
      <c r="O351" s="2">
        <v>460774</v>
      </c>
      <c r="P351" s="2">
        <v>262817</v>
      </c>
      <c r="Q351" s="52">
        <v>113212</v>
      </c>
      <c r="R351" s="127">
        <f>Integrated[[#This Row],[Population 85+ years]]/Integrated[[#This Row],[Total population]]</f>
        <v>1.9620824430952418E-2</v>
      </c>
      <c r="S351" s="58">
        <v>120</v>
      </c>
      <c r="T351" s="59">
        <v>60</v>
      </c>
      <c r="U351" s="59">
        <v>60</v>
      </c>
      <c r="V351" s="59">
        <v>67</v>
      </c>
      <c r="W351" s="59">
        <v>70</v>
      </c>
      <c r="X351" s="59">
        <v>60</v>
      </c>
      <c r="Y351" s="59">
        <v>100</v>
      </c>
      <c r="Z351" s="59">
        <v>159</v>
      </c>
      <c r="AA351" s="59">
        <v>355</v>
      </c>
      <c r="AB351" s="59">
        <v>586</v>
      </c>
      <c r="AC351" s="59">
        <f>VLOOKUP($A351,'[1]Flu Deaths Updated'!$A$2:$N$460,14,FALSE)</f>
        <v>60</v>
      </c>
      <c r="AD351" s="60">
        <f t="shared" si="5"/>
        <v>1697</v>
      </c>
      <c r="AE351" s="66">
        <f>Integrated[[#This Row],[Flu Deaths &lt;5 years old]]/Integrated[[#This Row],[Population &lt;5 years]]</f>
        <v>3.2978811113859347E-4</v>
      </c>
      <c r="AF351" s="67">
        <f>Integrated[[#This Row],[Flu Deaths 5 to 14 years]]/Integrated[[#This Row],[Population 5 to 14 years]]</f>
        <v>7.9891241390054346E-5</v>
      </c>
      <c r="AG351" s="67">
        <f>Integrated[[#This Row],[Flu Deaths 15 to 24 years]]/Integrated[[#This Row],[Population 15 to 24 years]]</f>
        <v>7.4631135612236526E-5</v>
      </c>
      <c r="AH351" s="67">
        <f>Integrated[[#This Row],[Flu Deaths 25 to 34 years]]/Integrated[[#This Row],[Population 25 to 34 years]]</f>
        <v>7.883678945058642E-5</v>
      </c>
      <c r="AI351" s="67">
        <f>Integrated[[#This Row],[Flu Deaths 35 to 44 years]]/Integrated[[#This Row],[Population 35 to 44 years]]</f>
        <v>9.4963127376735738E-5</v>
      </c>
      <c r="AJ351" s="67">
        <f>Integrated[[#This Row],[Flu Deaths 45 to 54 years]]/Integrated[[#This Row],[Population 45 to 54 years]]</f>
        <v>8.5728632138439497E-5</v>
      </c>
      <c r="AK351" s="67">
        <f>Integrated[[#This Row],[Flu Deaths 55 to 64 years]]/Integrated[[#This Row],[Population 55 to 64 years]]</f>
        <v>1.3677140164700122E-4</v>
      </c>
      <c r="AL351" s="67">
        <f>Integrated[[#This Row],[Flu Deaths 65 to 74 years]]/Integrated[[#This Row],[Population 65 to 74 years]]</f>
        <v>3.4507155351647448E-4</v>
      </c>
      <c r="AM351" s="67">
        <f>Integrated[[#This Row],[Flu Deaths 75 to 84 years]]/Integrated[[#This Row],[Population 75 to 84 years]]</f>
        <v>1.3507497612407111E-3</v>
      </c>
      <c r="AN351" s="67">
        <f>Integrated[[#This Row],[Flu Deaths 85+ years]]/Integrated[[#This Row],[Population 85+ years]]</f>
        <v>5.1761297388969365E-3</v>
      </c>
      <c r="AO351" s="68">
        <f>Integrated[[#This Row],[Total Flu Deaths]]/Integrated[[#This Row],[Total population]]</f>
        <v>2.9410786011488404E-4</v>
      </c>
    </row>
    <row r="352" spans="1:41" x14ac:dyDescent="0.3">
      <c r="A352" s="44" t="s">
        <v>335</v>
      </c>
      <c r="B352" t="s">
        <v>318</v>
      </c>
      <c r="C352" s="45">
        <v>2015</v>
      </c>
      <c r="D352" s="51">
        <v>5423610</v>
      </c>
      <c r="E352" s="2">
        <v>2689197</v>
      </c>
      <c r="F352" s="2">
        <v>2734415</v>
      </c>
      <c r="G352" s="78">
        <f>Integrated[[#This Row],[Female Total population]]/Integrated[[#This Row],[Total population]]</f>
        <v>0.50416881007299563</v>
      </c>
      <c r="H352" s="2">
        <v>326937</v>
      </c>
      <c r="I352" s="2">
        <v>697716</v>
      </c>
      <c r="J352" s="2">
        <v>751959</v>
      </c>
      <c r="K352" s="2">
        <v>698095</v>
      </c>
      <c r="L352" s="2">
        <v>663145</v>
      </c>
      <c r="M352" s="2">
        <v>782143</v>
      </c>
      <c r="N352" s="2">
        <v>716586</v>
      </c>
      <c r="O352" s="2">
        <v>429211</v>
      </c>
      <c r="P352" s="2">
        <v>244933</v>
      </c>
      <c r="Q352" s="52">
        <v>115833</v>
      </c>
      <c r="R352" s="127">
        <f>Integrated[[#This Row],[Population 85+ years]]/Integrated[[#This Row],[Total population]]</f>
        <v>2.1357177230663708E-2</v>
      </c>
      <c r="S352" s="58">
        <v>120</v>
      </c>
      <c r="T352" s="59">
        <v>60</v>
      </c>
      <c r="U352" s="59">
        <v>60</v>
      </c>
      <c r="V352" s="59">
        <v>60</v>
      </c>
      <c r="W352" s="59">
        <v>60</v>
      </c>
      <c r="X352" s="59">
        <v>60</v>
      </c>
      <c r="Y352" s="59">
        <v>60</v>
      </c>
      <c r="Z352" s="59">
        <v>92</v>
      </c>
      <c r="AA352" s="59">
        <v>243</v>
      </c>
      <c r="AB352" s="59">
        <v>595</v>
      </c>
      <c r="AC352" s="59">
        <f>VLOOKUP($A352,'[1]Flu Deaths Updated'!$A$2:$N$460,14,FALSE)</f>
        <v>60</v>
      </c>
      <c r="AD352" s="60">
        <f t="shared" si="5"/>
        <v>1470</v>
      </c>
      <c r="AE352" s="66">
        <f>Integrated[[#This Row],[Flu Deaths &lt;5 years old]]/Integrated[[#This Row],[Population &lt;5 years]]</f>
        <v>3.6704319180759596E-4</v>
      </c>
      <c r="AF352" s="67">
        <f>Integrated[[#This Row],[Flu Deaths 5 to 14 years]]/Integrated[[#This Row],[Population 5 to 14 years]]</f>
        <v>8.5994874705467553E-5</v>
      </c>
      <c r="AG352" s="67">
        <f>Integrated[[#This Row],[Flu Deaths 15 to 24 years]]/Integrated[[#This Row],[Population 15 to 24 years]]</f>
        <v>7.9791584381595275E-5</v>
      </c>
      <c r="AH352" s="67">
        <f>Integrated[[#This Row],[Flu Deaths 25 to 34 years]]/Integrated[[#This Row],[Population 25 to 34 years]]</f>
        <v>8.5948187567594673E-5</v>
      </c>
      <c r="AI352" s="67">
        <f>Integrated[[#This Row],[Flu Deaths 35 to 44 years]]/Integrated[[#This Row],[Population 35 to 44 years]]</f>
        <v>9.0477949769658219E-5</v>
      </c>
      <c r="AJ352" s="67">
        <f>Integrated[[#This Row],[Flu Deaths 45 to 54 years]]/Integrated[[#This Row],[Population 45 to 54 years]]</f>
        <v>7.6712314755741592E-5</v>
      </c>
      <c r="AK352" s="67">
        <f>Integrated[[#This Row],[Flu Deaths 55 to 64 years]]/Integrated[[#This Row],[Population 55 to 64 years]]</f>
        <v>8.3730354765513136E-5</v>
      </c>
      <c r="AL352" s="67">
        <f>Integrated[[#This Row],[Flu Deaths 65 to 74 years]]/Integrated[[#This Row],[Population 65 to 74 years]]</f>
        <v>2.1434678980734417E-4</v>
      </c>
      <c r="AM352" s="67">
        <f>Integrated[[#This Row],[Flu Deaths 75 to 84 years]]/Integrated[[#This Row],[Population 75 to 84 years]]</f>
        <v>9.9210804587376964E-4</v>
      </c>
      <c r="AN352" s="67">
        <f>Integrated[[#This Row],[Flu Deaths 85+ years]]/Integrated[[#This Row],[Population 85+ years]]</f>
        <v>5.1367054293681418E-3</v>
      </c>
      <c r="AO352" s="68">
        <f>Integrated[[#This Row],[Total Flu Deaths]]/Integrated[[#This Row],[Total population]]</f>
        <v>2.7103718740838667E-4</v>
      </c>
    </row>
    <row r="353" spans="1:41" x14ac:dyDescent="0.3">
      <c r="A353" s="44" t="s">
        <v>271</v>
      </c>
      <c r="B353" t="s">
        <v>257</v>
      </c>
      <c r="C353" s="45">
        <v>2013</v>
      </c>
      <c r="D353" s="51">
        <v>6010567</v>
      </c>
      <c r="E353" s="2">
        <v>2926162</v>
      </c>
      <c r="F353" s="2">
        <v>3084406</v>
      </c>
      <c r="G353" s="78">
        <f>Integrated[[#This Row],[Female Total population]]/Integrated[[#This Row],[Total population]]</f>
        <v>0.5131638995123089</v>
      </c>
      <c r="H353" s="2">
        <v>380031</v>
      </c>
      <c r="I353" s="2">
        <v>782790</v>
      </c>
      <c r="J353" s="2">
        <v>829336</v>
      </c>
      <c r="K353" s="2">
        <v>787985</v>
      </c>
      <c r="L353" s="2">
        <v>798504</v>
      </c>
      <c r="M353" s="2">
        <v>855981</v>
      </c>
      <c r="N353" s="2">
        <v>752239</v>
      </c>
      <c r="O353" s="2">
        <v>474662</v>
      </c>
      <c r="P353" s="2">
        <v>254948</v>
      </c>
      <c r="Q353" s="52">
        <v>95104</v>
      </c>
      <c r="R353" s="127">
        <f>Integrated[[#This Row],[Population 85+ years]]/Integrated[[#This Row],[Total population]]</f>
        <v>1.5822800078594913E-2</v>
      </c>
      <c r="S353" s="58">
        <v>120</v>
      </c>
      <c r="T353" s="59">
        <v>60</v>
      </c>
      <c r="U353" s="59">
        <v>60</v>
      </c>
      <c r="V353" s="59">
        <v>68</v>
      </c>
      <c r="W353" s="59">
        <v>75</v>
      </c>
      <c r="X353" s="59">
        <v>60</v>
      </c>
      <c r="Y353" s="59">
        <v>152</v>
      </c>
      <c r="Z353" s="59">
        <v>252</v>
      </c>
      <c r="AA353" s="59">
        <v>411</v>
      </c>
      <c r="AB353" s="59">
        <v>597</v>
      </c>
      <c r="AC353" s="59">
        <f>VLOOKUP($A353,'[1]Flu Deaths Updated'!$A$2:$N$460,14,FALSE)</f>
        <v>60</v>
      </c>
      <c r="AD353" s="60">
        <f t="shared" si="5"/>
        <v>1915</v>
      </c>
      <c r="AE353" s="66">
        <f>Integrated[[#This Row],[Flu Deaths &lt;5 years old]]/Integrated[[#This Row],[Population &lt;5 years]]</f>
        <v>3.1576371401280422E-4</v>
      </c>
      <c r="AF353" s="67">
        <f>Integrated[[#This Row],[Flu Deaths 5 to 14 years]]/Integrated[[#This Row],[Population 5 to 14 years]]</f>
        <v>7.6648909669259951E-5</v>
      </c>
      <c r="AG353" s="67">
        <f>Integrated[[#This Row],[Flu Deaths 15 to 24 years]]/Integrated[[#This Row],[Population 15 to 24 years]]</f>
        <v>7.2347034253909148E-5</v>
      </c>
      <c r="AH353" s="67">
        <f>Integrated[[#This Row],[Flu Deaths 25 to 34 years]]/Integrated[[#This Row],[Population 25 to 34 years]]</f>
        <v>7.6143581413351782E-5</v>
      </c>
      <c r="AI353" s="67">
        <f>Integrated[[#This Row],[Flu Deaths 35 to 44 years]]/Integrated[[#This Row],[Population 35 to 44 years]]</f>
        <v>8.5159247793373605E-5</v>
      </c>
      <c r="AJ353" s="67">
        <f>Integrated[[#This Row],[Flu Deaths 45 to 54 years]]/Integrated[[#This Row],[Population 45 to 54 years]]</f>
        <v>8.7618767238992459E-5</v>
      </c>
      <c r="AK353" s="67">
        <f>Integrated[[#This Row],[Flu Deaths 55 to 64 years]]/Integrated[[#This Row],[Population 55 to 64 years]]</f>
        <v>2.0206343994395398E-4</v>
      </c>
      <c r="AL353" s="67">
        <f>Integrated[[#This Row],[Flu Deaths 65 to 74 years]]/Integrated[[#This Row],[Population 65 to 74 years]]</f>
        <v>5.3090409596723558E-4</v>
      </c>
      <c r="AM353" s="67">
        <f>Integrated[[#This Row],[Flu Deaths 75 to 84 years]]/Integrated[[#This Row],[Population 75 to 84 years]]</f>
        <v>1.6120934465067387E-3</v>
      </c>
      <c r="AN353" s="67">
        <f>Integrated[[#This Row],[Flu Deaths 85+ years]]/Integrated[[#This Row],[Population 85+ years]]</f>
        <v>6.2773384925975777E-3</v>
      </c>
      <c r="AO353" s="68">
        <f>Integrated[[#This Row],[Total Flu Deaths]]/Integrated[[#This Row],[Total population]]</f>
        <v>3.1860554919361183E-4</v>
      </c>
    </row>
    <row r="354" spans="1:41" x14ac:dyDescent="0.3">
      <c r="A354" s="44" t="s">
        <v>503</v>
      </c>
      <c r="B354" t="s">
        <v>472</v>
      </c>
      <c r="C354" s="45">
        <v>2011</v>
      </c>
      <c r="D354" s="51">
        <v>8753064</v>
      </c>
      <c r="E354" s="2">
        <v>4261485</v>
      </c>
      <c r="F354" s="2">
        <v>4491579</v>
      </c>
      <c r="G354" s="78">
        <f>Integrated[[#This Row],[Female Total population]]/Integrated[[#This Row],[Total population]]</f>
        <v>0.51314362604911834</v>
      </c>
      <c r="H354" s="2">
        <v>543399</v>
      </c>
      <c r="I354" s="2">
        <v>1150404</v>
      </c>
      <c r="J354" s="2">
        <v>1131420</v>
      </c>
      <c r="K354" s="2">
        <v>1103421</v>
      </c>
      <c r="L354" s="2">
        <v>1265730</v>
      </c>
      <c r="M354" s="2">
        <v>1361423</v>
      </c>
      <c r="N354" s="2">
        <v>1021130</v>
      </c>
      <c r="O354" s="2">
        <v>600173</v>
      </c>
      <c r="P354" s="2">
        <v>400755</v>
      </c>
      <c r="Q354" s="52">
        <v>172164</v>
      </c>
      <c r="R354" s="127">
        <f>Integrated[[#This Row],[Population 85+ years]]/Integrated[[#This Row],[Total population]]</f>
        <v>1.9668998193089871E-2</v>
      </c>
      <c r="S354" s="58">
        <v>120</v>
      </c>
      <c r="T354" s="59">
        <v>60</v>
      </c>
      <c r="U354" s="59">
        <v>60</v>
      </c>
      <c r="V354" s="59">
        <v>60</v>
      </c>
      <c r="W354" s="59">
        <v>67</v>
      </c>
      <c r="X354" s="59">
        <v>60</v>
      </c>
      <c r="Y354" s="59">
        <v>86</v>
      </c>
      <c r="Z354" s="59">
        <v>124</v>
      </c>
      <c r="AA354" s="59">
        <v>292</v>
      </c>
      <c r="AB354" s="59">
        <v>603</v>
      </c>
      <c r="AC354" s="59">
        <f>VLOOKUP($A354,'[1]Flu Deaths Updated'!$A$2:$N$460,14,FALSE)</f>
        <v>60</v>
      </c>
      <c r="AD354" s="60">
        <f t="shared" si="5"/>
        <v>1592</v>
      </c>
      <c r="AE354" s="66">
        <f>Integrated[[#This Row],[Flu Deaths &lt;5 years old]]/Integrated[[#This Row],[Population &lt;5 years]]</f>
        <v>2.2083220616894768E-4</v>
      </c>
      <c r="AF354" s="67">
        <f>Integrated[[#This Row],[Flu Deaths 5 to 14 years]]/Integrated[[#This Row],[Population 5 to 14 years]]</f>
        <v>5.2155590557751889E-5</v>
      </c>
      <c r="AG354" s="67">
        <f>Integrated[[#This Row],[Flu Deaths 15 to 24 years]]/Integrated[[#This Row],[Population 15 to 24 years]]</f>
        <v>5.3030704778066499E-5</v>
      </c>
      <c r="AH354" s="67">
        <f>Integrated[[#This Row],[Flu Deaths 25 to 34 years]]/Integrated[[#This Row],[Population 25 to 34 years]]</f>
        <v>5.4376344115256102E-5</v>
      </c>
      <c r="AI354" s="67">
        <f>Integrated[[#This Row],[Flu Deaths 35 to 44 years]]/Integrated[[#This Row],[Population 35 to 44 years]]</f>
        <v>4.7403474674693655E-5</v>
      </c>
      <c r="AJ354" s="67">
        <f>Integrated[[#This Row],[Flu Deaths 45 to 54 years]]/Integrated[[#This Row],[Population 45 to 54 years]]</f>
        <v>4.9213212939696188E-5</v>
      </c>
      <c r="AK354" s="67">
        <f>Integrated[[#This Row],[Flu Deaths 55 to 64 years]]/Integrated[[#This Row],[Population 55 to 64 years]]</f>
        <v>8.4220422473142505E-5</v>
      </c>
      <c r="AL354" s="67">
        <f>Integrated[[#This Row],[Flu Deaths 65 to 74 years]]/Integrated[[#This Row],[Population 65 to 74 years]]</f>
        <v>2.0660709495428818E-4</v>
      </c>
      <c r="AM354" s="67">
        <f>Integrated[[#This Row],[Flu Deaths 75 to 84 years]]/Integrated[[#This Row],[Population 75 to 84 years]]</f>
        <v>7.2862472083941559E-4</v>
      </c>
      <c r="AN354" s="67">
        <f>Integrated[[#This Row],[Flu Deaths 85+ years]]/Integrated[[#This Row],[Population 85+ years]]</f>
        <v>3.5024743848888268E-3</v>
      </c>
      <c r="AO354" s="68">
        <f>Integrated[[#This Row],[Total Flu Deaths]]/Integrated[[#This Row],[Total population]]</f>
        <v>1.8187916825468202E-4</v>
      </c>
    </row>
    <row r="355" spans="1:41" x14ac:dyDescent="0.3">
      <c r="A355" s="44" t="s">
        <v>485</v>
      </c>
      <c r="B355" t="s">
        <v>472</v>
      </c>
      <c r="C355" s="45">
        <v>2009</v>
      </c>
      <c r="D355" s="51">
        <v>8650548</v>
      </c>
      <c r="E355" s="2">
        <v>4231941</v>
      </c>
      <c r="F355" s="2">
        <v>4418607</v>
      </c>
      <c r="G355" s="78">
        <f>Integrated[[#This Row],[Female Total population]]/Integrated[[#This Row],[Total population]]</f>
        <v>0.51078925866893055</v>
      </c>
      <c r="H355" s="2">
        <v>561490</v>
      </c>
      <c r="I355" s="2">
        <v>1146110</v>
      </c>
      <c r="J355" s="2">
        <v>1100067</v>
      </c>
      <c r="K355" s="2">
        <v>1103892</v>
      </c>
      <c r="L355" s="2">
        <v>1315732</v>
      </c>
      <c r="M355" s="2">
        <v>1329122</v>
      </c>
      <c r="N355" s="2">
        <v>953267</v>
      </c>
      <c r="O355" s="2">
        <v>577362</v>
      </c>
      <c r="P355" s="2">
        <v>402447</v>
      </c>
      <c r="Q355" s="52">
        <v>161660</v>
      </c>
      <c r="R355" s="127">
        <f>Integrated[[#This Row],[Population 85+ years]]/Integrated[[#This Row],[Total population]]</f>
        <v>1.8687833418183451E-2</v>
      </c>
      <c r="S355" s="58">
        <v>120</v>
      </c>
      <c r="T355" s="59">
        <v>60</v>
      </c>
      <c r="U355" s="59">
        <v>60</v>
      </c>
      <c r="V355" s="59">
        <v>60</v>
      </c>
      <c r="W355" s="59">
        <v>66</v>
      </c>
      <c r="X355" s="59">
        <v>60</v>
      </c>
      <c r="Y355" s="59">
        <v>93</v>
      </c>
      <c r="Z355" s="59">
        <v>126</v>
      </c>
      <c r="AA355" s="59">
        <v>363</v>
      </c>
      <c r="AB355" s="59">
        <v>605</v>
      </c>
      <c r="AC355" s="59">
        <f>VLOOKUP($A355,'[1]Flu Deaths Updated'!$A$2:$N$460,14,FALSE)</f>
        <v>60</v>
      </c>
      <c r="AD355" s="60">
        <f t="shared" si="5"/>
        <v>1673</v>
      </c>
      <c r="AE355" s="66">
        <f>Integrated[[#This Row],[Flu Deaths &lt;5 years old]]/Integrated[[#This Row],[Population &lt;5 years]]</f>
        <v>2.1371707421325402E-4</v>
      </c>
      <c r="AF355" s="67">
        <f>Integrated[[#This Row],[Flu Deaths 5 to 14 years]]/Integrated[[#This Row],[Population 5 to 14 years]]</f>
        <v>5.2350995977698473E-5</v>
      </c>
      <c r="AG355" s="67">
        <f>Integrated[[#This Row],[Flu Deaths 15 to 24 years]]/Integrated[[#This Row],[Population 15 to 24 years]]</f>
        <v>5.4542132433751764E-5</v>
      </c>
      <c r="AH355" s="67">
        <f>Integrated[[#This Row],[Flu Deaths 25 to 34 years]]/Integrated[[#This Row],[Population 25 to 34 years]]</f>
        <v>5.4353143242273701E-5</v>
      </c>
      <c r="AI355" s="67">
        <f>Integrated[[#This Row],[Flu Deaths 35 to 44 years]]/Integrated[[#This Row],[Population 35 to 44 years]]</f>
        <v>4.5601991895005976E-5</v>
      </c>
      <c r="AJ355" s="67">
        <f>Integrated[[#This Row],[Flu Deaths 45 to 54 years]]/Integrated[[#This Row],[Population 45 to 54 years]]</f>
        <v>4.965684113271769E-5</v>
      </c>
      <c r="AK355" s="67">
        <f>Integrated[[#This Row],[Flu Deaths 55 to 64 years]]/Integrated[[#This Row],[Population 55 to 64 years]]</f>
        <v>9.7559235765006021E-5</v>
      </c>
      <c r="AL355" s="67">
        <f>Integrated[[#This Row],[Flu Deaths 65 to 74 years]]/Integrated[[#This Row],[Population 65 to 74 years]]</f>
        <v>2.1823396759745186E-4</v>
      </c>
      <c r="AM355" s="67">
        <f>Integrated[[#This Row],[Flu Deaths 75 to 84 years]]/Integrated[[#This Row],[Population 75 to 84 years]]</f>
        <v>9.0198212435426285E-4</v>
      </c>
      <c r="AN355" s="67">
        <f>Integrated[[#This Row],[Flu Deaths 85+ years]]/Integrated[[#This Row],[Population 85+ years]]</f>
        <v>3.7424223679326982E-3</v>
      </c>
      <c r="AO355" s="68">
        <f>Integrated[[#This Row],[Total Flu Deaths]]/Integrated[[#This Row],[Total population]]</f>
        <v>1.9339815234826742E-4</v>
      </c>
    </row>
    <row r="356" spans="1:41" x14ac:dyDescent="0.3">
      <c r="A356" s="44" t="s">
        <v>302</v>
      </c>
      <c r="B356" t="s">
        <v>286</v>
      </c>
      <c r="C356" s="45">
        <v>2009</v>
      </c>
      <c r="D356" s="51">
        <v>5784755</v>
      </c>
      <c r="E356" s="2">
        <v>2819926</v>
      </c>
      <c r="F356" s="2">
        <v>2964829</v>
      </c>
      <c r="G356" s="78">
        <f>Integrated[[#This Row],[Female Total population]]/Integrated[[#This Row],[Total population]]</f>
        <v>0.51252455808413666</v>
      </c>
      <c r="H356" s="2">
        <v>387886</v>
      </c>
      <c r="I356" s="2">
        <v>766038</v>
      </c>
      <c r="J356" s="2">
        <v>824024</v>
      </c>
      <c r="K356" s="2">
        <v>743835</v>
      </c>
      <c r="L356" s="2">
        <v>785702</v>
      </c>
      <c r="M356" s="2">
        <v>855845</v>
      </c>
      <c r="N356" s="2">
        <v>643604</v>
      </c>
      <c r="O356" s="2">
        <v>399663</v>
      </c>
      <c r="P356" s="2">
        <v>269389</v>
      </c>
      <c r="Q356" s="52">
        <v>108414</v>
      </c>
      <c r="R356" s="127">
        <f>Integrated[[#This Row],[Population 85+ years]]/Integrated[[#This Row],[Total population]]</f>
        <v>1.8741329580941629E-2</v>
      </c>
      <c r="S356" s="58">
        <v>120</v>
      </c>
      <c r="T356" s="59">
        <v>60</v>
      </c>
      <c r="U356" s="59">
        <v>60</v>
      </c>
      <c r="V356" s="59">
        <v>60</v>
      </c>
      <c r="W356" s="59">
        <v>65</v>
      </c>
      <c r="X356" s="59">
        <v>60</v>
      </c>
      <c r="Y356" s="59">
        <v>95</v>
      </c>
      <c r="Z356" s="59">
        <v>152</v>
      </c>
      <c r="AA356" s="59">
        <v>346</v>
      </c>
      <c r="AB356" s="59">
        <v>620</v>
      </c>
      <c r="AC356" s="59">
        <f>VLOOKUP($A356,'[1]Flu Deaths Updated'!$A$2:$N$460,14,FALSE)</f>
        <v>60</v>
      </c>
      <c r="AD356" s="60">
        <f t="shared" si="5"/>
        <v>1698</v>
      </c>
      <c r="AE356" s="66">
        <f>Integrated[[#This Row],[Flu Deaths &lt;5 years old]]/Integrated[[#This Row],[Population &lt;5 years]]</f>
        <v>3.0936924766555119E-4</v>
      </c>
      <c r="AF356" s="67">
        <f>Integrated[[#This Row],[Flu Deaths 5 to 14 years]]/Integrated[[#This Row],[Population 5 to 14 years]]</f>
        <v>7.8325096144055519E-5</v>
      </c>
      <c r="AG356" s="67">
        <f>Integrated[[#This Row],[Flu Deaths 15 to 24 years]]/Integrated[[#This Row],[Population 15 to 24 years]]</f>
        <v>7.2813413201557235E-5</v>
      </c>
      <c r="AH356" s="67">
        <f>Integrated[[#This Row],[Flu Deaths 25 to 34 years]]/Integrated[[#This Row],[Population 25 to 34 years]]</f>
        <v>8.066305027324608E-5</v>
      </c>
      <c r="AI356" s="67">
        <f>Integrated[[#This Row],[Flu Deaths 35 to 44 years]]/Integrated[[#This Row],[Population 35 to 44 years]]</f>
        <v>7.6364830431894029E-5</v>
      </c>
      <c r="AJ356" s="67">
        <f>Integrated[[#This Row],[Flu Deaths 45 to 54 years]]/Integrated[[#This Row],[Population 45 to 54 years]]</f>
        <v>7.5948331765681874E-5</v>
      </c>
      <c r="AK356" s="67">
        <f>Integrated[[#This Row],[Flu Deaths 55 to 64 years]]/Integrated[[#This Row],[Population 55 to 64 years]]</f>
        <v>1.4760629206779323E-4</v>
      </c>
      <c r="AL356" s="67">
        <f>Integrated[[#This Row],[Flu Deaths 65 to 74 years]]/Integrated[[#This Row],[Population 65 to 74 years]]</f>
        <v>3.8032041995381111E-4</v>
      </c>
      <c r="AM356" s="67">
        <f>Integrated[[#This Row],[Flu Deaths 75 to 84 years]]/Integrated[[#This Row],[Population 75 to 84 years]]</f>
        <v>1.2843880039645271E-3</v>
      </c>
      <c r="AN356" s="67">
        <f>Integrated[[#This Row],[Flu Deaths 85+ years]]/Integrated[[#This Row],[Population 85+ years]]</f>
        <v>5.7188186027634811E-3</v>
      </c>
      <c r="AO356" s="68">
        <f>Integrated[[#This Row],[Total Flu Deaths]]/Integrated[[#This Row],[Total population]]</f>
        <v>2.9353014950503521E-4</v>
      </c>
    </row>
    <row r="357" spans="1:41" x14ac:dyDescent="0.3">
      <c r="A357" s="44" t="s">
        <v>381</v>
      </c>
      <c r="B357" t="s">
        <v>382</v>
      </c>
      <c r="C357" s="45">
        <v>2014</v>
      </c>
      <c r="D357" s="51">
        <v>7607567</v>
      </c>
      <c r="E357" s="2">
        <v>3743468</v>
      </c>
      <c r="F357" s="2">
        <v>3864105</v>
      </c>
      <c r="G357" s="78">
        <f>Integrated[[#This Row],[Female Total population]]/Integrated[[#This Row],[Total population]]</f>
        <v>0.50792914475810724</v>
      </c>
      <c r="H357" s="2">
        <v>477530</v>
      </c>
      <c r="I357" s="2">
        <v>969922</v>
      </c>
      <c r="J357" s="2">
        <v>1058164</v>
      </c>
      <c r="K357" s="2">
        <v>1065815</v>
      </c>
      <c r="L357" s="2">
        <v>1027579</v>
      </c>
      <c r="M357" s="2">
        <v>1115461</v>
      </c>
      <c r="N357" s="2">
        <v>930614</v>
      </c>
      <c r="O357" s="2">
        <v>560644</v>
      </c>
      <c r="P357" s="2">
        <v>283515</v>
      </c>
      <c r="Q357" s="52">
        <v>118260</v>
      </c>
      <c r="R357" s="127">
        <f>Integrated[[#This Row],[Population 85+ years]]/Integrated[[#This Row],[Total population]]</f>
        <v>1.5545048765262271E-2</v>
      </c>
      <c r="S357" s="58">
        <v>120</v>
      </c>
      <c r="T357" s="59">
        <v>60</v>
      </c>
      <c r="U357" s="59">
        <v>60</v>
      </c>
      <c r="V357" s="59">
        <v>66</v>
      </c>
      <c r="W357" s="59">
        <v>79</v>
      </c>
      <c r="X357" s="59">
        <v>60</v>
      </c>
      <c r="Y357" s="59">
        <v>124</v>
      </c>
      <c r="Z357" s="59">
        <v>237</v>
      </c>
      <c r="AA357" s="59">
        <v>372</v>
      </c>
      <c r="AB357" s="59">
        <v>620</v>
      </c>
      <c r="AC357" s="59">
        <f>VLOOKUP($A357,'[1]Flu Deaths Updated'!$A$2:$N$460,14,FALSE)</f>
        <v>60</v>
      </c>
      <c r="AD357" s="60">
        <f t="shared" si="5"/>
        <v>1858</v>
      </c>
      <c r="AE357" s="66">
        <f>Integrated[[#This Row],[Flu Deaths &lt;5 years old]]/Integrated[[#This Row],[Population &lt;5 years]]</f>
        <v>2.5129311247460893E-4</v>
      </c>
      <c r="AF357" s="67">
        <f>Integrated[[#This Row],[Flu Deaths 5 to 14 years]]/Integrated[[#This Row],[Population 5 to 14 years]]</f>
        <v>6.1860644464194027E-5</v>
      </c>
      <c r="AG357" s="67">
        <f>Integrated[[#This Row],[Flu Deaths 15 to 24 years]]/Integrated[[#This Row],[Population 15 to 24 years]]</f>
        <v>5.6701985703539338E-5</v>
      </c>
      <c r="AH357" s="67">
        <f>Integrated[[#This Row],[Flu Deaths 25 to 34 years]]/Integrated[[#This Row],[Population 25 to 34 years]]</f>
        <v>5.6294947997541788E-5</v>
      </c>
      <c r="AI357" s="67">
        <f>Integrated[[#This Row],[Flu Deaths 35 to 44 years]]/Integrated[[#This Row],[Population 35 to 44 years]]</f>
        <v>6.422863838206113E-5</v>
      </c>
      <c r="AJ357" s="67">
        <f>Integrated[[#This Row],[Flu Deaths 45 to 54 years]]/Integrated[[#This Row],[Population 45 to 54 years]]</f>
        <v>7.0822736070557377E-5</v>
      </c>
      <c r="AK357" s="67">
        <f>Integrated[[#This Row],[Flu Deaths 55 to 64 years]]/Integrated[[#This Row],[Population 55 to 64 years]]</f>
        <v>1.3324536273900888E-4</v>
      </c>
      <c r="AL357" s="67">
        <f>Integrated[[#This Row],[Flu Deaths 65 to 74 years]]/Integrated[[#This Row],[Population 65 to 74 years]]</f>
        <v>4.2272814834369045E-4</v>
      </c>
      <c r="AM357" s="67">
        <f>Integrated[[#This Row],[Flu Deaths 75 to 84 years]]/Integrated[[#This Row],[Population 75 to 84 years]]</f>
        <v>1.3120998888947674E-3</v>
      </c>
      <c r="AN357" s="67">
        <f>Integrated[[#This Row],[Flu Deaths 85+ years]]/Integrated[[#This Row],[Population 85+ years]]</f>
        <v>5.2426856079824113E-3</v>
      </c>
      <c r="AO357" s="68">
        <f>Integrated[[#This Row],[Total Flu Deaths]]/Integrated[[#This Row],[Total population]]</f>
        <v>2.4423051417095637E-4</v>
      </c>
    </row>
    <row r="358" spans="1:41" x14ac:dyDescent="0.3">
      <c r="A358" s="44" t="s">
        <v>304</v>
      </c>
      <c r="B358" t="s">
        <v>257</v>
      </c>
      <c r="C358" s="45">
        <v>2012</v>
      </c>
      <c r="D358" s="51">
        <v>6144855</v>
      </c>
      <c r="E358" s="2">
        <v>2993023</v>
      </c>
      <c r="F358" s="2">
        <v>3151834</v>
      </c>
      <c r="G358" s="78">
        <f>Integrated[[#This Row],[Female Total population]]/Integrated[[#This Row],[Total population]]</f>
        <v>0.51292243673772608</v>
      </c>
      <c r="H358" s="2">
        <v>394609</v>
      </c>
      <c r="I358" s="2">
        <v>807562</v>
      </c>
      <c r="J358" s="2">
        <v>841789</v>
      </c>
      <c r="K358" s="2">
        <v>803940</v>
      </c>
      <c r="L358" s="2">
        <v>830512</v>
      </c>
      <c r="M358" s="2">
        <v>886680</v>
      </c>
      <c r="N358" s="2">
        <v>758443</v>
      </c>
      <c r="O358" s="2">
        <v>470602</v>
      </c>
      <c r="P358" s="2">
        <v>257979</v>
      </c>
      <c r="Q358" s="52">
        <v>95450</v>
      </c>
      <c r="R358" s="127">
        <f>Integrated[[#This Row],[Population 85+ years]]/Integrated[[#This Row],[Total population]]</f>
        <v>1.553332015157396E-2</v>
      </c>
      <c r="S358" s="58">
        <v>120</v>
      </c>
      <c r="T358" s="59">
        <v>60</v>
      </c>
      <c r="U358" s="59">
        <v>60</v>
      </c>
      <c r="V358" s="59">
        <v>60</v>
      </c>
      <c r="W358" s="59">
        <v>60</v>
      </c>
      <c r="X358" s="59">
        <v>60</v>
      </c>
      <c r="Y358" s="59">
        <v>118</v>
      </c>
      <c r="Z358" s="59">
        <v>216</v>
      </c>
      <c r="AA358" s="59">
        <v>355</v>
      </c>
      <c r="AB358" s="59">
        <v>630</v>
      </c>
      <c r="AC358" s="59">
        <f>VLOOKUP($A358,'[1]Flu Deaths Updated'!$A$2:$N$460,14,FALSE)</f>
        <v>60</v>
      </c>
      <c r="AD358" s="60">
        <f t="shared" si="5"/>
        <v>1799</v>
      </c>
      <c r="AE358" s="66">
        <f>Integrated[[#This Row],[Flu Deaths &lt;5 years old]]/Integrated[[#This Row],[Population &lt;5 years]]</f>
        <v>3.0409848736344077E-4</v>
      </c>
      <c r="AF358" s="67">
        <f>Integrated[[#This Row],[Flu Deaths 5 to 14 years]]/Integrated[[#This Row],[Population 5 to 14 years]]</f>
        <v>7.4297700981472626E-5</v>
      </c>
      <c r="AG358" s="67">
        <f>Integrated[[#This Row],[Flu Deaths 15 to 24 years]]/Integrated[[#This Row],[Population 15 to 24 years]]</f>
        <v>7.1276768881513064E-5</v>
      </c>
      <c r="AH358" s="67">
        <f>Integrated[[#This Row],[Flu Deaths 25 to 34 years]]/Integrated[[#This Row],[Population 25 to 34 years]]</f>
        <v>7.4632435256362419E-5</v>
      </c>
      <c r="AI358" s="67">
        <f>Integrated[[#This Row],[Flu Deaths 35 to 44 years]]/Integrated[[#This Row],[Population 35 to 44 years]]</f>
        <v>7.2244591288265551E-5</v>
      </c>
      <c r="AJ358" s="67">
        <f>Integrated[[#This Row],[Flu Deaths 45 to 54 years]]/Integrated[[#This Row],[Population 45 to 54 years]]</f>
        <v>6.766815536608472E-5</v>
      </c>
      <c r="AK358" s="67">
        <f>Integrated[[#This Row],[Flu Deaths 55 to 64 years]]/Integrated[[#This Row],[Population 55 to 64 years]]</f>
        <v>1.5558189606865644E-4</v>
      </c>
      <c r="AL358" s="67">
        <f>Integrated[[#This Row],[Flu Deaths 65 to 74 years]]/Integrated[[#This Row],[Population 65 to 74 years]]</f>
        <v>4.5898657464269171E-4</v>
      </c>
      <c r="AM358" s="67">
        <f>Integrated[[#This Row],[Flu Deaths 75 to 84 years]]/Integrated[[#This Row],[Population 75 to 84 years]]</f>
        <v>1.3760809988409908E-3</v>
      </c>
      <c r="AN358" s="67">
        <f>Integrated[[#This Row],[Flu Deaths 85+ years]]/Integrated[[#This Row],[Population 85+ years]]</f>
        <v>6.6003143006809848E-3</v>
      </c>
      <c r="AO358" s="68">
        <f>Integrated[[#This Row],[Total Flu Deaths]]/Integrated[[#This Row],[Total population]]</f>
        <v>2.9276524832563177E-4</v>
      </c>
    </row>
    <row r="359" spans="1:41" x14ac:dyDescent="0.3">
      <c r="A359" s="44" t="s">
        <v>418</v>
      </c>
      <c r="B359" t="s">
        <v>382</v>
      </c>
      <c r="C359" s="45">
        <v>2015</v>
      </c>
      <c r="D359" s="51">
        <v>7833844</v>
      </c>
      <c r="E359" s="2">
        <v>3850960</v>
      </c>
      <c r="F359" s="2">
        <v>3982890</v>
      </c>
      <c r="G359" s="78">
        <f>Integrated[[#This Row],[Female Total population]]/Integrated[[#This Row],[Total population]]</f>
        <v>0.50842089783763889</v>
      </c>
      <c r="H359" s="2">
        <v>492693</v>
      </c>
      <c r="I359" s="2">
        <v>995885</v>
      </c>
      <c r="J359" s="2">
        <v>1077929</v>
      </c>
      <c r="K359" s="2">
        <v>1106367</v>
      </c>
      <c r="L359" s="2">
        <v>1044777</v>
      </c>
      <c r="M359" s="2">
        <v>1127421</v>
      </c>
      <c r="N359" s="2">
        <v>966052</v>
      </c>
      <c r="O359" s="2">
        <v>599653</v>
      </c>
      <c r="P359" s="2">
        <v>299148</v>
      </c>
      <c r="Q359" s="52">
        <v>128355</v>
      </c>
      <c r="R359" s="127">
        <f>Integrated[[#This Row],[Population 85+ years]]/Integrated[[#This Row],[Total population]]</f>
        <v>1.6384676539384753E-2</v>
      </c>
      <c r="S359" s="58">
        <v>120</v>
      </c>
      <c r="T359" s="59">
        <v>60</v>
      </c>
      <c r="U359" s="59">
        <v>60</v>
      </c>
      <c r="V359" s="59">
        <v>60</v>
      </c>
      <c r="W359" s="59">
        <v>60</v>
      </c>
      <c r="X359" s="59">
        <v>60</v>
      </c>
      <c r="Y359" s="59">
        <v>121</v>
      </c>
      <c r="Z359" s="59">
        <v>224</v>
      </c>
      <c r="AA359" s="59">
        <v>350</v>
      </c>
      <c r="AB359" s="59">
        <v>632</v>
      </c>
      <c r="AC359" s="59">
        <f>VLOOKUP($A359,'[1]Flu Deaths Updated'!$A$2:$N$460,14,FALSE)</f>
        <v>60</v>
      </c>
      <c r="AD359" s="60">
        <f t="shared" si="5"/>
        <v>1807</v>
      </c>
      <c r="AE359" s="66">
        <f>Integrated[[#This Row],[Flu Deaths &lt;5 years old]]/Integrated[[#This Row],[Population &lt;5 years]]</f>
        <v>2.4355937673155493E-4</v>
      </c>
      <c r="AF359" s="67">
        <f>Integrated[[#This Row],[Flu Deaths 5 to 14 years]]/Integrated[[#This Row],[Population 5 to 14 years]]</f>
        <v>6.0247920191588388E-5</v>
      </c>
      <c r="AG359" s="67">
        <f>Integrated[[#This Row],[Flu Deaths 15 to 24 years]]/Integrated[[#This Row],[Population 15 to 24 years]]</f>
        <v>5.5662293156599368E-5</v>
      </c>
      <c r="AH359" s="67">
        <f>Integrated[[#This Row],[Flu Deaths 25 to 34 years]]/Integrated[[#This Row],[Population 25 to 34 years]]</f>
        <v>5.4231552459536482E-5</v>
      </c>
      <c r="AI359" s="67">
        <f>Integrated[[#This Row],[Flu Deaths 35 to 44 years]]/Integrated[[#This Row],[Population 35 to 44 years]]</f>
        <v>5.7428523024530593E-5</v>
      </c>
      <c r="AJ359" s="67">
        <f>Integrated[[#This Row],[Flu Deaths 45 to 54 years]]/Integrated[[#This Row],[Population 45 to 54 years]]</f>
        <v>5.3218806461827478E-5</v>
      </c>
      <c r="AK359" s="67">
        <f>Integrated[[#This Row],[Flu Deaths 55 to 64 years]]/Integrated[[#This Row],[Population 55 to 64 years]]</f>
        <v>1.2525205682509843E-4</v>
      </c>
      <c r="AL359" s="67">
        <f>Integrated[[#This Row],[Flu Deaths 65 to 74 years]]/Integrated[[#This Row],[Population 65 to 74 years]]</f>
        <v>3.7354936938529447E-4</v>
      </c>
      <c r="AM359" s="67">
        <f>Integrated[[#This Row],[Flu Deaths 75 to 84 years]]/Integrated[[#This Row],[Population 75 to 84 years]]</f>
        <v>1.1699894366668003E-3</v>
      </c>
      <c r="AN359" s="67">
        <f>Integrated[[#This Row],[Flu Deaths 85+ years]]/Integrated[[#This Row],[Population 85+ years]]</f>
        <v>4.9238440263332161E-3</v>
      </c>
      <c r="AO359" s="68">
        <f>Integrated[[#This Row],[Total Flu Deaths]]/Integrated[[#This Row],[Total population]]</f>
        <v>2.3066581361589535E-4</v>
      </c>
    </row>
    <row r="360" spans="1:41" x14ac:dyDescent="0.3">
      <c r="A360" s="44" t="s">
        <v>509</v>
      </c>
      <c r="B360" t="s">
        <v>472</v>
      </c>
      <c r="C360" s="45">
        <v>2014</v>
      </c>
      <c r="D360" s="51">
        <v>8874374</v>
      </c>
      <c r="E360" s="2">
        <v>4326518</v>
      </c>
      <c r="F360" s="2">
        <v>4547856</v>
      </c>
      <c r="G360" s="78">
        <f>Integrated[[#This Row],[Female Total population]]/Integrated[[#This Row],[Total population]]</f>
        <v>0.51247062609711969</v>
      </c>
      <c r="H360" s="2">
        <v>536690</v>
      </c>
      <c r="I360" s="2">
        <v>1139381</v>
      </c>
      <c r="J360" s="2">
        <v>1148683</v>
      </c>
      <c r="K360" s="2">
        <v>1132719</v>
      </c>
      <c r="L360" s="2">
        <v>1201321</v>
      </c>
      <c r="M360" s="2">
        <v>1364435</v>
      </c>
      <c r="N360" s="2">
        <v>1107107</v>
      </c>
      <c r="O360" s="2">
        <v>669615</v>
      </c>
      <c r="P360" s="2">
        <v>389687</v>
      </c>
      <c r="Q360" s="52">
        <v>188711</v>
      </c>
      <c r="R360" s="127">
        <f>Integrated[[#This Row],[Population 85+ years]]/Integrated[[#This Row],[Total population]]</f>
        <v>2.1264711178501153E-2</v>
      </c>
      <c r="S360" s="58">
        <v>120</v>
      </c>
      <c r="T360" s="59">
        <v>60</v>
      </c>
      <c r="U360" s="59">
        <v>60</v>
      </c>
      <c r="V360" s="59">
        <v>60</v>
      </c>
      <c r="W360" s="59">
        <v>60</v>
      </c>
      <c r="X360" s="59">
        <v>60</v>
      </c>
      <c r="Y360" s="59">
        <v>83</v>
      </c>
      <c r="Z360" s="59">
        <v>134</v>
      </c>
      <c r="AA360" s="59">
        <v>274</v>
      </c>
      <c r="AB360" s="59">
        <v>633</v>
      </c>
      <c r="AC360" s="59">
        <f>VLOOKUP($A360,'[1]Flu Deaths Updated'!$A$2:$N$460,14,FALSE)</f>
        <v>60</v>
      </c>
      <c r="AD360" s="60">
        <f t="shared" si="5"/>
        <v>1604</v>
      </c>
      <c r="AE360" s="66">
        <f>Integrated[[#This Row],[Flu Deaths &lt;5 years old]]/Integrated[[#This Row],[Population &lt;5 years]]</f>
        <v>2.2359276304756935E-4</v>
      </c>
      <c r="AF360" s="67">
        <f>Integrated[[#This Row],[Flu Deaths 5 to 14 years]]/Integrated[[#This Row],[Population 5 to 14 years]]</f>
        <v>5.2660172497171712E-5</v>
      </c>
      <c r="AG360" s="67">
        <f>Integrated[[#This Row],[Flu Deaths 15 to 24 years]]/Integrated[[#This Row],[Population 15 to 24 years]]</f>
        <v>5.2233732021802359E-5</v>
      </c>
      <c r="AH360" s="67">
        <f>Integrated[[#This Row],[Flu Deaths 25 to 34 years]]/Integrated[[#This Row],[Population 25 to 34 years]]</f>
        <v>5.2969889266446491E-5</v>
      </c>
      <c r="AI360" s="67">
        <f>Integrated[[#This Row],[Flu Deaths 35 to 44 years]]/Integrated[[#This Row],[Population 35 to 44 years]]</f>
        <v>4.9945018858406702E-5</v>
      </c>
      <c r="AJ360" s="67">
        <f>Integrated[[#This Row],[Flu Deaths 45 to 54 years]]/Integrated[[#This Row],[Population 45 to 54 years]]</f>
        <v>4.3974245750072374E-5</v>
      </c>
      <c r="AK360" s="67">
        <f>Integrated[[#This Row],[Flu Deaths 55 to 64 years]]/Integrated[[#This Row],[Population 55 to 64 years]]</f>
        <v>7.4970170001634889E-5</v>
      </c>
      <c r="AL360" s="67">
        <f>Integrated[[#This Row],[Flu Deaths 65 to 74 years]]/Integrated[[#This Row],[Population 65 to 74 years]]</f>
        <v>2.00114991450311E-4</v>
      </c>
      <c r="AM360" s="67">
        <f>Integrated[[#This Row],[Flu Deaths 75 to 84 years]]/Integrated[[#This Row],[Population 75 to 84 years]]</f>
        <v>7.0312840818400409E-4</v>
      </c>
      <c r="AN360" s="67">
        <f>Integrated[[#This Row],[Flu Deaths 85+ years]]/Integrated[[#This Row],[Population 85+ years]]</f>
        <v>3.3543354653411831E-3</v>
      </c>
      <c r="AO360" s="68">
        <f>Integrated[[#This Row],[Total Flu Deaths]]/Integrated[[#This Row],[Total population]]</f>
        <v>1.8074514326306285E-4</v>
      </c>
    </row>
    <row r="361" spans="1:41" x14ac:dyDescent="0.3">
      <c r="A361" s="44" t="s">
        <v>460</v>
      </c>
      <c r="B361" t="s">
        <v>408</v>
      </c>
      <c r="C361" s="45">
        <v>2016</v>
      </c>
      <c r="D361" s="51">
        <v>9626361</v>
      </c>
      <c r="E361" s="2">
        <v>4723876</v>
      </c>
      <c r="F361" s="2">
        <v>4902490</v>
      </c>
      <c r="G361" s="78">
        <f>Integrated[[#This Row],[Female Total population]]/Integrated[[#This Row],[Total population]]</f>
        <v>0.50927759721456534</v>
      </c>
      <c r="H361" s="2">
        <v>561761</v>
      </c>
      <c r="I361" s="2">
        <v>1221435</v>
      </c>
      <c r="J361" s="2">
        <v>1381143</v>
      </c>
      <c r="K361" s="2">
        <v>1183513</v>
      </c>
      <c r="L361" s="2">
        <v>1163011</v>
      </c>
      <c r="M361" s="2">
        <v>1355307</v>
      </c>
      <c r="N361" s="2">
        <v>1307663</v>
      </c>
      <c r="O361" s="2">
        <v>827218</v>
      </c>
      <c r="P361" s="2">
        <v>429649</v>
      </c>
      <c r="Q361" s="52">
        <v>196665</v>
      </c>
      <c r="R361" s="127">
        <f>Integrated[[#This Row],[Population 85+ years]]/Integrated[[#This Row],[Total population]]</f>
        <v>2.0429838440507268E-2</v>
      </c>
      <c r="S361" s="58">
        <v>120</v>
      </c>
      <c r="T361" s="59">
        <v>60</v>
      </c>
      <c r="U361" s="59">
        <v>60</v>
      </c>
      <c r="V361" s="59">
        <v>60</v>
      </c>
      <c r="W361" s="59">
        <v>76</v>
      </c>
      <c r="X361" s="59">
        <v>60</v>
      </c>
      <c r="Y361" s="59">
        <v>149</v>
      </c>
      <c r="Z361" s="59">
        <v>272</v>
      </c>
      <c r="AA361" s="59">
        <v>442</v>
      </c>
      <c r="AB361" s="59">
        <v>640</v>
      </c>
      <c r="AC361" s="59">
        <f>VLOOKUP($A361,'[1]Flu Deaths Updated'!$A$2:$N$460,14,FALSE)</f>
        <v>60</v>
      </c>
      <c r="AD361" s="60">
        <f t="shared" si="5"/>
        <v>1999</v>
      </c>
      <c r="AE361" s="66">
        <f>Integrated[[#This Row],[Flu Deaths &lt;5 years old]]/Integrated[[#This Row],[Population &lt;5 years]]</f>
        <v>2.1361397462622004E-4</v>
      </c>
      <c r="AF361" s="67">
        <f>Integrated[[#This Row],[Flu Deaths 5 to 14 years]]/Integrated[[#This Row],[Population 5 to 14 years]]</f>
        <v>4.9122548477815027E-5</v>
      </c>
      <c r="AG361" s="67">
        <f>Integrated[[#This Row],[Flu Deaths 15 to 24 years]]/Integrated[[#This Row],[Population 15 to 24 years]]</f>
        <v>4.3442279329511861E-5</v>
      </c>
      <c r="AH361" s="67">
        <f>Integrated[[#This Row],[Flu Deaths 25 to 34 years]]/Integrated[[#This Row],[Population 25 to 34 years]]</f>
        <v>5.069652804827661E-5</v>
      </c>
      <c r="AI361" s="67">
        <f>Integrated[[#This Row],[Flu Deaths 35 to 44 years]]/Integrated[[#This Row],[Population 35 to 44 years]]</f>
        <v>5.159022571583588E-5</v>
      </c>
      <c r="AJ361" s="67">
        <f>Integrated[[#This Row],[Flu Deaths 45 to 54 years]]/Integrated[[#This Row],[Population 45 to 54 years]]</f>
        <v>5.6075855876196319E-5</v>
      </c>
      <c r="AK361" s="67">
        <f>Integrated[[#This Row],[Flu Deaths 55 to 64 years]]/Integrated[[#This Row],[Population 55 to 64 years]]</f>
        <v>1.1394373015065808E-4</v>
      </c>
      <c r="AL361" s="67">
        <f>Integrated[[#This Row],[Flu Deaths 65 to 74 years]]/Integrated[[#This Row],[Population 65 to 74 years]]</f>
        <v>3.2881296103324636E-4</v>
      </c>
      <c r="AM361" s="67">
        <f>Integrated[[#This Row],[Flu Deaths 75 to 84 years]]/Integrated[[#This Row],[Population 75 to 84 years]]</f>
        <v>1.0287467211607614E-3</v>
      </c>
      <c r="AN361" s="67">
        <f>Integrated[[#This Row],[Flu Deaths 85+ years]]/Integrated[[#This Row],[Population 85+ years]]</f>
        <v>3.2542648666514123E-3</v>
      </c>
      <c r="AO361" s="68">
        <f>Integrated[[#This Row],[Total Flu Deaths]]/Integrated[[#This Row],[Total population]]</f>
        <v>2.0765894817366604E-4</v>
      </c>
    </row>
    <row r="362" spans="1:41" x14ac:dyDescent="0.3">
      <c r="A362" s="44" t="s">
        <v>317</v>
      </c>
      <c r="B362" t="s">
        <v>318</v>
      </c>
      <c r="C362" s="45">
        <v>2013</v>
      </c>
      <c r="D362" s="51">
        <v>5494993</v>
      </c>
      <c r="E362" s="2">
        <v>2726125</v>
      </c>
      <c r="F362" s="2">
        <v>2768869</v>
      </c>
      <c r="G362" s="78">
        <f>Integrated[[#This Row],[Female Total population]]/Integrated[[#This Row],[Total population]]</f>
        <v>0.50388944990466777</v>
      </c>
      <c r="H362" s="2">
        <v>339585</v>
      </c>
      <c r="I362" s="2">
        <v>715681</v>
      </c>
      <c r="J362" s="2">
        <v>764441</v>
      </c>
      <c r="K362" s="2">
        <v>703534</v>
      </c>
      <c r="L362" s="2">
        <v>690372</v>
      </c>
      <c r="M362" s="2">
        <v>826163</v>
      </c>
      <c r="N362" s="2">
        <v>695663</v>
      </c>
      <c r="O362" s="2">
        <v>399964</v>
      </c>
      <c r="P362" s="2">
        <v>247099</v>
      </c>
      <c r="Q362" s="52">
        <v>114736</v>
      </c>
      <c r="R362" s="127">
        <f>Integrated[[#This Row],[Population 85+ years]]/Integrated[[#This Row],[Total population]]</f>
        <v>2.0880099392301319E-2</v>
      </c>
      <c r="S362" s="58">
        <v>120</v>
      </c>
      <c r="T362" s="59">
        <v>60</v>
      </c>
      <c r="U362" s="59">
        <v>60</v>
      </c>
      <c r="V362" s="59">
        <v>60</v>
      </c>
      <c r="W362" s="59">
        <v>60</v>
      </c>
      <c r="X362" s="59">
        <v>60</v>
      </c>
      <c r="Y362" s="59">
        <v>74</v>
      </c>
      <c r="Z362" s="59">
        <v>105</v>
      </c>
      <c r="AA362" s="59">
        <v>233</v>
      </c>
      <c r="AB362" s="59">
        <v>642</v>
      </c>
      <c r="AC362" s="59">
        <f>VLOOKUP($A362,'[1]Flu Deaths Updated'!$A$2:$N$460,14,FALSE)</f>
        <v>60</v>
      </c>
      <c r="AD362" s="60">
        <f t="shared" si="5"/>
        <v>1534</v>
      </c>
      <c r="AE362" s="66">
        <f>Integrated[[#This Row],[Flu Deaths &lt;5 years old]]/Integrated[[#This Row],[Population &lt;5 years]]</f>
        <v>3.5337249878528203E-4</v>
      </c>
      <c r="AF362" s="67">
        <f>Integrated[[#This Row],[Flu Deaths 5 to 14 years]]/Integrated[[#This Row],[Population 5 to 14 years]]</f>
        <v>8.3836234299918539E-5</v>
      </c>
      <c r="AG362" s="67">
        <f>Integrated[[#This Row],[Flu Deaths 15 to 24 years]]/Integrated[[#This Row],[Population 15 to 24 years]]</f>
        <v>7.8488725748618928E-5</v>
      </c>
      <c r="AH362" s="67">
        <f>Integrated[[#This Row],[Flu Deaths 25 to 34 years]]/Integrated[[#This Row],[Population 25 to 34 years]]</f>
        <v>8.5283724738250034E-5</v>
      </c>
      <c r="AI362" s="67">
        <f>Integrated[[#This Row],[Flu Deaths 35 to 44 years]]/Integrated[[#This Row],[Population 35 to 44 years]]</f>
        <v>8.6909666093062872E-5</v>
      </c>
      <c r="AJ362" s="67">
        <f>Integrated[[#This Row],[Flu Deaths 45 to 54 years]]/Integrated[[#This Row],[Population 45 to 54 years]]</f>
        <v>7.2624893634791194E-5</v>
      </c>
      <c r="AK362" s="67">
        <f>Integrated[[#This Row],[Flu Deaths 55 to 64 years]]/Integrated[[#This Row],[Population 55 to 64 years]]</f>
        <v>1.0637334456482521E-4</v>
      </c>
      <c r="AL362" s="67">
        <f>Integrated[[#This Row],[Flu Deaths 65 to 74 years]]/Integrated[[#This Row],[Population 65 to 74 years]]</f>
        <v>2.625236271264414E-4</v>
      </c>
      <c r="AM362" s="67">
        <f>Integrated[[#This Row],[Flu Deaths 75 to 84 years]]/Integrated[[#This Row],[Population 75 to 84 years]]</f>
        <v>9.4294189778186066E-4</v>
      </c>
      <c r="AN362" s="67">
        <f>Integrated[[#This Row],[Flu Deaths 85+ years]]/Integrated[[#This Row],[Population 85+ years]]</f>
        <v>5.5954539115883415E-3</v>
      </c>
      <c r="AO362" s="68">
        <f>Integrated[[#This Row],[Total Flu Deaths]]/Integrated[[#This Row],[Total population]]</f>
        <v>2.7916323096316957E-4</v>
      </c>
    </row>
    <row r="363" spans="1:41" x14ac:dyDescent="0.3">
      <c r="A363" s="44" t="s">
        <v>433</v>
      </c>
      <c r="B363" t="s">
        <v>382</v>
      </c>
      <c r="C363" s="45">
        <v>2012</v>
      </c>
      <c r="D363" s="51">
        <v>7437512</v>
      </c>
      <c r="E363" s="2">
        <v>3652594</v>
      </c>
      <c r="F363" s="2">
        <v>3784922</v>
      </c>
      <c r="G363" s="78">
        <f>Integrated[[#This Row],[Female Total population]]/Integrated[[#This Row],[Total population]]</f>
        <v>0.50889625455394227</v>
      </c>
      <c r="H363" s="2">
        <v>473426</v>
      </c>
      <c r="I363" s="2">
        <v>956624</v>
      </c>
      <c r="J363" s="2">
        <v>1040507</v>
      </c>
      <c r="K363" s="2">
        <v>1020843</v>
      </c>
      <c r="L363" s="2">
        <v>1042543</v>
      </c>
      <c r="M363" s="2">
        <v>1120155</v>
      </c>
      <c r="N363" s="2">
        <v>884279</v>
      </c>
      <c r="O363" s="2">
        <v>509327</v>
      </c>
      <c r="P363" s="2">
        <v>278966</v>
      </c>
      <c r="Q363" s="52">
        <v>110486</v>
      </c>
      <c r="R363" s="127">
        <f>Integrated[[#This Row],[Population 85+ years]]/Integrated[[#This Row],[Total population]]</f>
        <v>1.485523653608895E-2</v>
      </c>
      <c r="S363" s="58">
        <v>120</v>
      </c>
      <c r="T363" s="59">
        <v>60</v>
      </c>
      <c r="U363" s="59">
        <v>60</v>
      </c>
      <c r="V363" s="59">
        <v>60</v>
      </c>
      <c r="W363" s="59">
        <v>60</v>
      </c>
      <c r="X363" s="59">
        <v>60</v>
      </c>
      <c r="Y363" s="59">
        <v>70</v>
      </c>
      <c r="Z363" s="59">
        <v>138</v>
      </c>
      <c r="AA363" s="59">
        <v>330</v>
      </c>
      <c r="AB363" s="59">
        <v>643</v>
      </c>
      <c r="AC363" s="59">
        <f>VLOOKUP($A363,'[1]Flu Deaths Updated'!$A$2:$N$460,14,FALSE)</f>
        <v>60</v>
      </c>
      <c r="AD363" s="60">
        <f t="shared" si="5"/>
        <v>1661</v>
      </c>
      <c r="AE363" s="66">
        <f>Integrated[[#This Row],[Flu Deaths &lt;5 years old]]/Integrated[[#This Row],[Population &lt;5 years]]</f>
        <v>2.5347150346622283E-4</v>
      </c>
      <c r="AF363" s="67">
        <f>Integrated[[#This Row],[Flu Deaths 5 to 14 years]]/Integrated[[#This Row],[Population 5 to 14 years]]</f>
        <v>6.2720567328438347E-5</v>
      </c>
      <c r="AG363" s="67">
        <f>Integrated[[#This Row],[Flu Deaths 15 to 24 years]]/Integrated[[#This Row],[Population 15 to 24 years]]</f>
        <v>5.7664196396564365E-5</v>
      </c>
      <c r="AH363" s="67">
        <f>Integrated[[#This Row],[Flu Deaths 25 to 34 years]]/Integrated[[#This Row],[Population 25 to 34 years]]</f>
        <v>5.8774953641255316E-5</v>
      </c>
      <c r="AI363" s="67">
        <f>Integrated[[#This Row],[Flu Deaths 35 to 44 years]]/Integrated[[#This Row],[Population 35 to 44 years]]</f>
        <v>5.7551583004250188E-5</v>
      </c>
      <c r="AJ363" s="67">
        <f>Integrated[[#This Row],[Flu Deaths 45 to 54 years]]/Integrated[[#This Row],[Population 45 to 54 years]]</f>
        <v>5.3564015694256601E-5</v>
      </c>
      <c r="AK363" s="67">
        <f>Integrated[[#This Row],[Flu Deaths 55 to 64 years]]/Integrated[[#This Row],[Population 55 to 64 years]]</f>
        <v>7.9160536437029489E-5</v>
      </c>
      <c r="AL363" s="67">
        <f>Integrated[[#This Row],[Flu Deaths 65 to 74 years]]/Integrated[[#This Row],[Population 65 to 74 years]]</f>
        <v>2.709457774671282E-4</v>
      </c>
      <c r="AM363" s="67">
        <f>Integrated[[#This Row],[Flu Deaths 75 to 84 years]]/Integrated[[#This Row],[Population 75 to 84 years]]</f>
        <v>1.182939856469964E-3</v>
      </c>
      <c r="AN363" s="67">
        <f>Integrated[[#This Row],[Flu Deaths 85+ years]]/Integrated[[#This Row],[Population 85+ years]]</f>
        <v>5.8197418677479497E-3</v>
      </c>
      <c r="AO363" s="68">
        <f>Integrated[[#This Row],[Total Flu Deaths]]/Integrated[[#This Row],[Total population]]</f>
        <v>2.2332737076592279E-4</v>
      </c>
    </row>
    <row r="364" spans="1:41" x14ac:dyDescent="0.3">
      <c r="A364" s="44" t="s">
        <v>496</v>
      </c>
      <c r="B364" t="s">
        <v>408</v>
      </c>
      <c r="C364" s="45">
        <v>2010</v>
      </c>
      <c r="D364" s="51">
        <v>9937373</v>
      </c>
      <c r="E364" s="2">
        <v>4877679</v>
      </c>
      <c r="F364" s="2">
        <v>5059697</v>
      </c>
      <c r="G364" s="78">
        <f>Integrated[[#This Row],[Female Total population]]/Integrated[[#This Row],[Total population]]</f>
        <v>0.50915840635145726</v>
      </c>
      <c r="H364" s="2">
        <v>615012</v>
      </c>
      <c r="I364" s="2">
        <v>1350575</v>
      </c>
      <c r="J364" s="2">
        <v>1426996</v>
      </c>
      <c r="K364" s="2">
        <v>1188322</v>
      </c>
      <c r="L364" s="2">
        <v>1354344</v>
      </c>
      <c r="M364" s="2">
        <v>1514718</v>
      </c>
      <c r="N364" s="2">
        <v>1177890</v>
      </c>
      <c r="O364" s="2">
        <v>682502</v>
      </c>
      <c r="P364" s="2">
        <v>451247</v>
      </c>
      <c r="Q364" s="52">
        <v>178490</v>
      </c>
      <c r="R364" s="127">
        <f>Integrated[[#This Row],[Population 85+ years]]/Integrated[[#This Row],[Total population]]</f>
        <v>1.7961487407184978E-2</v>
      </c>
      <c r="S364" s="58">
        <v>120</v>
      </c>
      <c r="T364" s="59">
        <v>60</v>
      </c>
      <c r="U364" s="59">
        <v>60</v>
      </c>
      <c r="V364" s="59">
        <v>60</v>
      </c>
      <c r="W364" s="59">
        <v>60</v>
      </c>
      <c r="X364" s="59">
        <v>60</v>
      </c>
      <c r="Y364" s="59">
        <v>97</v>
      </c>
      <c r="Z364" s="59">
        <v>198</v>
      </c>
      <c r="AA364" s="59">
        <v>433</v>
      </c>
      <c r="AB364" s="59">
        <v>643</v>
      </c>
      <c r="AC364" s="59">
        <f>VLOOKUP($A364,'[1]Flu Deaths Updated'!$A$2:$N$460,14,FALSE)</f>
        <v>60</v>
      </c>
      <c r="AD364" s="60">
        <f t="shared" si="5"/>
        <v>1851</v>
      </c>
      <c r="AE364" s="66">
        <f>Integrated[[#This Row],[Flu Deaths &lt;5 years old]]/Integrated[[#This Row],[Population &lt;5 years]]</f>
        <v>1.9511814403621393E-4</v>
      </c>
      <c r="AF364" s="67">
        <f>Integrated[[#This Row],[Flu Deaths 5 to 14 years]]/Integrated[[#This Row],[Population 5 to 14 years]]</f>
        <v>4.4425522462654793E-5</v>
      </c>
      <c r="AG364" s="67">
        <f>Integrated[[#This Row],[Flu Deaths 15 to 24 years]]/Integrated[[#This Row],[Population 15 to 24 years]]</f>
        <v>4.2046368735441442E-5</v>
      </c>
      <c r="AH364" s="67">
        <f>Integrated[[#This Row],[Flu Deaths 25 to 34 years]]/Integrated[[#This Row],[Population 25 to 34 years]]</f>
        <v>5.0491365135039156E-5</v>
      </c>
      <c r="AI364" s="67">
        <f>Integrated[[#This Row],[Flu Deaths 35 to 44 years]]/Integrated[[#This Row],[Population 35 to 44 years]]</f>
        <v>4.4301890804699544E-5</v>
      </c>
      <c r="AJ364" s="67">
        <f>Integrated[[#This Row],[Flu Deaths 45 to 54 years]]/Integrated[[#This Row],[Population 45 to 54 years]]</f>
        <v>3.9611333594768133E-5</v>
      </c>
      <c r="AK364" s="67">
        <f>Integrated[[#This Row],[Flu Deaths 55 to 64 years]]/Integrated[[#This Row],[Population 55 to 64 years]]</f>
        <v>8.2350643948076648E-5</v>
      </c>
      <c r="AL364" s="67">
        <f>Integrated[[#This Row],[Flu Deaths 65 to 74 years]]/Integrated[[#This Row],[Population 65 to 74 years]]</f>
        <v>2.9010903997350924E-4</v>
      </c>
      <c r="AM364" s="67">
        <f>Integrated[[#This Row],[Flu Deaths 75 to 84 years]]/Integrated[[#This Row],[Population 75 to 84 years]]</f>
        <v>9.5956316607091014E-4</v>
      </c>
      <c r="AN364" s="67">
        <f>Integrated[[#This Row],[Flu Deaths 85+ years]]/Integrated[[#This Row],[Population 85+ years]]</f>
        <v>3.6024427138775282E-3</v>
      </c>
      <c r="AO364" s="68">
        <f>Integrated[[#This Row],[Total Flu Deaths]]/Integrated[[#This Row],[Total population]]</f>
        <v>1.8626653140623784E-4</v>
      </c>
    </row>
    <row r="365" spans="1:41" x14ac:dyDescent="0.3">
      <c r="A365" s="44" t="s">
        <v>256</v>
      </c>
      <c r="B365" t="s">
        <v>257</v>
      </c>
      <c r="C365" s="45">
        <v>2015</v>
      </c>
      <c r="D365" s="51">
        <v>6231987</v>
      </c>
      <c r="E365" s="2">
        <v>3034624</v>
      </c>
      <c r="F365" s="2">
        <v>3197365</v>
      </c>
      <c r="G365" s="78">
        <f>Integrated[[#This Row],[Female Total population]]/Integrated[[#This Row],[Total population]]</f>
        <v>0.51305707152469993</v>
      </c>
      <c r="H365" s="2">
        <v>386810</v>
      </c>
      <c r="I365" s="2">
        <v>806775</v>
      </c>
      <c r="J365" s="2">
        <v>843445</v>
      </c>
      <c r="K365" s="2">
        <v>819093</v>
      </c>
      <c r="L365" s="2">
        <v>808062</v>
      </c>
      <c r="M365" s="2">
        <v>865185</v>
      </c>
      <c r="N365" s="2">
        <v>798178</v>
      </c>
      <c r="O365" s="2">
        <v>529405</v>
      </c>
      <c r="P365" s="2">
        <v>271318</v>
      </c>
      <c r="Q365" s="52">
        <v>102597</v>
      </c>
      <c r="R365" s="127">
        <f>Integrated[[#This Row],[Population 85+ years]]/Integrated[[#This Row],[Total population]]</f>
        <v>1.6462967589630721E-2</v>
      </c>
      <c r="S365" s="58">
        <v>120</v>
      </c>
      <c r="T365" s="59">
        <v>60</v>
      </c>
      <c r="U365" s="59">
        <v>60</v>
      </c>
      <c r="V365" s="59">
        <v>60</v>
      </c>
      <c r="W365" s="59">
        <v>77</v>
      </c>
      <c r="X365" s="59">
        <v>60</v>
      </c>
      <c r="Y365" s="59">
        <v>120</v>
      </c>
      <c r="Z365" s="59">
        <v>308</v>
      </c>
      <c r="AA365" s="59">
        <v>485</v>
      </c>
      <c r="AB365" s="59">
        <v>645</v>
      </c>
      <c r="AC365" s="59">
        <f>VLOOKUP($A365,'[1]Flu Deaths Updated'!$A$2:$N$460,14,FALSE)</f>
        <v>60</v>
      </c>
      <c r="AD365" s="60">
        <f t="shared" si="5"/>
        <v>2055</v>
      </c>
      <c r="AE365" s="66">
        <f>Integrated[[#This Row],[Flu Deaths &lt;5 years old]]/Integrated[[#This Row],[Population &lt;5 years]]</f>
        <v>3.1022982859801971E-4</v>
      </c>
      <c r="AF365" s="67">
        <f>Integrated[[#This Row],[Flu Deaths 5 to 14 years]]/Integrated[[#This Row],[Population 5 to 14 years]]</f>
        <v>7.4370177558798916E-5</v>
      </c>
      <c r="AG365" s="67">
        <f>Integrated[[#This Row],[Flu Deaths 15 to 24 years]]/Integrated[[#This Row],[Population 15 to 24 years]]</f>
        <v>7.1136825756273382E-5</v>
      </c>
      <c r="AH365" s="67">
        <f>Integrated[[#This Row],[Flu Deaths 25 to 34 years]]/Integrated[[#This Row],[Population 25 to 34 years]]</f>
        <v>7.3251755295186265E-5</v>
      </c>
      <c r="AI365" s="67">
        <f>Integrated[[#This Row],[Flu Deaths 35 to 44 years]]/Integrated[[#This Row],[Population 35 to 44 years]]</f>
        <v>7.4251728208974069E-5</v>
      </c>
      <c r="AJ365" s="67">
        <f>Integrated[[#This Row],[Flu Deaths 45 to 54 years]]/Integrated[[#This Row],[Population 45 to 54 years]]</f>
        <v>8.8998306720527981E-5</v>
      </c>
      <c r="AK365" s="67">
        <f>Integrated[[#This Row],[Flu Deaths 55 to 64 years]]/Integrated[[#This Row],[Population 55 to 64 years]]</f>
        <v>1.5034240482699347E-4</v>
      </c>
      <c r="AL365" s="67">
        <f>Integrated[[#This Row],[Flu Deaths 65 to 74 years]]/Integrated[[#This Row],[Population 65 to 74 years]]</f>
        <v>5.8178521169992726E-4</v>
      </c>
      <c r="AM365" s="67">
        <f>Integrated[[#This Row],[Flu Deaths 75 to 84 years]]/Integrated[[#This Row],[Population 75 to 84 years]]</f>
        <v>1.7875703049558083E-3</v>
      </c>
      <c r="AN365" s="67">
        <f>Integrated[[#This Row],[Flu Deaths 85+ years]]/Integrated[[#This Row],[Population 85+ years]]</f>
        <v>6.2867335302201821E-3</v>
      </c>
      <c r="AO365" s="68">
        <f>Integrated[[#This Row],[Total Flu Deaths]]/Integrated[[#This Row],[Total population]]</f>
        <v>3.2975036693754336E-4</v>
      </c>
    </row>
    <row r="366" spans="1:41" x14ac:dyDescent="0.3">
      <c r="A366" s="44" t="s">
        <v>287</v>
      </c>
      <c r="B366" t="s">
        <v>286</v>
      </c>
      <c r="C366" s="45">
        <v>2013</v>
      </c>
      <c r="D366" s="51">
        <v>5559645</v>
      </c>
      <c r="E366" s="2">
        <v>2725390</v>
      </c>
      <c r="F366" s="2">
        <v>2834257</v>
      </c>
      <c r="G366" s="78">
        <f>Integrated[[#This Row],[Female Total population]]/Integrated[[#This Row],[Total population]]</f>
        <v>0.50979100284280743</v>
      </c>
      <c r="H366" s="2">
        <v>353327</v>
      </c>
      <c r="I366" s="2">
        <v>729052</v>
      </c>
      <c r="J366" s="2">
        <v>776486</v>
      </c>
      <c r="K366" s="2">
        <v>737283</v>
      </c>
      <c r="L366" s="2">
        <v>690793</v>
      </c>
      <c r="M366" s="2">
        <v>805116</v>
      </c>
      <c r="N366" s="2">
        <v>685887</v>
      </c>
      <c r="O366" s="2">
        <v>425170</v>
      </c>
      <c r="P366" s="2">
        <v>249940</v>
      </c>
      <c r="Q366" s="52">
        <v>107121</v>
      </c>
      <c r="R366" s="127">
        <f>Integrated[[#This Row],[Population 85+ years]]/Integrated[[#This Row],[Total population]]</f>
        <v>1.9267597121758673E-2</v>
      </c>
      <c r="S366" s="58">
        <v>120</v>
      </c>
      <c r="T366" s="59">
        <v>60</v>
      </c>
      <c r="U366" s="59">
        <v>60</v>
      </c>
      <c r="V366" s="59">
        <v>60</v>
      </c>
      <c r="W366" s="59">
        <v>65</v>
      </c>
      <c r="X366" s="59">
        <v>60</v>
      </c>
      <c r="Y366" s="59">
        <v>85</v>
      </c>
      <c r="Z366" s="59">
        <v>170</v>
      </c>
      <c r="AA366" s="59">
        <v>318</v>
      </c>
      <c r="AB366" s="59">
        <v>647</v>
      </c>
      <c r="AC366" s="59">
        <f>VLOOKUP($A366,'[1]Flu Deaths Updated'!$A$2:$N$460,14,FALSE)</f>
        <v>60</v>
      </c>
      <c r="AD366" s="60">
        <f t="shared" si="5"/>
        <v>1705</v>
      </c>
      <c r="AE366" s="66">
        <f>Integrated[[#This Row],[Flu Deaths &lt;5 years old]]/Integrated[[#This Row],[Population &lt;5 years]]</f>
        <v>3.3962872919420255E-4</v>
      </c>
      <c r="AF366" s="67">
        <f>Integrated[[#This Row],[Flu Deaths 5 to 14 years]]/Integrated[[#This Row],[Population 5 to 14 years]]</f>
        <v>8.2298656337270872E-5</v>
      </c>
      <c r="AG366" s="67">
        <f>Integrated[[#This Row],[Flu Deaths 15 to 24 years]]/Integrated[[#This Row],[Population 15 to 24 years]]</f>
        <v>7.727119355661274E-5</v>
      </c>
      <c r="AH366" s="67">
        <f>Integrated[[#This Row],[Flu Deaths 25 to 34 years]]/Integrated[[#This Row],[Population 25 to 34 years]]</f>
        <v>8.1379877197765307E-5</v>
      </c>
      <c r="AI366" s="67">
        <f>Integrated[[#This Row],[Flu Deaths 35 to 44 years]]/Integrated[[#This Row],[Population 35 to 44 years]]</f>
        <v>8.6856699474372205E-5</v>
      </c>
      <c r="AJ366" s="67">
        <f>Integrated[[#This Row],[Flu Deaths 45 to 54 years]]/Integrated[[#This Row],[Population 45 to 54 years]]</f>
        <v>8.0733707937738163E-5</v>
      </c>
      <c r="AK366" s="67">
        <f>Integrated[[#This Row],[Flu Deaths 55 to 64 years]]/Integrated[[#This Row],[Population 55 to 64 years]]</f>
        <v>1.2392711919018731E-4</v>
      </c>
      <c r="AL366" s="67">
        <f>Integrated[[#This Row],[Flu Deaths 65 to 74 years]]/Integrated[[#This Row],[Population 65 to 74 years]]</f>
        <v>3.9984006397441024E-4</v>
      </c>
      <c r="AM366" s="67">
        <f>Integrated[[#This Row],[Flu Deaths 75 to 84 years]]/Integrated[[#This Row],[Population 75 to 84 years]]</f>
        <v>1.2723053532847884E-3</v>
      </c>
      <c r="AN366" s="67">
        <f>Integrated[[#This Row],[Flu Deaths 85+ years]]/Integrated[[#This Row],[Population 85+ years]]</f>
        <v>6.0398988060230956E-3</v>
      </c>
      <c r="AO366" s="68">
        <f>Integrated[[#This Row],[Total Flu Deaths]]/Integrated[[#This Row],[Total population]]</f>
        <v>3.0667425707936387E-4</v>
      </c>
    </row>
    <row r="367" spans="1:41" x14ac:dyDescent="0.3">
      <c r="A367" s="44" t="s">
        <v>405</v>
      </c>
      <c r="B367" t="s">
        <v>382</v>
      </c>
      <c r="C367" s="45">
        <v>2013</v>
      </c>
      <c r="D367" s="51">
        <v>7641756</v>
      </c>
      <c r="E367" s="2">
        <v>3752737</v>
      </c>
      <c r="F367" s="2">
        <v>3889023</v>
      </c>
      <c r="G367" s="78">
        <f>Integrated[[#This Row],[Female Total population]]/Integrated[[#This Row],[Total population]]</f>
        <v>0.50891745300425717</v>
      </c>
      <c r="H367" s="2">
        <v>488869</v>
      </c>
      <c r="I367" s="2">
        <v>986212</v>
      </c>
      <c r="J367" s="2">
        <v>1048584</v>
      </c>
      <c r="K367" s="2">
        <v>1061608</v>
      </c>
      <c r="L367" s="2">
        <v>1050376</v>
      </c>
      <c r="M367" s="2">
        <v>1138308</v>
      </c>
      <c r="N367" s="2">
        <v>921373</v>
      </c>
      <c r="O367" s="2">
        <v>543519</v>
      </c>
      <c r="P367" s="2">
        <v>288126</v>
      </c>
      <c r="Q367" s="52">
        <v>116930</v>
      </c>
      <c r="R367" s="127">
        <f>Integrated[[#This Row],[Population 85+ years]]/Integrated[[#This Row],[Total population]]</f>
        <v>1.5301456890274958E-2</v>
      </c>
      <c r="S367" s="58">
        <v>120</v>
      </c>
      <c r="T367" s="59">
        <v>60</v>
      </c>
      <c r="U367" s="59">
        <v>60</v>
      </c>
      <c r="V367" s="59">
        <v>60</v>
      </c>
      <c r="W367" s="59">
        <v>65</v>
      </c>
      <c r="X367" s="59">
        <v>60</v>
      </c>
      <c r="Y367" s="59">
        <v>81</v>
      </c>
      <c r="Z367" s="59">
        <v>200</v>
      </c>
      <c r="AA367" s="59">
        <v>382</v>
      </c>
      <c r="AB367" s="59">
        <v>649</v>
      </c>
      <c r="AC367" s="59">
        <f>VLOOKUP($A367,'[1]Flu Deaths Updated'!$A$2:$N$460,14,FALSE)</f>
        <v>60</v>
      </c>
      <c r="AD367" s="60">
        <f t="shared" si="5"/>
        <v>1797</v>
      </c>
      <c r="AE367" s="66">
        <f>Integrated[[#This Row],[Flu Deaths &lt;5 years old]]/Integrated[[#This Row],[Population &lt;5 years]]</f>
        <v>2.4546453139798186E-4</v>
      </c>
      <c r="AF367" s="67">
        <f>Integrated[[#This Row],[Flu Deaths 5 to 14 years]]/Integrated[[#This Row],[Population 5 to 14 years]]</f>
        <v>6.0838846008768909E-5</v>
      </c>
      <c r="AG367" s="67">
        <f>Integrated[[#This Row],[Flu Deaths 15 to 24 years]]/Integrated[[#This Row],[Population 15 to 24 years]]</f>
        <v>5.7220022430248791E-5</v>
      </c>
      <c r="AH367" s="67">
        <f>Integrated[[#This Row],[Flu Deaths 25 to 34 years]]/Integrated[[#This Row],[Population 25 to 34 years]]</f>
        <v>5.6518036789474079E-5</v>
      </c>
      <c r="AI367" s="67">
        <f>Integrated[[#This Row],[Flu Deaths 35 to 44 years]]/Integrated[[#This Row],[Population 35 to 44 years]]</f>
        <v>5.7122401882754363E-5</v>
      </c>
      <c r="AJ367" s="67">
        <f>Integrated[[#This Row],[Flu Deaths 45 to 54 years]]/Integrated[[#This Row],[Population 45 to 54 years]]</f>
        <v>5.7102295687986028E-5</v>
      </c>
      <c r="AK367" s="67">
        <f>Integrated[[#This Row],[Flu Deaths 55 to 64 years]]/Integrated[[#This Row],[Population 55 to 64 years]]</f>
        <v>8.791227874053179E-5</v>
      </c>
      <c r="AL367" s="67">
        <f>Integrated[[#This Row],[Flu Deaths 65 to 74 years]]/Integrated[[#This Row],[Population 65 to 74 years]]</f>
        <v>3.679724167876376E-4</v>
      </c>
      <c r="AM367" s="67">
        <f>Integrated[[#This Row],[Flu Deaths 75 to 84 years]]/Integrated[[#This Row],[Population 75 to 84 years]]</f>
        <v>1.3258088475180997E-3</v>
      </c>
      <c r="AN367" s="67">
        <f>Integrated[[#This Row],[Flu Deaths 85+ years]]/Integrated[[#This Row],[Population 85+ years]]</f>
        <v>5.5503292568203199E-3</v>
      </c>
      <c r="AO367" s="68">
        <f>Integrated[[#This Row],[Total Flu Deaths]]/Integrated[[#This Row],[Total population]]</f>
        <v>2.3515537528285383E-4</v>
      </c>
    </row>
    <row r="368" spans="1:41" x14ac:dyDescent="0.3">
      <c r="A368" s="44" t="s">
        <v>486</v>
      </c>
      <c r="B368" t="s">
        <v>472</v>
      </c>
      <c r="C368" s="45">
        <v>2017</v>
      </c>
      <c r="D368" s="51">
        <v>8960557</v>
      </c>
      <c r="E368" s="2">
        <v>4371945</v>
      </c>
      <c r="F368" s="2">
        <v>4588612</v>
      </c>
      <c r="G368" s="78">
        <f>Integrated[[#This Row],[Female Total population]]/Integrated[[#This Row],[Total population]]</f>
        <v>0.51209004083116705</v>
      </c>
      <c r="H368" s="2">
        <v>528719</v>
      </c>
      <c r="I368" s="2">
        <v>1121487</v>
      </c>
      <c r="J368" s="2">
        <v>1152891</v>
      </c>
      <c r="K368" s="2">
        <v>1152806</v>
      </c>
      <c r="L368" s="2">
        <v>1164475</v>
      </c>
      <c r="M368" s="2">
        <v>1315771</v>
      </c>
      <c r="N368" s="2">
        <v>1174020</v>
      </c>
      <c r="O368" s="2">
        <v>753409</v>
      </c>
      <c r="P368" s="2">
        <v>398812</v>
      </c>
      <c r="Q368" s="52">
        <v>198172</v>
      </c>
      <c r="R368" s="127">
        <f>Integrated[[#This Row],[Population 85+ years]]/Integrated[[#This Row],[Total population]]</f>
        <v>2.2116035866966751E-2</v>
      </c>
      <c r="S368" s="58">
        <v>120</v>
      </c>
      <c r="T368" s="59">
        <v>60</v>
      </c>
      <c r="U368" s="59">
        <v>60</v>
      </c>
      <c r="V368" s="59">
        <v>60</v>
      </c>
      <c r="W368" s="59">
        <v>60</v>
      </c>
      <c r="X368" s="59">
        <v>60</v>
      </c>
      <c r="Y368" s="59">
        <v>99</v>
      </c>
      <c r="Z368" s="59">
        <v>146</v>
      </c>
      <c r="AA368" s="59">
        <v>343</v>
      </c>
      <c r="AB368" s="59">
        <v>650</v>
      </c>
      <c r="AC368" s="59">
        <f>VLOOKUP($A368,'[1]Flu Deaths Updated'!$A$2:$N$460,14,FALSE)</f>
        <v>60</v>
      </c>
      <c r="AD368" s="60">
        <f t="shared" si="5"/>
        <v>1718</v>
      </c>
      <c r="AE368" s="66">
        <f>Integrated[[#This Row],[Flu Deaths &lt;5 years old]]/Integrated[[#This Row],[Population &lt;5 years]]</f>
        <v>2.269636612264738E-4</v>
      </c>
      <c r="AF368" s="67">
        <f>Integrated[[#This Row],[Flu Deaths 5 to 14 years]]/Integrated[[#This Row],[Population 5 to 14 years]]</f>
        <v>5.3500397240449511E-5</v>
      </c>
      <c r="AG368" s="67">
        <f>Integrated[[#This Row],[Flu Deaths 15 to 24 years]]/Integrated[[#This Row],[Population 15 to 24 years]]</f>
        <v>5.2043081262669238E-5</v>
      </c>
      <c r="AH368" s="67">
        <f>Integrated[[#This Row],[Flu Deaths 25 to 34 years]]/Integrated[[#This Row],[Population 25 to 34 years]]</f>
        <v>5.2046918562186528E-5</v>
      </c>
      <c r="AI368" s="67">
        <f>Integrated[[#This Row],[Flu Deaths 35 to 44 years]]/Integrated[[#This Row],[Population 35 to 44 years]]</f>
        <v>5.1525365508061574E-5</v>
      </c>
      <c r="AJ368" s="67">
        <f>Integrated[[#This Row],[Flu Deaths 45 to 54 years]]/Integrated[[#This Row],[Population 45 to 54 years]]</f>
        <v>4.5600640232988868E-5</v>
      </c>
      <c r="AK368" s="67">
        <f>Integrated[[#This Row],[Flu Deaths 55 to 64 years]]/Integrated[[#This Row],[Population 55 to 64 years]]</f>
        <v>8.4325650329636635E-5</v>
      </c>
      <c r="AL368" s="67">
        <f>Integrated[[#This Row],[Flu Deaths 65 to 74 years]]/Integrated[[#This Row],[Population 65 to 74 years]]</f>
        <v>1.9378584540402359E-4</v>
      </c>
      <c r="AM368" s="67">
        <f>Integrated[[#This Row],[Flu Deaths 75 to 84 years]]/Integrated[[#This Row],[Population 75 to 84 years]]</f>
        <v>8.6005436145351693E-4</v>
      </c>
      <c r="AN368" s="67">
        <f>Integrated[[#This Row],[Flu Deaths 85+ years]]/Integrated[[#This Row],[Population 85+ years]]</f>
        <v>3.2799790081343479E-3</v>
      </c>
      <c r="AO368" s="68">
        <f>Integrated[[#This Row],[Total Flu Deaths]]/Integrated[[#This Row],[Total population]]</f>
        <v>1.9172915255156572E-4</v>
      </c>
    </row>
    <row r="369" spans="1:41" x14ac:dyDescent="0.3">
      <c r="A369" s="44" t="s">
        <v>375</v>
      </c>
      <c r="B369" t="s">
        <v>298</v>
      </c>
      <c r="C369" s="45">
        <v>2016</v>
      </c>
      <c r="D369" s="51">
        <v>6741921</v>
      </c>
      <c r="E369" s="2">
        <v>3269450</v>
      </c>
      <c r="F369" s="2">
        <v>3472471</v>
      </c>
      <c r="G369" s="78">
        <f>Integrated[[#This Row],[Female Total population]]/Integrated[[#This Row],[Total population]]</f>
        <v>0.51505661368621791</v>
      </c>
      <c r="H369" s="2">
        <v>363634</v>
      </c>
      <c r="I369" s="2">
        <v>776601</v>
      </c>
      <c r="J369" s="2">
        <v>953999</v>
      </c>
      <c r="K369" s="2">
        <v>926178</v>
      </c>
      <c r="L369" s="2">
        <v>838668</v>
      </c>
      <c r="M369" s="2">
        <v>984384</v>
      </c>
      <c r="N369" s="2">
        <v>883754</v>
      </c>
      <c r="O369" s="2">
        <v>560651</v>
      </c>
      <c r="P369" s="2">
        <v>300965</v>
      </c>
      <c r="Q369" s="52">
        <v>155006</v>
      </c>
      <c r="R369" s="127">
        <f>Integrated[[#This Row],[Population 85+ years]]/Integrated[[#This Row],[Total population]]</f>
        <v>2.2991369967105813E-2</v>
      </c>
      <c r="S369" s="58">
        <v>120</v>
      </c>
      <c r="T369" s="59">
        <v>60</v>
      </c>
      <c r="U369" s="59">
        <v>60</v>
      </c>
      <c r="V369" s="59">
        <v>60</v>
      </c>
      <c r="W369" s="59">
        <v>60</v>
      </c>
      <c r="X369" s="59">
        <v>60</v>
      </c>
      <c r="Y369" s="59">
        <v>72</v>
      </c>
      <c r="Z369" s="59">
        <v>165</v>
      </c>
      <c r="AA369" s="59">
        <v>292</v>
      </c>
      <c r="AB369" s="59">
        <v>654</v>
      </c>
      <c r="AC369" s="59">
        <f>VLOOKUP($A369,'[1]Flu Deaths Updated'!$A$2:$N$460,14,FALSE)</f>
        <v>60</v>
      </c>
      <c r="AD369" s="60">
        <f t="shared" si="5"/>
        <v>1663</v>
      </c>
      <c r="AE369" s="66">
        <f>Integrated[[#This Row],[Flu Deaths &lt;5 years old]]/Integrated[[#This Row],[Population &lt;5 years]]</f>
        <v>3.3000214501394262E-4</v>
      </c>
      <c r="AF369" s="67">
        <f>Integrated[[#This Row],[Flu Deaths 5 to 14 years]]/Integrated[[#This Row],[Population 5 to 14 years]]</f>
        <v>7.7259751146341551E-5</v>
      </c>
      <c r="AG369" s="67">
        <f>Integrated[[#This Row],[Flu Deaths 15 to 24 years]]/Integrated[[#This Row],[Population 15 to 24 years]]</f>
        <v>6.2893147686737618E-5</v>
      </c>
      <c r="AH369" s="67">
        <f>Integrated[[#This Row],[Flu Deaths 25 to 34 years]]/Integrated[[#This Row],[Population 25 to 34 years]]</f>
        <v>6.4782363649320106E-5</v>
      </c>
      <c r="AI369" s="67">
        <f>Integrated[[#This Row],[Flu Deaths 35 to 44 years]]/Integrated[[#This Row],[Population 35 to 44 years]]</f>
        <v>7.154201662636466E-5</v>
      </c>
      <c r="AJ369" s="67">
        <f>Integrated[[#This Row],[Flu Deaths 45 to 54 years]]/Integrated[[#This Row],[Population 45 to 54 years]]</f>
        <v>6.0951823678564461E-5</v>
      </c>
      <c r="AK369" s="67">
        <f>Integrated[[#This Row],[Flu Deaths 55 to 64 years]]/Integrated[[#This Row],[Population 55 to 64 years]]</f>
        <v>8.147063549358758E-5</v>
      </c>
      <c r="AL369" s="67">
        <f>Integrated[[#This Row],[Flu Deaths 65 to 74 years]]/Integrated[[#This Row],[Population 65 to 74 years]]</f>
        <v>2.9430073254127791E-4</v>
      </c>
      <c r="AM369" s="67">
        <f>Integrated[[#This Row],[Flu Deaths 75 to 84 years]]/Integrated[[#This Row],[Population 75 to 84 years]]</f>
        <v>9.7021248317910721E-4</v>
      </c>
      <c r="AN369" s="67">
        <f>Integrated[[#This Row],[Flu Deaths 85+ years]]/Integrated[[#This Row],[Population 85+ years]]</f>
        <v>4.2191915151671552E-3</v>
      </c>
      <c r="AO369" s="68">
        <f>Integrated[[#This Row],[Total Flu Deaths]]/Integrated[[#This Row],[Total population]]</f>
        <v>2.4666560168830218E-4</v>
      </c>
    </row>
    <row r="370" spans="1:41" x14ac:dyDescent="0.3">
      <c r="A370" s="44" t="s">
        <v>416</v>
      </c>
      <c r="B370" t="s">
        <v>382</v>
      </c>
      <c r="C370" s="45">
        <v>2011</v>
      </c>
      <c r="D370" s="51">
        <v>7752831</v>
      </c>
      <c r="E370" s="2">
        <v>3807156</v>
      </c>
      <c r="F370" s="2">
        <v>3945678</v>
      </c>
      <c r="G370" s="78">
        <f>Integrated[[#This Row],[Female Total population]]/Integrated[[#This Row],[Total population]]</f>
        <v>0.50893383333133402</v>
      </c>
      <c r="H370" s="2">
        <v>500040</v>
      </c>
      <c r="I370" s="2">
        <v>998535</v>
      </c>
      <c r="J370" s="2">
        <v>1098296</v>
      </c>
      <c r="K370" s="2">
        <v>1054030</v>
      </c>
      <c r="L370" s="2">
        <v>1105526</v>
      </c>
      <c r="M370" s="2">
        <v>1170070</v>
      </c>
      <c r="N370" s="2">
        <v>906026</v>
      </c>
      <c r="O370" s="2">
        <v>517048</v>
      </c>
      <c r="P370" s="2">
        <v>293775</v>
      </c>
      <c r="Q370" s="52">
        <v>113679</v>
      </c>
      <c r="R370" s="127">
        <f>Integrated[[#This Row],[Population 85+ years]]/Integrated[[#This Row],[Total population]]</f>
        <v>1.4662901848369969E-2</v>
      </c>
      <c r="S370" s="58">
        <v>120</v>
      </c>
      <c r="T370" s="59">
        <v>60</v>
      </c>
      <c r="U370" s="59">
        <v>60</v>
      </c>
      <c r="V370" s="59">
        <v>60</v>
      </c>
      <c r="W370" s="59">
        <v>74</v>
      </c>
      <c r="X370" s="59">
        <v>60</v>
      </c>
      <c r="Y370" s="59">
        <v>92</v>
      </c>
      <c r="Z370" s="59">
        <v>197</v>
      </c>
      <c r="AA370" s="59">
        <v>346</v>
      </c>
      <c r="AB370" s="59">
        <v>661</v>
      </c>
      <c r="AC370" s="59">
        <f>VLOOKUP($A370,'[1]Flu Deaths Updated'!$A$2:$N$460,14,FALSE)</f>
        <v>60</v>
      </c>
      <c r="AD370" s="60">
        <f t="shared" si="5"/>
        <v>1790</v>
      </c>
      <c r="AE370" s="66">
        <f>Integrated[[#This Row],[Flu Deaths &lt;5 years old]]/Integrated[[#This Row],[Population &lt;5 years]]</f>
        <v>2.3998080153587713E-4</v>
      </c>
      <c r="AF370" s="67">
        <f>Integrated[[#This Row],[Flu Deaths 5 to 14 years]]/Integrated[[#This Row],[Population 5 to 14 years]]</f>
        <v>6.0088028962429959E-5</v>
      </c>
      <c r="AG370" s="67">
        <f>Integrated[[#This Row],[Flu Deaths 15 to 24 years]]/Integrated[[#This Row],[Population 15 to 24 years]]</f>
        <v>5.4630081508081613E-5</v>
      </c>
      <c r="AH370" s="67">
        <f>Integrated[[#This Row],[Flu Deaths 25 to 34 years]]/Integrated[[#This Row],[Population 25 to 34 years]]</f>
        <v>5.6924375966528464E-5</v>
      </c>
      <c r="AI370" s="67">
        <f>Integrated[[#This Row],[Flu Deaths 35 to 44 years]]/Integrated[[#This Row],[Population 35 to 44 years]]</f>
        <v>5.4272807695160494E-5</v>
      </c>
      <c r="AJ370" s="67">
        <f>Integrated[[#This Row],[Flu Deaths 45 to 54 years]]/Integrated[[#This Row],[Population 45 to 54 years]]</f>
        <v>6.324407941405215E-5</v>
      </c>
      <c r="AK370" s="67">
        <f>Integrated[[#This Row],[Flu Deaths 55 to 64 years]]/Integrated[[#This Row],[Population 55 to 64 years]]</f>
        <v>1.0154233984455193E-4</v>
      </c>
      <c r="AL370" s="67">
        <f>Integrated[[#This Row],[Flu Deaths 65 to 74 years]]/Integrated[[#This Row],[Population 65 to 74 years]]</f>
        <v>3.8100911327381597E-4</v>
      </c>
      <c r="AM370" s="67">
        <f>Integrated[[#This Row],[Flu Deaths 75 to 84 years]]/Integrated[[#This Row],[Population 75 to 84 years]]</f>
        <v>1.1777721045017446E-3</v>
      </c>
      <c r="AN370" s="67">
        <f>Integrated[[#This Row],[Flu Deaths 85+ years]]/Integrated[[#This Row],[Population 85+ years]]</f>
        <v>5.8146183551931315E-3</v>
      </c>
      <c r="AO370" s="68">
        <f>Integrated[[#This Row],[Total Flu Deaths]]/Integrated[[#This Row],[Total population]]</f>
        <v>2.3088340246291969E-4</v>
      </c>
    </row>
    <row r="371" spans="1:41" x14ac:dyDescent="0.3">
      <c r="A371" s="44" t="s">
        <v>285</v>
      </c>
      <c r="B371" t="s">
        <v>286</v>
      </c>
      <c r="C371" s="45">
        <v>2015</v>
      </c>
      <c r="D371" s="51">
        <v>5583015</v>
      </c>
      <c r="E371" s="2">
        <v>2735451</v>
      </c>
      <c r="F371" s="2">
        <v>2847569</v>
      </c>
      <c r="G371" s="78">
        <f>Integrated[[#This Row],[Female Total population]]/Integrated[[#This Row],[Total population]]</f>
        <v>0.51004143818349046</v>
      </c>
      <c r="H371" s="2">
        <v>348901</v>
      </c>
      <c r="I371" s="2">
        <v>722560</v>
      </c>
      <c r="J371" s="2">
        <v>767835</v>
      </c>
      <c r="K371" s="2">
        <v>746535</v>
      </c>
      <c r="L371" s="2">
        <v>683778</v>
      </c>
      <c r="M371" s="2">
        <v>775876</v>
      </c>
      <c r="N371" s="2">
        <v>717779</v>
      </c>
      <c r="O371" s="2">
        <v>457063</v>
      </c>
      <c r="P371" s="2">
        <v>254692</v>
      </c>
      <c r="Q371" s="52">
        <v>109643</v>
      </c>
      <c r="R371" s="127">
        <f>Integrated[[#This Row],[Population 85+ years]]/Integrated[[#This Row],[Total population]]</f>
        <v>1.963867193622084E-2</v>
      </c>
      <c r="S371" s="58">
        <v>120</v>
      </c>
      <c r="T371" s="59">
        <v>60</v>
      </c>
      <c r="U371" s="59">
        <v>60</v>
      </c>
      <c r="V371" s="59">
        <v>60</v>
      </c>
      <c r="W371" s="59">
        <v>60</v>
      </c>
      <c r="X371" s="59">
        <v>60</v>
      </c>
      <c r="Y371" s="59">
        <v>81</v>
      </c>
      <c r="Z371" s="59">
        <v>164</v>
      </c>
      <c r="AA371" s="59">
        <v>327</v>
      </c>
      <c r="AB371" s="59">
        <v>663</v>
      </c>
      <c r="AC371" s="59">
        <f>VLOOKUP($A371,'[1]Flu Deaths Updated'!$A$2:$N$460,14,FALSE)</f>
        <v>60</v>
      </c>
      <c r="AD371" s="60">
        <f t="shared" si="5"/>
        <v>1715</v>
      </c>
      <c r="AE371" s="66">
        <f>Integrated[[#This Row],[Flu Deaths &lt;5 years old]]/Integrated[[#This Row],[Population &lt;5 years]]</f>
        <v>3.4393710536799839E-4</v>
      </c>
      <c r="AF371" s="67">
        <f>Integrated[[#This Row],[Flu Deaths 5 to 14 years]]/Integrated[[#This Row],[Population 5 to 14 years]]</f>
        <v>8.3038086802480067E-5</v>
      </c>
      <c r="AG371" s="67">
        <f>Integrated[[#This Row],[Flu Deaths 15 to 24 years]]/Integrated[[#This Row],[Population 15 to 24 years]]</f>
        <v>7.814178827482467E-5</v>
      </c>
      <c r="AH371" s="67">
        <f>Integrated[[#This Row],[Flu Deaths 25 to 34 years]]/Integrated[[#This Row],[Population 25 to 34 years]]</f>
        <v>8.0371315477506078E-5</v>
      </c>
      <c r="AI371" s="67">
        <f>Integrated[[#This Row],[Flu Deaths 35 to 44 years]]/Integrated[[#This Row],[Population 35 to 44 years]]</f>
        <v>8.7747777787527525E-5</v>
      </c>
      <c r="AJ371" s="67">
        <f>Integrated[[#This Row],[Flu Deaths 45 to 54 years]]/Integrated[[#This Row],[Population 45 to 54 years]]</f>
        <v>7.7331944795302346E-5</v>
      </c>
      <c r="AK371" s="67">
        <f>Integrated[[#This Row],[Flu Deaths 55 to 64 years]]/Integrated[[#This Row],[Population 55 to 64 years]]</f>
        <v>1.1284810505740624E-4</v>
      </c>
      <c r="AL371" s="67">
        <f>Integrated[[#This Row],[Flu Deaths 65 to 74 years]]/Integrated[[#This Row],[Population 65 to 74 years]]</f>
        <v>3.5881268009005325E-4</v>
      </c>
      <c r="AM371" s="67">
        <f>Integrated[[#This Row],[Flu Deaths 75 to 84 years]]/Integrated[[#This Row],[Population 75 to 84 years]]</f>
        <v>1.2839036954439087E-3</v>
      </c>
      <c r="AN371" s="67">
        <f>Integrated[[#This Row],[Flu Deaths 85+ years]]/Integrated[[#This Row],[Population 85+ years]]</f>
        <v>6.0468976587652653E-3</v>
      </c>
      <c r="AO371" s="68">
        <f>Integrated[[#This Row],[Total Flu Deaths]]/Integrated[[#This Row],[Total population]]</f>
        <v>3.0718169304578261E-4</v>
      </c>
    </row>
    <row r="372" spans="1:41" x14ac:dyDescent="0.3">
      <c r="A372" s="44" t="s">
        <v>484</v>
      </c>
      <c r="B372" t="s">
        <v>408</v>
      </c>
      <c r="C372" s="45">
        <v>2009</v>
      </c>
      <c r="D372" s="51">
        <v>10008213</v>
      </c>
      <c r="E372" s="2">
        <v>4922355</v>
      </c>
      <c r="F372" s="2">
        <v>5085858</v>
      </c>
      <c r="G372" s="78">
        <f>Integrated[[#This Row],[Female Total population]]/Integrated[[#This Row],[Total population]]</f>
        <v>0.5081684412591938</v>
      </c>
      <c r="H372" s="2">
        <v>631091</v>
      </c>
      <c r="I372" s="2">
        <v>1351493</v>
      </c>
      <c r="J372" s="2">
        <v>1435202</v>
      </c>
      <c r="K372" s="2">
        <v>1226457</v>
      </c>
      <c r="L372" s="2">
        <v>1415347</v>
      </c>
      <c r="M372" s="2">
        <v>1527945</v>
      </c>
      <c r="N372" s="2">
        <v>1135555</v>
      </c>
      <c r="O372" s="2">
        <v>664827</v>
      </c>
      <c r="P372" s="2">
        <v>444218</v>
      </c>
      <c r="Q372" s="52">
        <v>173824</v>
      </c>
      <c r="R372" s="127">
        <f>Integrated[[#This Row],[Population 85+ years]]/Integrated[[#This Row],[Total population]]</f>
        <v>1.736813555027256E-2</v>
      </c>
      <c r="S372" s="58">
        <v>120</v>
      </c>
      <c r="T372" s="59">
        <v>60</v>
      </c>
      <c r="U372" s="59">
        <v>60</v>
      </c>
      <c r="V372" s="59">
        <v>65</v>
      </c>
      <c r="W372" s="59">
        <v>81</v>
      </c>
      <c r="X372" s="59">
        <v>60</v>
      </c>
      <c r="Y372" s="59">
        <v>141</v>
      </c>
      <c r="Z372" s="59">
        <v>191</v>
      </c>
      <c r="AA372" s="59">
        <v>417</v>
      </c>
      <c r="AB372" s="59">
        <v>685</v>
      </c>
      <c r="AC372" s="59">
        <f>VLOOKUP($A372,'[1]Flu Deaths Updated'!$A$2:$N$460,14,FALSE)</f>
        <v>60</v>
      </c>
      <c r="AD372" s="60">
        <f t="shared" si="5"/>
        <v>1940</v>
      </c>
      <c r="AE372" s="66">
        <f>Integrated[[#This Row],[Flu Deaths &lt;5 years old]]/Integrated[[#This Row],[Population &lt;5 years]]</f>
        <v>1.9014690432916963E-4</v>
      </c>
      <c r="AF372" s="67">
        <f>Integrated[[#This Row],[Flu Deaths 5 to 14 years]]/Integrated[[#This Row],[Population 5 to 14 years]]</f>
        <v>4.439534647978199E-5</v>
      </c>
      <c r="AG372" s="67">
        <f>Integrated[[#This Row],[Flu Deaths 15 to 24 years]]/Integrated[[#This Row],[Population 15 to 24 years]]</f>
        <v>4.1805961808860356E-5</v>
      </c>
      <c r="AH372" s="67">
        <f>Integrated[[#This Row],[Flu Deaths 25 to 34 years]]/Integrated[[#This Row],[Population 25 to 34 years]]</f>
        <v>4.8921405316289119E-5</v>
      </c>
      <c r="AI372" s="67">
        <f>Integrated[[#This Row],[Flu Deaths 35 to 44 years]]/Integrated[[#This Row],[Population 35 to 44 years]]</f>
        <v>4.5925133553821077E-5</v>
      </c>
      <c r="AJ372" s="67">
        <f>Integrated[[#This Row],[Flu Deaths 45 to 54 years]]/Integrated[[#This Row],[Population 45 to 54 years]]</f>
        <v>5.3012379372294159E-5</v>
      </c>
      <c r="AK372" s="67">
        <f>Integrated[[#This Row],[Flu Deaths 55 to 64 years]]/Integrated[[#This Row],[Population 55 to 64 years]]</f>
        <v>1.2416835820369776E-4</v>
      </c>
      <c r="AL372" s="67">
        <f>Integrated[[#This Row],[Flu Deaths 65 to 74 years]]/Integrated[[#This Row],[Population 65 to 74 years]]</f>
        <v>2.8729278443865848E-4</v>
      </c>
      <c r="AM372" s="67">
        <f>Integrated[[#This Row],[Flu Deaths 75 to 84 years]]/Integrated[[#This Row],[Population 75 to 84 years]]</f>
        <v>9.3872828205970947E-4</v>
      </c>
      <c r="AN372" s="67">
        <f>Integrated[[#This Row],[Flu Deaths 85+ years]]/Integrated[[#This Row],[Population 85+ years]]</f>
        <v>3.9407676730486008E-3</v>
      </c>
      <c r="AO372" s="68">
        <f>Integrated[[#This Row],[Total Flu Deaths]]/Integrated[[#This Row],[Total population]]</f>
        <v>1.9384079855214913E-4</v>
      </c>
    </row>
    <row r="373" spans="1:41" x14ac:dyDescent="0.3">
      <c r="A373" s="44" t="s">
        <v>480</v>
      </c>
      <c r="B373" t="s">
        <v>472</v>
      </c>
      <c r="C373" s="45">
        <v>2013</v>
      </c>
      <c r="D373" s="51">
        <v>8832406</v>
      </c>
      <c r="E373" s="2">
        <v>4304817</v>
      </c>
      <c r="F373" s="2">
        <v>4527589</v>
      </c>
      <c r="G373" s="78">
        <f>Integrated[[#This Row],[Female Total population]]/Integrated[[#This Row],[Total population]]</f>
        <v>0.51261105977238819</v>
      </c>
      <c r="H373" s="2">
        <v>538331</v>
      </c>
      <c r="I373" s="2">
        <v>1142410</v>
      </c>
      <c r="J373" s="2">
        <v>1143343</v>
      </c>
      <c r="K373" s="2">
        <v>1122091</v>
      </c>
      <c r="L373" s="2">
        <v>1216635</v>
      </c>
      <c r="M373" s="2">
        <v>1369055</v>
      </c>
      <c r="N373" s="2">
        <v>1078740</v>
      </c>
      <c r="O373" s="2">
        <v>643671</v>
      </c>
      <c r="P373" s="2">
        <v>393755</v>
      </c>
      <c r="Q373" s="52">
        <v>184444</v>
      </c>
      <c r="R373" s="127">
        <f>Integrated[[#This Row],[Population 85+ years]]/Integrated[[#This Row],[Total population]]</f>
        <v>2.0882645113913467E-2</v>
      </c>
      <c r="S373" s="58">
        <v>120</v>
      </c>
      <c r="T373" s="59">
        <v>60</v>
      </c>
      <c r="U373" s="59">
        <v>60</v>
      </c>
      <c r="V373" s="59">
        <v>66</v>
      </c>
      <c r="W373" s="59">
        <v>60</v>
      </c>
      <c r="X373" s="59">
        <v>60</v>
      </c>
      <c r="Y373" s="59">
        <v>92</v>
      </c>
      <c r="Z373" s="59">
        <v>142</v>
      </c>
      <c r="AA373" s="59">
        <v>334</v>
      </c>
      <c r="AB373" s="59">
        <v>690</v>
      </c>
      <c r="AC373" s="59">
        <f>VLOOKUP($A373,'[1]Flu Deaths Updated'!$A$2:$N$460,14,FALSE)</f>
        <v>60</v>
      </c>
      <c r="AD373" s="60">
        <f t="shared" si="5"/>
        <v>1744</v>
      </c>
      <c r="AE373" s="66">
        <f>Integrated[[#This Row],[Flu Deaths &lt;5 years old]]/Integrated[[#This Row],[Population &lt;5 years]]</f>
        <v>2.2291118289676797E-4</v>
      </c>
      <c r="AF373" s="67">
        <f>Integrated[[#This Row],[Flu Deaths 5 to 14 years]]/Integrated[[#This Row],[Population 5 to 14 years]]</f>
        <v>5.252054866466505E-5</v>
      </c>
      <c r="AG373" s="67">
        <f>Integrated[[#This Row],[Flu Deaths 15 to 24 years]]/Integrated[[#This Row],[Population 15 to 24 years]]</f>
        <v>5.2477690421859406E-5</v>
      </c>
      <c r="AH373" s="67">
        <f>Integrated[[#This Row],[Flu Deaths 25 to 34 years]]/Integrated[[#This Row],[Population 25 to 34 years]]</f>
        <v>5.3471599005784736E-5</v>
      </c>
      <c r="AI373" s="67">
        <f>Integrated[[#This Row],[Flu Deaths 35 to 44 years]]/Integrated[[#This Row],[Population 35 to 44 years]]</f>
        <v>5.4247987276381163E-5</v>
      </c>
      <c r="AJ373" s="67">
        <f>Integrated[[#This Row],[Flu Deaths 45 to 54 years]]/Integrated[[#This Row],[Population 45 to 54 years]]</f>
        <v>4.382585067802243E-5</v>
      </c>
      <c r="AK373" s="67">
        <f>Integrated[[#This Row],[Flu Deaths 55 to 64 years]]/Integrated[[#This Row],[Population 55 to 64 years]]</f>
        <v>8.5284683983165549E-5</v>
      </c>
      <c r="AL373" s="67">
        <f>Integrated[[#This Row],[Flu Deaths 65 to 74 years]]/Integrated[[#This Row],[Population 65 to 74 years]]</f>
        <v>2.2060959713891102E-4</v>
      </c>
      <c r="AM373" s="67">
        <f>Integrated[[#This Row],[Flu Deaths 75 to 84 years]]/Integrated[[#This Row],[Population 75 to 84 years]]</f>
        <v>8.4824319691178521E-4</v>
      </c>
      <c r="AN373" s="67">
        <f>Integrated[[#This Row],[Flu Deaths 85+ years]]/Integrated[[#This Row],[Population 85+ years]]</f>
        <v>3.7409728698141443E-3</v>
      </c>
      <c r="AO373" s="68">
        <f>Integrated[[#This Row],[Total Flu Deaths]]/Integrated[[#This Row],[Total population]]</f>
        <v>1.9745469128117524E-4</v>
      </c>
    </row>
    <row r="374" spans="1:41" x14ac:dyDescent="0.3">
      <c r="A374" s="44" t="s">
        <v>420</v>
      </c>
      <c r="B374" t="s">
        <v>332</v>
      </c>
      <c r="C374" s="45">
        <v>2009</v>
      </c>
      <c r="D374" s="51">
        <v>8979738</v>
      </c>
      <c r="E374" s="2">
        <v>4392556</v>
      </c>
      <c r="F374" s="2">
        <v>4587183</v>
      </c>
      <c r="G374" s="78">
        <f>Integrated[[#This Row],[Female Total population]]/Integrated[[#This Row],[Total population]]</f>
        <v>0.51083706451123634</v>
      </c>
      <c r="H374" s="2">
        <v>630040</v>
      </c>
      <c r="I374" s="2">
        <v>1194254</v>
      </c>
      <c r="J374" s="2">
        <v>1259930</v>
      </c>
      <c r="K374" s="2">
        <v>1200420</v>
      </c>
      <c r="L374" s="2">
        <v>1313063</v>
      </c>
      <c r="M374" s="2">
        <v>1275429</v>
      </c>
      <c r="N374" s="2">
        <v>997564</v>
      </c>
      <c r="O374" s="2">
        <v>600833</v>
      </c>
      <c r="P374" s="2">
        <v>378600</v>
      </c>
      <c r="Q374" s="52">
        <v>132098</v>
      </c>
      <c r="R374" s="127">
        <f>Integrated[[#This Row],[Population 85+ years]]/Integrated[[#This Row],[Total population]]</f>
        <v>1.4710674186707897E-2</v>
      </c>
      <c r="S374" s="58">
        <v>120</v>
      </c>
      <c r="T374" s="59">
        <v>60</v>
      </c>
      <c r="U374" s="59">
        <v>60</v>
      </c>
      <c r="V374" s="59">
        <v>60</v>
      </c>
      <c r="W374" s="59">
        <v>92</v>
      </c>
      <c r="X374" s="59">
        <v>60</v>
      </c>
      <c r="Y374" s="59">
        <v>113</v>
      </c>
      <c r="Z374" s="59">
        <v>260</v>
      </c>
      <c r="AA374" s="59">
        <v>475</v>
      </c>
      <c r="AB374" s="59">
        <v>697</v>
      </c>
      <c r="AC374" s="59">
        <f>VLOOKUP($A374,'[1]Flu Deaths Updated'!$A$2:$N$460,14,FALSE)</f>
        <v>60</v>
      </c>
      <c r="AD374" s="60">
        <f t="shared" si="5"/>
        <v>2057</v>
      </c>
      <c r="AE374" s="66">
        <f>Integrated[[#This Row],[Flu Deaths &lt;5 years old]]/Integrated[[#This Row],[Population &lt;5 years]]</f>
        <v>1.9046409751761792E-4</v>
      </c>
      <c r="AF374" s="67">
        <f>Integrated[[#This Row],[Flu Deaths 5 to 14 years]]/Integrated[[#This Row],[Population 5 to 14 years]]</f>
        <v>5.0240568589261584E-5</v>
      </c>
      <c r="AG374" s="67">
        <f>Integrated[[#This Row],[Flu Deaths 15 to 24 years]]/Integrated[[#This Row],[Population 15 to 24 years]]</f>
        <v>4.762169326867366E-5</v>
      </c>
      <c r="AH374" s="67">
        <f>Integrated[[#This Row],[Flu Deaths 25 to 34 years]]/Integrated[[#This Row],[Population 25 to 34 years]]</f>
        <v>4.9982506122857E-5</v>
      </c>
      <c r="AI374" s="67">
        <f>Integrated[[#This Row],[Flu Deaths 35 to 44 years]]/Integrated[[#This Row],[Population 35 to 44 years]]</f>
        <v>4.5694684870413683E-5</v>
      </c>
      <c r="AJ374" s="67">
        <f>Integrated[[#This Row],[Flu Deaths 45 to 54 years]]/Integrated[[#This Row],[Population 45 to 54 years]]</f>
        <v>7.213259224935296E-5</v>
      </c>
      <c r="AK374" s="67">
        <f>Integrated[[#This Row],[Flu Deaths 55 to 64 years]]/Integrated[[#This Row],[Population 55 to 64 years]]</f>
        <v>1.1327594019030358E-4</v>
      </c>
      <c r="AL374" s="67">
        <f>Integrated[[#This Row],[Flu Deaths 65 to 74 years]]/Integrated[[#This Row],[Population 65 to 74 years]]</f>
        <v>4.3273255630100213E-4</v>
      </c>
      <c r="AM374" s="67">
        <f>Integrated[[#This Row],[Flu Deaths 75 to 84 years]]/Integrated[[#This Row],[Population 75 to 84 years]]</f>
        <v>1.254622292657158E-3</v>
      </c>
      <c r="AN374" s="67">
        <f>Integrated[[#This Row],[Flu Deaths 85+ years]]/Integrated[[#This Row],[Population 85+ years]]</f>
        <v>5.2763857136368456E-3</v>
      </c>
      <c r="AO374" s="68">
        <f>Integrated[[#This Row],[Total Flu Deaths]]/Integrated[[#This Row],[Total population]]</f>
        <v>2.2907127134444235E-4</v>
      </c>
    </row>
    <row r="375" spans="1:41" x14ac:dyDescent="0.3">
      <c r="A375" s="44" t="s">
        <v>349</v>
      </c>
      <c r="B375" t="s">
        <v>298</v>
      </c>
      <c r="C375" s="45">
        <v>2010</v>
      </c>
      <c r="D375" s="51">
        <v>6476856</v>
      </c>
      <c r="E375" s="2">
        <v>3132209</v>
      </c>
      <c r="F375" s="2">
        <v>3344648</v>
      </c>
      <c r="G375" s="78">
        <f>Integrated[[#This Row],[Female Total population]]/Integrated[[#This Row],[Total population]]</f>
        <v>0.51639993231283821</v>
      </c>
      <c r="H375" s="2">
        <v>367192</v>
      </c>
      <c r="I375" s="2">
        <v>796663</v>
      </c>
      <c r="J375" s="2">
        <v>928277</v>
      </c>
      <c r="K375" s="2">
        <v>827727</v>
      </c>
      <c r="L375" s="2">
        <v>931426</v>
      </c>
      <c r="M375" s="2">
        <v>990279</v>
      </c>
      <c r="N375" s="2">
        <v>755782</v>
      </c>
      <c r="O375" s="2">
        <v>430123</v>
      </c>
      <c r="P375" s="2">
        <v>306692</v>
      </c>
      <c r="Q375" s="52">
        <v>137726</v>
      </c>
      <c r="R375" s="127">
        <f>Integrated[[#This Row],[Population 85+ years]]/Integrated[[#This Row],[Total population]]</f>
        <v>2.1264329483317215E-2</v>
      </c>
      <c r="S375" s="58">
        <v>120</v>
      </c>
      <c r="T375" s="59">
        <v>60</v>
      </c>
      <c r="U375" s="59">
        <v>60</v>
      </c>
      <c r="V375" s="59">
        <v>60</v>
      </c>
      <c r="W375" s="59">
        <v>60</v>
      </c>
      <c r="X375" s="59">
        <v>60</v>
      </c>
      <c r="Y375" s="59">
        <v>67</v>
      </c>
      <c r="Z375" s="59">
        <v>108</v>
      </c>
      <c r="AA375" s="59">
        <v>340</v>
      </c>
      <c r="AB375" s="59">
        <v>703</v>
      </c>
      <c r="AC375" s="59">
        <f>VLOOKUP($A375,'[1]Flu Deaths Updated'!$A$2:$N$460,14,FALSE)</f>
        <v>60</v>
      </c>
      <c r="AD375" s="60">
        <f t="shared" si="5"/>
        <v>1698</v>
      </c>
      <c r="AE375" s="66">
        <f>Integrated[[#This Row],[Flu Deaths &lt;5 years old]]/Integrated[[#This Row],[Population &lt;5 years]]</f>
        <v>3.268045055447831E-4</v>
      </c>
      <c r="AF375" s="67">
        <f>Integrated[[#This Row],[Flu Deaths 5 to 14 years]]/Integrated[[#This Row],[Population 5 to 14 years]]</f>
        <v>7.5314154165563105E-5</v>
      </c>
      <c r="AG375" s="67">
        <f>Integrated[[#This Row],[Flu Deaths 15 to 24 years]]/Integrated[[#This Row],[Population 15 to 24 years]]</f>
        <v>6.4635879161069378E-5</v>
      </c>
      <c r="AH375" s="67">
        <f>Integrated[[#This Row],[Flu Deaths 25 to 34 years]]/Integrated[[#This Row],[Population 25 to 34 years]]</f>
        <v>7.2487668035475461E-5</v>
      </c>
      <c r="AI375" s="67">
        <f>Integrated[[#This Row],[Flu Deaths 35 to 44 years]]/Integrated[[#This Row],[Population 35 to 44 years]]</f>
        <v>6.4417355753436126E-5</v>
      </c>
      <c r="AJ375" s="67">
        <f>Integrated[[#This Row],[Flu Deaths 45 to 54 years]]/Integrated[[#This Row],[Population 45 to 54 years]]</f>
        <v>6.0588985528320807E-5</v>
      </c>
      <c r="AK375" s="67">
        <f>Integrated[[#This Row],[Flu Deaths 55 to 64 years]]/Integrated[[#This Row],[Population 55 to 64 years]]</f>
        <v>8.8649901691228422E-5</v>
      </c>
      <c r="AL375" s="67">
        <f>Integrated[[#This Row],[Flu Deaths 65 to 74 years]]/Integrated[[#This Row],[Population 65 to 74 years]]</f>
        <v>2.5109096700246208E-4</v>
      </c>
      <c r="AM375" s="67">
        <f>Integrated[[#This Row],[Flu Deaths 75 to 84 years]]/Integrated[[#This Row],[Population 75 to 84 years]]</f>
        <v>1.108604071837544E-3</v>
      </c>
      <c r="AN375" s="67">
        <f>Integrated[[#This Row],[Flu Deaths 85+ years]]/Integrated[[#This Row],[Population 85+ years]]</f>
        <v>5.1043375978391883E-3</v>
      </c>
      <c r="AO375" s="68">
        <f>Integrated[[#This Row],[Total Flu Deaths]]/Integrated[[#This Row],[Total population]]</f>
        <v>2.6216423524006094E-4</v>
      </c>
    </row>
    <row r="376" spans="1:41" x14ac:dyDescent="0.3">
      <c r="A376" s="44" t="s">
        <v>346</v>
      </c>
      <c r="B376" t="s">
        <v>298</v>
      </c>
      <c r="C376" s="45">
        <v>2009</v>
      </c>
      <c r="D376" s="51">
        <v>6511176</v>
      </c>
      <c r="E376" s="2">
        <v>3159175</v>
      </c>
      <c r="F376" s="2">
        <v>3352001</v>
      </c>
      <c r="G376" s="78">
        <f>Integrated[[#This Row],[Female Total population]]/Integrated[[#This Row],[Total population]]</f>
        <v>0.51480730977015521</v>
      </c>
      <c r="H376" s="2">
        <v>384511</v>
      </c>
      <c r="I376" s="2">
        <v>800479</v>
      </c>
      <c r="J376" s="2">
        <v>909998</v>
      </c>
      <c r="K376" s="2">
        <v>839244</v>
      </c>
      <c r="L376" s="2">
        <v>975485</v>
      </c>
      <c r="M376" s="2">
        <v>998080</v>
      </c>
      <c r="N376" s="2">
        <v>732781</v>
      </c>
      <c r="O376" s="2">
        <v>426497</v>
      </c>
      <c r="P376" s="2">
        <v>305565</v>
      </c>
      <c r="Q376" s="52">
        <v>136977</v>
      </c>
      <c r="R376" s="127">
        <f>Integrated[[#This Row],[Population 85+ years]]/Integrated[[#This Row],[Total population]]</f>
        <v>2.1037213554049222E-2</v>
      </c>
      <c r="S376" s="58">
        <v>120</v>
      </c>
      <c r="T376" s="59">
        <v>60</v>
      </c>
      <c r="U376" s="59">
        <v>60</v>
      </c>
      <c r="V376" s="59">
        <v>60</v>
      </c>
      <c r="W376" s="59">
        <v>68</v>
      </c>
      <c r="X376" s="59">
        <v>60</v>
      </c>
      <c r="Y376" s="59">
        <v>60</v>
      </c>
      <c r="Z376" s="59">
        <v>112</v>
      </c>
      <c r="AA376" s="59">
        <v>362</v>
      </c>
      <c r="AB376" s="59">
        <v>706</v>
      </c>
      <c r="AC376" s="59">
        <f>VLOOKUP($A376,'[1]Flu Deaths Updated'!$A$2:$N$460,14,FALSE)</f>
        <v>60</v>
      </c>
      <c r="AD376" s="60">
        <f t="shared" si="5"/>
        <v>1728</v>
      </c>
      <c r="AE376" s="66">
        <f>Integrated[[#This Row],[Flu Deaths &lt;5 years old]]/Integrated[[#This Row],[Population &lt;5 years]]</f>
        <v>3.1208469978752232E-4</v>
      </c>
      <c r="AF376" s="67">
        <f>Integrated[[#This Row],[Flu Deaths 5 to 14 years]]/Integrated[[#This Row],[Population 5 to 14 years]]</f>
        <v>7.4955120621527865E-5</v>
      </c>
      <c r="AG376" s="67">
        <f>Integrated[[#This Row],[Flu Deaths 15 to 24 years]]/Integrated[[#This Row],[Population 15 to 24 years]]</f>
        <v>6.5934210844419434E-5</v>
      </c>
      <c r="AH376" s="67">
        <f>Integrated[[#This Row],[Flu Deaths 25 to 34 years]]/Integrated[[#This Row],[Population 25 to 34 years]]</f>
        <v>7.1492915052118333E-5</v>
      </c>
      <c r="AI376" s="67">
        <f>Integrated[[#This Row],[Flu Deaths 35 to 44 years]]/Integrated[[#This Row],[Population 35 to 44 years]]</f>
        <v>6.1507865318277568E-5</v>
      </c>
      <c r="AJ376" s="67">
        <f>Integrated[[#This Row],[Flu Deaths 45 to 54 years]]/Integrated[[#This Row],[Population 45 to 54 years]]</f>
        <v>6.8130811157422251E-5</v>
      </c>
      <c r="AK376" s="67">
        <f>Integrated[[#This Row],[Flu Deaths 55 to 64 years]]/Integrated[[#This Row],[Population 55 to 64 years]]</f>
        <v>8.1879852234159999E-5</v>
      </c>
      <c r="AL376" s="67">
        <f>Integrated[[#This Row],[Flu Deaths 65 to 74 years]]/Integrated[[#This Row],[Population 65 to 74 years]]</f>
        <v>2.6260442629139243E-4</v>
      </c>
      <c r="AM376" s="67">
        <f>Integrated[[#This Row],[Flu Deaths 75 to 84 years]]/Integrated[[#This Row],[Population 75 to 84 years]]</f>
        <v>1.1846906550161177E-3</v>
      </c>
      <c r="AN376" s="67">
        <f>Integrated[[#This Row],[Flu Deaths 85+ years]]/Integrated[[#This Row],[Population 85+ years]]</f>
        <v>5.1541499667827444E-3</v>
      </c>
      <c r="AO376" s="68">
        <f>Integrated[[#This Row],[Total Flu Deaths]]/Integrated[[#This Row],[Total population]]</f>
        <v>2.6538984662678446E-4</v>
      </c>
    </row>
    <row r="377" spans="1:41" x14ac:dyDescent="0.3">
      <c r="A377" s="44" t="s">
        <v>458</v>
      </c>
      <c r="B377" t="s">
        <v>332</v>
      </c>
      <c r="C377" s="45">
        <v>2011</v>
      </c>
      <c r="D377" s="51">
        <v>9277834</v>
      </c>
      <c r="E377" s="2">
        <v>4519697</v>
      </c>
      <c r="F377" s="2">
        <v>4758137</v>
      </c>
      <c r="G377" s="78">
        <f>Integrated[[#This Row],[Female Total population]]/Integrated[[#This Row],[Total population]]</f>
        <v>0.5128499820108875</v>
      </c>
      <c r="H377" s="2">
        <v>619233</v>
      </c>
      <c r="I377" s="2">
        <v>1236802</v>
      </c>
      <c r="J377" s="2">
        <v>1293315</v>
      </c>
      <c r="K377" s="2">
        <v>1217401</v>
      </c>
      <c r="L377" s="2">
        <v>1317227</v>
      </c>
      <c r="M377" s="2">
        <v>1326797</v>
      </c>
      <c r="N377" s="2">
        <v>1086980</v>
      </c>
      <c r="O377" s="2">
        <v>659640</v>
      </c>
      <c r="P377" s="2">
        <v>380670</v>
      </c>
      <c r="Q377" s="52">
        <v>137573</v>
      </c>
      <c r="R377" s="127">
        <f>Integrated[[#This Row],[Population 85+ years]]/Integrated[[#This Row],[Total population]]</f>
        <v>1.4828137688171613E-2</v>
      </c>
      <c r="S377" s="58">
        <v>120</v>
      </c>
      <c r="T377" s="59">
        <v>60</v>
      </c>
      <c r="U377" s="59">
        <v>60</v>
      </c>
      <c r="V377" s="59">
        <v>60</v>
      </c>
      <c r="W377" s="59">
        <v>65</v>
      </c>
      <c r="X377" s="59">
        <v>60</v>
      </c>
      <c r="Y377" s="59">
        <v>113</v>
      </c>
      <c r="Z377" s="59">
        <v>223</v>
      </c>
      <c r="AA377" s="59">
        <v>412</v>
      </c>
      <c r="AB377" s="59">
        <v>709</v>
      </c>
      <c r="AC377" s="59">
        <f>VLOOKUP($A377,'[1]Flu Deaths Updated'!$A$2:$N$460,14,FALSE)</f>
        <v>60</v>
      </c>
      <c r="AD377" s="60">
        <f t="shared" si="5"/>
        <v>1942</v>
      </c>
      <c r="AE377" s="66">
        <f>Integrated[[#This Row],[Flu Deaths &lt;5 years old]]/Integrated[[#This Row],[Population &lt;5 years]]</f>
        <v>1.9378812175707691E-4</v>
      </c>
      <c r="AF377" s="67">
        <f>Integrated[[#This Row],[Flu Deaths 5 to 14 years]]/Integrated[[#This Row],[Population 5 to 14 years]]</f>
        <v>4.851221133212915E-5</v>
      </c>
      <c r="AG377" s="67">
        <f>Integrated[[#This Row],[Flu Deaths 15 to 24 years]]/Integrated[[#This Row],[Population 15 to 24 years]]</f>
        <v>4.6392410201691E-5</v>
      </c>
      <c r="AH377" s="67">
        <f>Integrated[[#This Row],[Flu Deaths 25 to 34 years]]/Integrated[[#This Row],[Population 25 to 34 years]]</f>
        <v>4.928532176333024E-5</v>
      </c>
      <c r="AI377" s="67">
        <f>Integrated[[#This Row],[Flu Deaths 35 to 44 years]]/Integrated[[#This Row],[Population 35 to 44 years]]</f>
        <v>4.5550235456758782E-5</v>
      </c>
      <c r="AJ377" s="67">
        <f>Integrated[[#This Row],[Flu Deaths 45 to 54 years]]/Integrated[[#This Row],[Population 45 to 54 years]]</f>
        <v>4.8990162021771227E-5</v>
      </c>
      <c r="AK377" s="67">
        <f>Integrated[[#This Row],[Flu Deaths 55 to 64 years]]/Integrated[[#This Row],[Population 55 to 64 years]]</f>
        <v>1.0395775451250253E-4</v>
      </c>
      <c r="AL377" s="67">
        <f>Integrated[[#This Row],[Flu Deaths 65 to 74 years]]/Integrated[[#This Row],[Population 65 to 74 years]]</f>
        <v>3.3806318598023164E-4</v>
      </c>
      <c r="AM377" s="67">
        <f>Integrated[[#This Row],[Flu Deaths 75 to 84 years]]/Integrated[[#This Row],[Population 75 to 84 years]]</f>
        <v>1.082302256547666E-3</v>
      </c>
      <c r="AN377" s="67">
        <f>Integrated[[#This Row],[Flu Deaths 85+ years]]/Integrated[[#This Row],[Population 85+ years]]</f>
        <v>5.1536275286575128E-3</v>
      </c>
      <c r="AO377" s="68">
        <f>Integrated[[#This Row],[Total Flu Deaths]]/Integrated[[#This Row],[Total population]]</f>
        <v>2.0931609683898204E-4</v>
      </c>
    </row>
    <row r="378" spans="1:41" x14ac:dyDescent="0.3">
      <c r="A378" s="44" t="s">
        <v>479</v>
      </c>
      <c r="B378" t="s">
        <v>408</v>
      </c>
      <c r="C378" s="45">
        <v>2012</v>
      </c>
      <c r="D378" s="51">
        <v>9778692</v>
      </c>
      <c r="E378" s="2">
        <v>4795155</v>
      </c>
      <c r="F378" s="2">
        <v>4983541</v>
      </c>
      <c r="G378" s="78">
        <f>Integrated[[#This Row],[Female Total population]]/Integrated[[#This Row],[Total population]]</f>
        <v>0.50963267888997832</v>
      </c>
      <c r="H378" s="2">
        <v>589949</v>
      </c>
      <c r="I378" s="2">
        <v>1298717</v>
      </c>
      <c r="J378" s="2">
        <v>1401536</v>
      </c>
      <c r="K378" s="2">
        <v>1165686</v>
      </c>
      <c r="L378" s="2">
        <v>1268278</v>
      </c>
      <c r="M378" s="2">
        <v>1477252</v>
      </c>
      <c r="N378" s="2">
        <v>1234576</v>
      </c>
      <c r="O378" s="2">
        <v>716935</v>
      </c>
      <c r="P378" s="2">
        <v>439687</v>
      </c>
      <c r="Q378" s="52">
        <v>187879</v>
      </c>
      <c r="R378" s="127">
        <f>Integrated[[#This Row],[Population 85+ years]]/Integrated[[#This Row],[Total population]]</f>
        <v>1.9213101302300962E-2</v>
      </c>
      <c r="S378" s="58">
        <v>120</v>
      </c>
      <c r="T378" s="59">
        <v>60</v>
      </c>
      <c r="U378" s="59">
        <v>60</v>
      </c>
      <c r="V378" s="59">
        <v>60</v>
      </c>
      <c r="W378" s="59">
        <v>68</v>
      </c>
      <c r="X378" s="59">
        <v>60</v>
      </c>
      <c r="Y378" s="59">
        <v>109</v>
      </c>
      <c r="Z378" s="59">
        <v>183</v>
      </c>
      <c r="AA378" s="59">
        <v>435</v>
      </c>
      <c r="AB378" s="59">
        <v>717</v>
      </c>
      <c r="AC378" s="59">
        <f>VLOOKUP($A378,'[1]Flu Deaths Updated'!$A$2:$N$460,14,FALSE)</f>
        <v>60</v>
      </c>
      <c r="AD378" s="60">
        <f t="shared" si="5"/>
        <v>1932</v>
      </c>
      <c r="AE378" s="66">
        <f>Integrated[[#This Row],[Flu Deaths &lt;5 years old]]/Integrated[[#This Row],[Population &lt;5 years]]</f>
        <v>2.0340741318317345E-4</v>
      </c>
      <c r="AF378" s="67">
        <f>Integrated[[#This Row],[Flu Deaths 5 to 14 years]]/Integrated[[#This Row],[Population 5 to 14 years]]</f>
        <v>4.6199441448752888E-5</v>
      </c>
      <c r="AG378" s="67">
        <f>Integrated[[#This Row],[Flu Deaths 15 to 24 years]]/Integrated[[#This Row],[Population 15 to 24 years]]</f>
        <v>4.2810173980547056E-5</v>
      </c>
      <c r="AH378" s="67">
        <f>Integrated[[#This Row],[Flu Deaths 25 to 34 years]]/Integrated[[#This Row],[Population 25 to 34 years]]</f>
        <v>5.147183718428462E-5</v>
      </c>
      <c r="AI378" s="67">
        <f>Integrated[[#This Row],[Flu Deaths 35 to 44 years]]/Integrated[[#This Row],[Population 35 to 44 years]]</f>
        <v>4.7308239991547592E-5</v>
      </c>
      <c r="AJ378" s="67">
        <f>Integrated[[#This Row],[Flu Deaths 45 to 54 years]]/Integrated[[#This Row],[Population 45 to 54 years]]</f>
        <v>4.6031415086931678E-5</v>
      </c>
      <c r="AK378" s="67">
        <f>Integrated[[#This Row],[Flu Deaths 55 to 64 years]]/Integrated[[#This Row],[Population 55 to 64 years]]</f>
        <v>8.828942082139941E-5</v>
      </c>
      <c r="AL378" s="67">
        <f>Integrated[[#This Row],[Flu Deaths 65 to 74 years]]/Integrated[[#This Row],[Population 65 to 74 years]]</f>
        <v>2.5525326563774958E-4</v>
      </c>
      <c r="AM378" s="67">
        <f>Integrated[[#This Row],[Flu Deaths 75 to 84 years]]/Integrated[[#This Row],[Population 75 to 84 years]]</f>
        <v>9.8934014423896995E-4</v>
      </c>
      <c r="AN378" s="67">
        <f>Integrated[[#This Row],[Flu Deaths 85+ years]]/Integrated[[#This Row],[Population 85+ years]]</f>
        <v>3.8162860138706294E-3</v>
      </c>
      <c r="AO378" s="68">
        <f>Integrated[[#This Row],[Total Flu Deaths]]/Integrated[[#This Row],[Total population]]</f>
        <v>1.9757243606813673E-4</v>
      </c>
    </row>
    <row r="379" spans="1:41" x14ac:dyDescent="0.3">
      <c r="A379" s="44" t="s">
        <v>344</v>
      </c>
      <c r="B379" t="s">
        <v>298</v>
      </c>
      <c r="C379" s="45">
        <v>2014</v>
      </c>
      <c r="D379" s="51">
        <v>6657196</v>
      </c>
      <c r="E379" s="2">
        <v>3224264</v>
      </c>
      <c r="F379" s="2">
        <v>3432933</v>
      </c>
      <c r="G379" s="78">
        <f>Integrated[[#This Row],[Female Total population]]/Integrated[[#This Row],[Total population]]</f>
        <v>0.51567251437391959</v>
      </c>
      <c r="H379" s="2">
        <v>365004</v>
      </c>
      <c r="I379" s="2">
        <v>783783</v>
      </c>
      <c r="J379" s="2">
        <v>947558</v>
      </c>
      <c r="K379" s="2">
        <v>891948</v>
      </c>
      <c r="L379" s="2">
        <v>856575</v>
      </c>
      <c r="M379" s="2">
        <v>1001952</v>
      </c>
      <c r="N379" s="2">
        <v>850861</v>
      </c>
      <c r="O379" s="2">
        <v>510147</v>
      </c>
      <c r="P379" s="2">
        <v>299620</v>
      </c>
      <c r="Q379" s="52">
        <v>151054</v>
      </c>
      <c r="R379" s="127">
        <f>Integrated[[#This Row],[Population 85+ years]]/Integrated[[#This Row],[Total population]]</f>
        <v>2.269033388832175E-2</v>
      </c>
      <c r="S379" s="58">
        <v>120</v>
      </c>
      <c r="T379" s="59">
        <v>60</v>
      </c>
      <c r="U379" s="59">
        <v>60</v>
      </c>
      <c r="V379" s="59">
        <v>60</v>
      </c>
      <c r="W379" s="59">
        <v>60</v>
      </c>
      <c r="X379" s="59">
        <v>60</v>
      </c>
      <c r="Y379" s="59">
        <v>104</v>
      </c>
      <c r="Z379" s="59">
        <v>158</v>
      </c>
      <c r="AA379" s="59">
        <v>310</v>
      </c>
      <c r="AB379" s="59">
        <v>720</v>
      </c>
      <c r="AC379" s="59">
        <f>VLOOKUP($A379,'[1]Flu Deaths Updated'!$A$2:$N$460,14,FALSE)</f>
        <v>60</v>
      </c>
      <c r="AD379" s="60">
        <f t="shared" si="5"/>
        <v>1772</v>
      </c>
      <c r="AE379" s="66">
        <f>Integrated[[#This Row],[Flu Deaths &lt;5 years old]]/Integrated[[#This Row],[Population &lt;5 years]]</f>
        <v>3.2876352039977642E-4</v>
      </c>
      <c r="AF379" s="67">
        <f>Integrated[[#This Row],[Flu Deaths 5 to 14 years]]/Integrated[[#This Row],[Population 5 to 14 years]]</f>
        <v>7.6551800689731727E-5</v>
      </c>
      <c r="AG379" s="67">
        <f>Integrated[[#This Row],[Flu Deaths 15 to 24 years]]/Integrated[[#This Row],[Population 15 to 24 years]]</f>
        <v>6.3320662165271152E-5</v>
      </c>
      <c r="AH379" s="67">
        <f>Integrated[[#This Row],[Flu Deaths 25 to 34 years]]/Integrated[[#This Row],[Population 25 to 34 years]]</f>
        <v>6.7268495472830252E-5</v>
      </c>
      <c r="AI379" s="67">
        <f>Integrated[[#This Row],[Flu Deaths 35 to 44 years]]/Integrated[[#This Row],[Population 35 to 44 years]]</f>
        <v>7.0046405743805267E-5</v>
      </c>
      <c r="AJ379" s="67">
        <f>Integrated[[#This Row],[Flu Deaths 45 to 54 years]]/Integrated[[#This Row],[Population 45 to 54 years]]</f>
        <v>5.9883108172846605E-5</v>
      </c>
      <c r="AK379" s="67">
        <f>Integrated[[#This Row],[Flu Deaths 55 to 64 years]]/Integrated[[#This Row],[Population 55 to 64 years]]</f>
        <v>1.2222913025746861E-4</v>
      </c>
      <c r="AL379" s="67">
        <f>Integrated[[#This Row],[Flu Deaths 65 to 74 years]]/Integrated[[#This Row],[Population 65 to 74 years]]</f>
        <v>3.0971465087513991E-4</v>
      </c>
      <c r="AM379" s="67">
        <f>Integrated[[#This Row],[Flu Deaths 75 to 84 years]]/Integrated[[#This Row],[Population 75 to 84 years]]</f>
        <v>1.0346438822508512E-3</v>
      </c>
      <c r="AN379" s="67">
        <f>Integrated[[#This Row],[Flu Deaths 85+ years]]/Integrated[[#This Row],[Population 85+ years]]</f>
        <v>4.7665073417453357E-3</v>
      </c>
      <c r="AO379" s="68">
        <f>Integrated[[#This Row],[Total Flu Deaths]]/Integrated[[#This Row],[Total population]]</f>
        <v>2.6617813265525006E-4</v>
      </c>
    </row>
    <row r="380" spans="1:41" x14ac:dyDescent="0.3">
      <c r="A380" s="44" t="s">
        <v>397</v>
      </c>
      <c r="B380" t="s">
        <v>332</v>
      </c>
      <c r="C380" s="45">
        <v>2016</v>
      </c>
      <c r="D380" s="51">
        <v>9439599</v>
      </c>
      <c r="E380" s="2">
        <v>4591154</v>
      </c>
      <c r="F380" s="2">
        <v>4848446</v>
      </c>
      <c r="G380" s="78">
        <f>Integrated[[#This Row],[Female Total population]]/Integrated[[#This Row],[Total population]]</f>
        <v>0.51362838612106299</v>
      </c>
      <c r="H380" s="2">
        <v>581155</v>
      </c>
      <c r="I380" s="2">
        <v>1240018</v>
      </c>
      <c r="J380" s="2">
        <v>1302140</v>
      </c>
      <c r="K380" s="2">
        <v>1243200</v>
      </c>
      <c r="L380" s="2">
        <v>1247839</v>
      </c>
      <c r="M380" s="2">
        <v>1307054</v>
      </c>
      <c r="N380" s="2">
        <v>1172649</v>
      </c>
      <c r="O380" s="2">
        <v>795775</v>
      </c>
      <c r="P380" s="2">
        <v>398703</v>
      </c>
      <c r="Q380" s="52">
        <v>151983</v>
      </c>
      <c r="R380" s="127">
        <f>Integrated[[#This Row],[Population 85+ years]]/Integrated[[#This Row],[Total population]]</f>
        <v>1.6100578001247721E-2</v>
      </c>
      <c r="S380" s="58">
        <v>120</v>
      </c>
      <c r="T380" s="59">
        <v>60</v>
      </c>
      <c r="U380" s="59">
        <v>60</v>
      </c>
      <c r="V380" s="59">
        <v>60</v>
      </c>
      <c r="W380" s="59">
        <v>94</v>
      </c>
      <c r="X380" s="59">
        <v>60</v>
      </c>
      <c r="Y380" s="59">
        <v>184</v>
      </c>
      <c r="Z380" s="59">
        <v>323</v>
      </c>
      <c r="AA380" s="59">
        <v>487</v>
      </c>
      <c r="AB380" s="59">
        <v>740</v>
      </c>
      <c r="AC380" s="59">
        <f>VLOOKUP($A380,'[1]Flu Deaths Updated'!$A$2:$N$460,14,FALSE)</f>
        <v>60</v>
      </c>
      <c r="AD380" s="60">
        <f t="shared" si="5"/>
        <v>2248</v>
      </c>
      <c r="AE380" s="66">
        <f>Integrated[[#This Row],[Flu Deaths &lt;5 years old]]/Integrated[[#This Row],[Population &lt;5 years]]</f>
        <v>2.0648536104825736E-4</v>
      </c>
      <c r="AF380" s="67">
        <f>Integrated[[#This Row],[Flu Deaths 5 to 14 years]]/Integrated[[#This Row],[Population 5 to 14 years]]</f>
        <v>4.8386394391049164E-5</v>
      </c>
      <c r="AG380" s="67">
        <f>Integrated[[#This Row],[Flu Deaths 15 to 24 years]]/Integrated[[#This Row],[Population 15 to 24 years]]</f>
        <v>4.6077994685671279E-5</v>
      </c>
      <c r="AH380" s="67">
        <f>Integrated[[#This Row],[Flu Deaths 25 to 34 years]]/Integrated[[#This Row],[Population 25 to 34 years]]</f>
        <v>4.8262548262548262E-5</v>
      </c>
      <c r="AI380" s="67">
        <f>Integrated[[#This Row],[Flu Deaths 35 to 44 years]]/Integrated[[#This Row],[Population 35 to 44 years]]</f>
        <v>4.8083126108416231E-5</v>
      </c>
      <c r="AJ380" s="67">
        <f>Integrated[[#This Row],[Flu Deaths 45 to 54 years]]/Integrated[[#This Row],[Population 45 to 54 years]]</f>
        <v>7.1917457121128896E-5</v>
      </c>
      <c r="AK380" s="67">
        <f>Integrated[[#This Row],[Flu Deaths 55 to 64 years]]/Integrated[[#This Row],[Population 55 to 64 years]]</f>
        <v>1.5690969761625176E-4</v>
      </c>
      <c r="AL380" s="67">
        <f>Integrated[[#This Row],[Flu Deaths 65 to 74 years]]/Integrated[[#This Row],[Population 65 to 74 years]]</f>
        <v>4.058936257107851E-4</v>
      </c>
      <c r="AM380" s="67">
        <f>Integrated[[#This Row],[Flu Deaths 75 to 84 years]]/Integrated[[#This Row],[Population 75 to 84 years]]</f>
        <v>1.2214605859499426E-3</v>
      </c>
      <c r="AN380" s="67">
        <f>Integrated[[#This Row],[Flu Deaths 85+ years]]/Integrated[[#This Row],[Population 85+ years]]</f>
        <v>4.8689656079956307E-3</v>
      </c>
      <c r="AO380" s="68">
        <f>Integrated[[#This Row],[Total Flu Deaths]]/Integrated[[#This Row],[Total population]]</f>
        <v>2.3814570936752717E-4</v>
      </c>
    </row>
    <row r="381" spans="1:41" x14ac:dyDescent="0.3">
      <c r="A381" s="44" t="s">
        <v>411</v>
      </c>
      <c r="B381" t="s">
        <v>332</v>
      </c>
      <c r="C381" s="45">
        <v>2014</v>
      </c>
      <c r="D381" s="51">
        <v>9606083</v>
      </c>
      <c r="E381" s="2">
        <v>4678807</v>
      </c>
      <c r="F381" s="2">
        <v>4927281</v>
      </c>
      <c r="G381" s="78">
        <f>Integrated[[#This Row],[Female Total population]]/Integrated[[#This Row],[Total population]]</f>
        <v>0.51293341937603498</v>
      </c>
      <c r="H381" s="2">
        <v>610483</v>
      </c>
      <c r="I381" s="2">
        <v>1271169</v>
      </c>
      <c r="J381" s="2">
        <v>1337053</v>
      </c>
      <c r="K381" s="2">
        <v>1249679</v>
      </c>
      <c r="L381" s="2">
        <v>1295655</v>
      </c>
      <c r="M381" s="2">
        <v>1345298</v>
      </c>
      <c r="N381" s="2">
        <v>1177737</v>
      </c>
      <c r="O381" s="2">
        <v>765700</v>
      </c>
      <c r="P381" s="2">
        <v>400909</v>
      </c>
      <c r="Q381" s="52">
        <v>155756</v>
      </c>
      <c r="R381" s="127">
        <f>Integrated[[#This Row],[Population 85+ years]]/Integrated[[#This Row],[Total population]]</f>
        <v>1.6214309203865924E-2</v>
      </c>
      <c r="S381" s="58">
        <v>120</v>
      </c>
      <c r="T381" s="59">
        <v>60</v>
      </c>
      <c r="U381" s="59">
        <v>60</v>
      </c>
      <c r="V381" s="59">
        <v>66</v>
      </c>
      <c r="W381" s="59">
        <v>100</v>
      </c>
      <c r="X381" s="59">
        <v>60</v>
      </c>
      <c r="Y381" s="59">
        <v>170</v>
      </c>
      <c r="Z381" s="59">
        <v>304</v>
      </c>
      <c r="AA381" s="59">
        <v>479</v>
      </c>
      <c r="AB381" s="59">
        <v>745</v>
      </c>
      <c r="AC381" s="59">
        <f>VLOOKUP($A381,'[1]Flu Deaths Updated'!$A$2:$N$460,14,FALSE)</f>
        <v>60</v>
      </c>
      <c r="AD381" s="60">
        <f t="shared" si="5"/>
        <v>2224</v>
      </c>
      <c r="AE381" s="66">
        <f>Integrated[[#This Row],[Flu Deaths &lt;5 years old]]/Integrated[[#This Row],[Population &lt;5 years]]</f>
        <v>1.9656567013332066E-4</v>
      </c>
      <c r="AF381" s="67">
        <f>Integrated[[#This Row],[Flu Deaths 5 to 14 years]]/Integrated[[#This Row],[Population 5 to 14 years]]</f>
        <v>4.7200647592884972E-5</v>
      </c>
      <c r="AG381" s="67">
        <f>Integrated[[#This Row],[Flu Deaths 15 to 24 years]]/Integrated[[#This Row],[Population 15 to 24 years]]</f>
        <v>4.487481049741484E-5</v>
      </c>
      <c r="AH381" s="67">
        <f>Integrated[[#This Row],[Flu Deaths 25 to 34 years]]/Integrated[[#This Row],[Population 25 to 34 years]]</f>
        <v>4.8012329566232608E-5</v>
      </c>
      <c r="AI381" s="67">
        <f>Integrated[[#This Row],[Flu Deaths 35 to 44 years]]/Integrated[[#This Row],[Population 35 to 44 years]]</f>
        <v>5.0939486205818677E-5</v>
      </c>
      <c r="AJ381" s="67">
        <f>Integrated[[#This Row],[Flu Deaths 45 to 54 years]]/Integrated[[#This Row],[Population 45 to 54 years]]</f>
        <v>7.4332973066190537E-5</v>
      </c>
      <c r="AK381" s="67">
        <f>Integrated[[#This Row],[Flu Deaths 55 to 64 years]]/Integrated[[#This Row],[Population 55 to 64 years]]</f>
        <v>1.443446202335496E-4</v>
      </c>
      <c r="AL381" s="67">
        <f>Integrated[[#This Row],[Flu Deaths 65 to 74 years]]/Integrated[[#This Row],[Population 65 to 74 years]]</f>
        <v>3.9702233250620347E-4</v>
      </c>
      <c r="AM381" s="67">
        <f>Integrated[[#This Row],[Flu Deaths 75 to 84 years]]/Integrated[[#This Row],[Population 75 to 84 years]]</f>
        <v>1.1947848514251363E-3</v>
      </c>
      <c r="AN381" s="67">
        <f>Integrated[[#This Row],[Flu Deaths 85+ years]]/Integrated[[#This Row],[Population 85+ years]]</f>
        <v>4.7831223195254112E-3</v>
      </c>
      <c r="AO381" s="68">
        <f>Integrated[[#This Row],[Total Flu Deaths]]/Integrated[[#This Row],[Total population]]</f>
        <v>2.3151996500550746E-4</v>
      </c>
    </row>
    <row r="382" spans="1:41" x14ac:dyDescent="0.3">
      <c r="A382" s="44" t="s">
        <v>471</v>
      </c>
      <c r="B382" t="s">
        <v>472</v>
      </c>
      <c r="C382" s="45">
        <v>2015</v>
      </c>
      <c r="D382" s="51">
        <v>8904413</v>
      </c>
      <c r="E382" s="2">
        <v>4343027</v>
      </c>
      <c r="F382" s="2">
        <v>4561386</v>
      </c>
      <c r="G382" s="78">
        <f>Integrated[[#This Row],[Female Total population]]/Integrated[[#This Row],[Total population]]</f>
        <v>0.51226127988447978</v>
      </c>
      <c r="H382" s="2">
        <v>532961</v>
      </c>
      <c r="I382" s="2">
        <v>1130451</v>
      </c>
      <c r="J382" s="2">
        <v>1147524</v>
      </c>
      <c r="K382" s="2">
        <v>1140754</v>
      </c>
      <c r="L382" s="2">
        <v>1188752</v>
      </c>
      <c r="M382" s="2">
        <v>1352791</v>
      </c>
      <c r="N382" s="2">
        <v>1131060</v>
      </c>
      <c r="O382" s="2">
        <v>699358</v>
      </c>
      <c r="P382" s="2">
        <v>388835</v>
      </c>
      <c r="Q382" s="52">
        <v>191628</v>
      </c>
      <c r="R382" s="127">
        <f>Integrated[[#This Row],[Population 85+ years]]/Integrated[[#This Row],[Total population]]</f>
        <v>2.1520565140004177E-2</v>
      </c>
      <c r="S382" s="58">
        <v>120</v>
      </c>
      <c r="T382" s="59">
        <v>60</v>
      </c>
      <c r="U382" s="59">
        <v>60</v>
      </c>
      <c r="V382" s="59">
        <v>60</v>
      </c>
      <c r="W382" s="59">
        <v>65</v>
      </c>
      <c r="X382" s="59">
        <v>60</v>
      </c>
      <c r="Y382" s="59">
        <v>88</v>
      </c>
      <c r="Z382" s="59">
        <v>150</v>
      </c>
      <c r="AA382" s="59">
        <v>331</v>
      </c>
      <c r="AB382" s="59">
        <v>754</v>
      </c>
      <c r="AC382" s="59">
        <f>VLOOKUP($A382,'[1]Flu Deaths Updated'!$A$2:$N$460,14,FALSE)</f>
        <v>60</v>
      </c>
      <c r="AD382" s="60">
        <f t="shared" si="5"/>
        <v>1808</v>
      </c>
      <c r="AE382" s="66">
        <f>Integrated[[#This Row],[Flu Deaths &lt;5 years old]]/Integrated[[#This Row],[Population &lt;5 years]]</f>
        <v>2.2515718786177599E-4</v>
      </c>
      <c r="AF382" s="67">
        <f>Integrated[[#This Row],[Flu Deaths 5 to 14 years]]/Integrated[[#This Row],[Population 5 to 14 years]]</f>
        <v>5.3076161638142654E-5</v>
      </c>
      <c r="AG382" s="67">
        <f>Integrated[[#This Row],[Flu Deaths 15 to 24 years]]/Integrated[[#This Row],[Population 15 to 24 years]]</f>
        <v>5.2286488125738547E-5</v>
      </c>
      <c r="AH382" s="67">
        <f>Integrated[[#This Row],[Flu Deaths 25 to 34 years]]/Integrated[[#This Row],[Population 25 to 34 years]]</f>
        <v>5.2596791245088773E-5</v>
      </c>
      <c r="AI382" s="67">
        <f>Integrated[[#This Row],[Flu Deaths 35 to 44 years]]/Integrated[[#This Row],[Population 35 to 44 years]]</f>
        <v>5.0473101201932782E-5</v>
      </c>
      <c r="AJ382" s="67">
        <f>Integrated[[#This Row],[Flu Deaths 45 to 54 years]]/Integrated[[#This Row],[Population 45 to 54 years]]</f>
        <v>4.8048811678965934E-5</v>
      </c>
      <c r="AK382" s="67">
        <f>Integrated[[#This Row],[Flu Deaths 55 to 64 years]]/Integrated[[#This Row],[Population 55 to 64 years]]</f>
        <v>7.7803122734426111E-5</v>
      </c>
      <c r="AL382" s="67">
        <f>Integrated[[#This Row],[Flu Deaths 65 to 74 years]]/Integrated[[#This Row],[Population 65 to 74 years]]</f>
        <v>2.1448242531007009E-4</v>
      </c>
      <c r="AM382" s="67">
        <f>Integrated[[#This Row],[Flu Deaths 75 to 84 years]]/Integrated[[#This Row],[Population 75 to 84 years]]</f>
        <v>8.5126081757043481E-4</v>
      </c>
      <c r="AN382" s="67">
        <f>Integrated[[#This Row],[Flu Deaths 85+ years]]/Integrated[[#This Row],[Population 85+ years]]</f>
        <v>3.9347068278122194E-3</v>
      </c>
      <c r="AO382" s="68">
        <f>Integrated[[#This Row],[Total Flu Deaths]]/Integrated[[#This Row],[Total population]]</f>
        <v>2.030453888425885E-4</v>
      </c>
    </row>
    <row r="383" spans="1:41" x14ac:dyDescent="0.3">
      <c r="A383" s="44" t="s">
        <v>340</v>
      </c>
      <c r="B383" t="s">
        <v>298</v>
      </c>
      <c r="C383" s="45">
        <v>2012</v>
      </c>
      <c r="D383" s="51">
        <v>6544424</v>
      </c>
      <c r="E383" s="2">
        <v>3166895</v>
      </c>
      <c r="F383" s="2">
        <v>3377529</v>
      </c>
      <c r="G383" s="78">
        <f>Integrated[[#This Row],[Female Total population]]/Integrated[[#This Row],[Total population]]</f>
        <v>0.51609263091755664</v>
      </c>
      <c r="H383" s="2">
        <v>366987</v>
      </c>
      <c r="I383" s="2">
        <v>788197</v>
      </c>
      <c r="J383" s="2">
        <v>935614</v>
      </c>
      <c r="K383" s="2">
        <v>851569</v>
      </c>
      <c r="L383" s="2">
        <v>887075</v>
      </c>
      <c r="M383" s="2">
        <v>1004023</v>
      </c>
      <c r="N383" s="2">
        <v>804432</v>
      </c>
      <c r="O383" s="2">
        <v>463465</v>
      </c>
      <c r="P383" s="2">
        <v>301930</v>
      </c>
      <c r="Q383" s="52">
        <v>144509</v>
      </c>
      <c r="R383" s="127">
        <f>Integrated[[#This Row],[Population 85+ years]]/Integrated[[#This Row],[Total population]]</f>
        <v>2.2081240457525367E-2</v>
      </c>
      <c r="S383" s="58">
        <v>120</v>
      </c>
      <c r="T383" s="59">
        <v>60</v>
      </c>
      <c r="U383" s="59">
        <v>60</v>
      </c>
      <c r="V383" s="59">
        <v>60</v>
      </c>
      <c r="W383" s="59">
        <v>60</v>
      </c>
      <c r="X383" s="59">
        <v>60</v>
      </c>
      <c r="Y383" s="59">
        <v>60</v>
      </c>
      <c r="Z383" s="59">
        <v>126</v>
      </c>
      <c r="AA383" s="59">
        <v>329</v>
      </c>
      <c r="AB383" s="59">
        <v>762</v>
      </c>
      <c r="AC383" s="59">
        <f>VLOOKUP($A383,'[1]Flu Deaths Updated'!$A$2:$N$460,14,FALSE)</f>
        <v>60</v>
      </c>
      <c r="AD383" s="60">
        <f t="shared" si="5"/>
        <v>1757</v>
      </c>
      <c r="AE383" s="66">
        <f>Integrated[[#This Row],[Flu Deaths &lt;5 years old]]/Integrated[[#This Row],[Population &lt;5 years]]</f>
        <v>3.2698705948712079E-4</v>
      </c>
      <c r="AF383" s="67">
        <f>Integrated[[#This Row],[Flu Deaths 5 to 14 years]]/Integrated[[#This Row],[Population 5 to 14 years]]</f>
        <v>7.6123101204394328E-5</v>
      </c>
      <c r="AG383" s="67">
        <f>Integrated[[#This Row],[Flu Deaths 15 to 24 years]]/Integrated[[#This Row],[Population 15 to 24 years]]</f>
        <v>6.4129010467992137E-5</v>
      </c>
      <c r="AH383" s="67">
        <f>Integrated[[#This Row],[Flu Deaths 25 to 34 years]]/Integrated[[#This Row],[Population 25 to 34 years]]</f>
        <v>7.0458177787120009E-5</v>
      </c>
      <c r="AI383" s="67">
        <f>Integrated[[#This Row],[Flu Deaths 35 to 44 years]]/Integrated[[#This Row],[Population 35 to 44 years]]</f>
        <v>6.7638023842403399E-5</v>
      </c>
      <c r="AJ383" s="67">
        <f>Integrated[[#This Row],[Flu Deaths 45 to 54 years]]/Integrated[[#This Row],[Population 45 to 54 years]]</f>
        <v>5.9759587180771753E-5</v>
      </c>
      <c r="AK383" s="67">
        <f>Integrated[[#This Row],[Flu Deaths 55 to 64 years]]/Integrated[[#This Row],[Population 55 to 64 years]]</f>
        <v>7.4586789187899039E-5</v>
      </c>
      <c r="AL383" s="67">
        <f>Integrated[[#This Row],[Flu Deaths 65 to 74 years]]/Integrated[[#This Row],[Population 65 to 74 years]]</f>
        <v>2.7186518938862695E-4</v>
      </c>
      <c r="AM383" s="67">
        <f>Integrated[[#This Row],[Flu Deaths 75 to 84 years]]/Integrated[[#This Row],[Population 75 to 84 years]]</f>
        <v>1.0896565429072964E-3</v>
      </c>
      <c r="AN383" s="67">
        <f>Integrated[[#This Row],[Flu Deaths 85+ years]]/Integrated[[#This Row],[Population 85+ years]]</f>
        <v>5.2730279774962112E-3</v>
      </c>
      <c r="AO383" s="68">
        <f>Integrated[[#This Row],[Total Flu Deaths]]/Integrated[[#This Row],[Total population]]</f>
        <v>2.6847282511035348E-4</v>
      </c>
    </row>
    <row r="384" spans="1:41" x14ac:dyDescent="0.3">
      <c r="A384" s="44" t="s">
        <v>436</v>
      </c>
      <c r="B384" t="s">
        <v>332</v>
      </c>
      <c r="C384" s="45">
        <v>2010</v>
      </c>
      <c r="D384" s="51">
        <v>9228859</v>
      </c>
      <c r="E384" s="2">
        <v>4498188</v>
      </c>
      <c r="F384" s="2">
        <v>4730671</v>
      </c>
      <c r="G384" s="78">
        <f>Integrated[[#This Row],[Female Total population]]/Integrated[[#This Row],[Total population]]</f>
        <v>0.51259543568712018</v>
      </c>
      <c r="H384" s="2">
        <v>619526</v>
      </c>
      <c r="I384" s="2">
        <v>1231171</v>
      </c>
      <c r="J384" s="2">
        <v>1287323</v>
      </c>
      <c r="K384" s="2">
        <v>1215667</v>
      </c>
      <c r="L384" s="2">
        <v>1333054</v>
      </c>
      <c r="M384" s="2">
        <v>1323404</v>
      </c>
      <c r="N384" s="2">
        <v>1062372</v>
      </c>
      <c r="O384" s="2">
        <v>646922</v>
      </c>
      <c r="P384" s="2">
        <v>379579</v>
      </c>
      <c r="Q384" s="52">
        <v>134211</v>
      </c>
      <c r="R384" s="127">
        <f>Integrated[[#This Row],[Population 85+ years]]/Integrated[[#This Row],[Total population]]</f>
        <v>1.4542534456317948E-2</v>
      </c>
      <c r="S384" s="58">
        <v>120</v>
      </c>
      <c r="T384" s="59">
        <v>60</v>
      </c>
      <c r="U384" s="59">
        <v>60</v>
      </c>
      <c r="V384" s="59">
        <v>60</v>
      </c>
      <c r="W384" s="59">
        <v>71</v>
      </c>
      <c r="X384" s="59">
        <v>60</v>
      </c>
      <c r="Y384" s="59">
        <v>130</v>
      </c>
      <c r="Z384" s="59">
        <v>213</v>
      </c>
      <c r="AA384" s="59">
        <v>440</v>
      </c>
      <c r="AB384" s="59">
        <v>783</v>
      </c>
      <c r="AC384" s="59">
        <f>VLOOKUP($A384,'[1]Flu Deaths Updated'!$A$2:$N$460,14,FALSE)</f>
        <v>60</v>
      </c>
      <c r="AD384" s="60">
        <f t="shared" si="5"/>
        <v>2057</v>
      </c>
      <c r="AE384" s="66">
        <f>Integrated[[#This Row],[Flu Deaths &lt;5 years old]]/Integrated[[#This Row],[Population &lt;5 years]]</f>
        <v>1.9369647117312269E-4</v>
      </c>
      <c r="AF384" s="67">
        <f>Integrated[[#This Row],[Flu Deaths 5 to 14 years]]/Integrated[[#This Row],[Population 5 to 14 years]]</f>
        <v>4.8734091365050025E-5</v>
      </c>
      <c r="AG384" s="67">
        <f>Integrated[[#This Row],[Flu Deaths 15 to 24 years]]/Integrated[[#This Row],[Population 15 to 24 years]]</f>
        <v>4.660834926432605E-5</v>
      </c>
      <c r="AH384" s="67">
        <f>Integrated[[#This Row],[Flu Deaths 25 to 34 years]]/Integrated[[#This Row],[Population 25 to 34 years]]</f>
        <v>4.9355621235091517E-5</v>
      </c>
      <c r="AI384" s="67">
        <f>Integrated[[#This Row],[Flu Deaths 35 to 44 years]]/Integrated[[#This Row],[Population 35 to 44 years]]</f>
        <v>4.500942947547511E-5</v>
      </c>
      <c r="AJ384" s="67">
        <f>Integrated[[#This Row],[Flu Deaths 45 to 54 years]]/Integrated[[#This Row],[Population 45 to 54 years]]</f>
        <v>5.3649528035278717E-5</v>
      </c>
      <c r="AK384" s="67">
        <f>Integrated[[#This Row],[Flu Deaths 55 to 64 years]]/Integrated[[#This Row],[Population 55 to 64 years]]</f>
        <v>1.2236768288320852E-4</v>
      </c>
      <c r="AL384" s="67">
        <f>Integrated[[#This Row],[Flu Deaths 65 to 74 years]]/Integrated[[#This Row],[Population 65 to 74 years]]</f>
        <v>3.2925143989538154E-4</v>
      </c>
      <c r="AM384" s="67">
        <f>Integrated[[#This Row],[Flu Deaths 75 to 84 years]]/Integrated[[#This Row],[Population 75 to 84 years]]</f>
        <v>1.1591789851387985E-3</v>
      </c>
      <c r="AN384" s="67">
        <f>Integrated[[#This Row],[Flu Deaths 85+ years]]/Integrated[[#This Row],[Population 85+ years]]</f>
        <v>5.834097056128037E-3</v>
      </c>
      <c r="AO384" s="68">
        <f>Integrated[[#This Row],[Total Flu Deaths]]/Integrated[[#This Row],[Total population]]</f>
        <v>2.2288779143770645E-4</v>
      </c>
    </row>
    <row r="385" spans="1:41" x14ac:dyDescent="0.3">
      <c r="A385" s="44" t="s">
        <v>429</v>
      </c>
      <c r="B385" t="s">
        <v>408</v>
      </c>
      <c r="C385" s="45">
        <v>2017</v>
      </c>
      <c r="D385" s="51">
        <v>9550757</v>
      </c>
      <c r="E385" s="2">
        <v>4689554</v>
      </c>
      <c r="F385" s="2">
        <v>4861207</v>
      </c>
      <c r="G385" s="78">
        <f>Integrated[[#This Row],[Female Total population]]/Integrated[[#This Row],[Total population]]</f>
        <v>0.50898656514871021</v>
      </c>
      <c r="H385" s="2">
        <v>555427</v>
      </c>
      <c r="I385" s="2">
        <v>1197511</v>
      </c>
      <c r="J385" s="2">
        <v>1351008</v>
      </c>
      <c r="K385" s="2">
        <v>1181516</v>
      </c>
      <c r="L385" s="2">
        <v>1139365</v>
      </c>
      <c r="M385" s="2">
        <v>1316389</v>
      </c>
      <c r="N385" s="2">
        <v>1315151</v>
      </c>
      <c r="O385" s="2">
        <v>862305</v>
      </c>
      <c r="P385" s="2">
        <v>435252</v>
      </c>
      <c r="Q385" s="52">
        <v>196893</v>
      </c>
      <c r="R385" s="127">
        <f>Integrated[[#This Row],[Population 85+ years]]/Integrated[[#This Row],[Total population]]</f>
        <v>2.0615433938901386E-2</v>
      </c>
      <c r="S385" s="58">
        <v>120</v>
      </c>
      <c r="T385" s="59">
        <v>60</v>
      </c>
      <c r="U385" s="59">
        <v>60</v>
      </c>
      <c r="V385" s="59">
        <v>60</v>
      </c>
      <c r="W385" s="59">
        <v>65</v>
      </c>
      <c r="X385" s="59">
        <v>60</v>
      </c>
      <c r="Y385" s="59">
        <v>177</v>
      </c>
      <c r="Z385" s="59">
        <v>270</v>
      </c>
      <c r="AA385" s="59">
        <v>441</v>
      </c>
      <c r="AB385" s="59">
        <v>784</v>
      </c>
      <c r="AC385" s="59">
        <f>VLOOKUP($A385,'[1]Flu Deaths Updated'!$A$2:$N$460,14,FALSE)</f>
        <v>60</v>
      </c>
      <c r="AD385" s="60">
        <f t="shared" si="5"/>
        <v>2157</v>
      </c>
      <c r="AE385" s="66">
        <f>Integrated[[#This Row],[Flu Deaths &lt;5 years old]]/Integrated[[#This Row],[Population &lt;5 years]]</f>
        <v>2.1604999396860434E-4</v>
      </c>
      <c r="AF385" s="67">
        <f>Integrated[[#This Row],[Flu Deaths 5 to 14 years]]/Integrated[[#This Row],[Population 5 to 14 years]]</f>
        <v>5.0103923888799352E-5</v>
      </c>
      <c r="AG385" s="67">
        <f>Integrated[[#This Row],[Flu Deaths 15 to 24 years]]/Integrated[[#This Row],[Population 15 to 24 years]]</f>
        <v>4.441128401904356E-5</v>
      </c>
      <c r="AH385" s="67">
        <f>Integrated[[#This Row],[Flu Deaths 25 to 34 years]]/Integrated[[#This Row],[Population 25 to 34 years]]</f>
        <v>5.0782215391073842E-5</v>
      </c>
      <c r="AI385" s="67">
        <f>Integrated[[#This Row],[Flu Deaths 35 to 44 years]]/Integrated[[#This Row],[Population 35 to 44 years]]</f>
        <v>5.2660911999227637E-5</v>
      </c>
      <c r="AJ385" s="67">
        <f>Integrated[[#This Row],[Flu Deaths 45 to 54 years]]/Integrated[[#This Row],[Population 45 to 54 years]]</f>
        <v>4.9377501635154956E-5</v>
      </c>
      <c r="AK385" s="67">
        <f>Integrated[[#This Row],[Flu Deaths 55 to 64 years]]/Integrated[[#This Row],[Population 55 to 64 years]]</f>
        <v>1.3458530617396785E-4</v>
      </c>
      <c r="AL385" s="67">
        <f>Integrated[[#This Row],[Flu Deaths 65 to 74 years]]/Integrated[[#This Row],[Population 65 to 74 years]]</f>
        <v>3.1311426931306211E-4</v>
      </c>
      <c r="AM385" s="67">
        <f>Integrated[[#This Row],[Flu Deaths 75 to 84 years]]/Integrated[[#This Row],[Population 75 to 84 years]]</f>
        <v>1.0132061426483968E-3</v>
      </c>
      <c r="AN385" s="67">
        <f>Integrated[[#This Row],[Flu Deaths 85+ years]]/Integrated[[#This Row],[Population 85+ years]]</f>
        <v>3.9818581666184174E-3</v>
      </c>
      <c r="AO385" s="68">
        <f>Integrated[[#This Row],[Total Flu Deaths]]/Integrated[[#This Row],[Total population]]</f>
        <v>2.2584597220932329E-4</v>
      </c>
    </row>
    <row r="386" spans="1:41" x14ac:dyDescent="0.3">
      <c r="A386" s="44" t="s">
        <v>323</v>
      </c>
      <c r="B386" t="s">
        <v>298</v>
      </c>
      <c r="C386" s="45">
        <v>2017</v>
      </c>
      <c r="D386" s="51">
        <v>6771732</v>
      </c>
      <c r="E386" s="2">
        <v>3284798</v>
      </c>
      <c r="F386" s="2">
        <v>3486935</v>
      </c>
      <c r="G386" s="78">
        <f>Integrated[[#This Row],[Female Total population]]/Integrated[[#This Row],[Total population]]</f>
        <v>0.51492513289066966</v>
      </c>
      <c r="H386" s="2">
        <v>362259</v>
      </c>
      <c r="I386" s="2">
        <v>768381</v>
      </c>
      <c r="J386" s="2">
        <v>948241</v>
      </c>
      <c r="K386" s="2">
        <v>944944</v>
      </c>
      <c r="L386" s="2">
        <v>832757</v>
      </c>
      <c r="M386" s="2">
        <v>970303</v>
      </c>
      <c r="N386" s="2">
        <v>898787</v>
      </c>
      <c r="O386" s="2">
        <v>587025</v>
      </c>
      <c r="P386" s="2">
        <v>304204</v>
      </c>
      <c r="Q386" s="52">
        <v>154837</v>
      </c>
      <c r="R386" s="127">
        <f>Integrated[[#This Row],[Population 85+ years]]/Integrated[[#This Row],[Total population]]</f>
        <v>2.2865199036228842E-2</v>
      </c>
      <c r="S386" s="58">
        <v>120</v>
      </c>
      <c r="T386" s="59">
        <v>60</v>
      </c>
      <c r="U386" s="59">
        <v>60</v>
      </c>
      <c r="V386" s="59">
        <v>60</v>
      </c>
      <c r="W386" s="59">
        <v>60</v>
      </c>
      <c r="X386" s="59">
        <v>60</v>
      </c>
      <c r="Y386" s="59">
        <v>83</v>
      </c>
      <c r="Z386" s="59">
        <v>169</v>
      </c>
      <c r="AA386" s="59">
        <v>342</v>
      </c>
      <c r="AB386" s="59">
        <v>791</v>
      </c>
      <c r="AC386" s="59">
        <f>VLOOKUP($A386,'[1]Flu Deaths Updated'!$A$2:$N$460,14,FALSE)</f>
        <v>60</v>
      </c>
      <c r="AD386" s="60">
        <f t="shared" ref="AD386:AD449" si="6">SUM(S386:AC386)</f>
        <v>1865</v>
      </c>
      <c r="AE386" s="66">
        <f>Integrated[[#This Row],[Flu Deaths &lt;5 years old]]/Integrated[[#This Row],[Population &lt;5 years]]</f>
        <v>3.3125471002790822E-4</v>
      </c>
      <c r="AF386" s="67">
        <f>Integrated[[#This Row],[Flu Deaths 5 to 14 years]]/Integrated[[#This Row],[Population 5 to 14 years]]</f>
        <v>7.8086261893513763E-5</v>
      </c>
      <c r="AG386" s="67">
        <f>Integrated[[#This Row],[Flu Deaths 15 to 24 years]]/Integrated[[#This Row],[Population 15 to 24 years]]</f>
        <v>6.3275053493784807E-5</v>
      </c>
      <c r="AH386" s="67">
        <f>Integrated[[#This Row],[Flu Deaths 25 to 34 years]]/Integrated[[#This Row],[Population 25 to 34 years]]</f>
        <v>6.3495826207690616E-5</v>
      </c>
      <c r="AI386" s="67">
        <f>Integrated[[#This Row],[Flu Deaths 35 to 44 years]]/Integrated[[#This Row],[Population 35 to 44 years]]</f>
        <v>7.2049829662194375E-5</v>
      </c>
      <c r="AJ386" s="67">
        <f>Integrated[[#This Row],[Flu Deaths 45 to 54 years]]/Integrated[[#This Row],[Population 45 to 54 years]]</f>
        <v>6.1836354211004192E-5</v>
      </c>
      <c r="AK386" s="67">
        <f>Integrated[[#This Row],[Flu Deaths 55 to 64 years]]/Integrated[[#This Row],[Population 55 to 64 years]]</f>
        <v>9.2346685032160012E-5</v>
      </c>
      <c r="AL386" s="67">
        <f>Integrated[[#This Row],[Flu Deaths 65 to 74 years]]/Integrated[[#This Row],[Population 65 to 74 years]]</f>
        <v>2.8789233848643586E-4</v>
      </c>
      <c r="AM386" s="67">
        <f>Integrated[[#This Row],[Flu Deaths 75 to 84 years]]/Integrated[[#This Row],[Population 75 to 84 years]]</f>
        <v>1.1242455720503347E-3</v>
      </c>
      <c r="AN386" s="67">
        <f>Integrated[[#This Row],[Flu Deaths 85+ years]]/Integrated[[#This Row],[Population 85+ years]]</f>
        <v>5.1085980741037351E-3</v>
      </c>
      <c r="AO386" s="68">
        <f>Integrated[[#This Row],[Total Flu Deaths]]/Integrated[[#This Row],[Total population]]</f>
        <v>2.754095997892415E-4</v>
      </c>
    </row>
    <row r="387" spans="1:41" x14ac:dyDescent="0.3">
      <c r="A387" s="44" t="s">
        <v>387</v>
      </c>
      <c r="B387" t="s">
        <v>332</v>
      </c>
      <c r="C387" s="45">
        <v>2012</v>
      </c>
      <c r="D387" s="51">
        <v>9334402</v>
      </c>
      <c r="E387" s="2">
        <v>4546044</v>
      </c>
      <c r="F387" s="2">
        <v>4788358</v>
      </c>
      <c r="G387" s="78">
        <f>Integrated[[#This Row],[Female Total population]]/Integrated[[#This Row],[Total population]]</f>
        <v>0.51297962097625538</v>
      </c>
      <c r="H387" s="2">
        <v>616221</v>
      </c>
      <c r="I387" s="2">
        <v>1242079</v>
      </c>
      <c r="J387" s="2">
        <v>1302175</v>
      </c>
      <c r="K387" s="2">
        <v>1225351</v>
      </c>
      <c r="L387" s="2">
        <v>1303717</v>
      </c>
      <c r="M387" s="2">
        <v>1327301</v>
      </c>
      <c r="N387" s="2">
        <v>1110198</v>
      </c>
      <c r="O387" s="2">
        <v>684881</v>
      </c>
      <c r="P387" s="2">
        <v>381913</v>
      </c>
      <c r="Q387" s="52">
        <v>140169</v>
      </c>
      <c r="R387" s="127">
        <f>Integrated[[#This Row],[Population 85+ years]]/Integrated[[#This Row],[Total population]]</f>
        <v>1.5016387766457884E-2</v>
      </c>
      <c r="S387" s="58">
        <v>120</v>
      </c>
      <c r="T387" s="59">
        <v>60</v>
      </c>
      <c r="U387" s="59">
        <v>60</v>
      </c>
      <c r="V387" s="59">
        <v>60</v>
      </c>
      <c r="W387" s="59">
        <v>71</v>
      </c>
      <c r="X387" s="59">
        <v>60</v>
      </c>
      <c r="Y387" s="59">
        <v>174</v>
      </c>
      <c r="Z387" s="59">
        <v>293</v>
      </c>
      <c r="AA387" s="59">
        <v>510</v>
      </c>
      <c r="AB387" s="59">
        <v>794</v>
      </c>
      <c r="AC387" s="59">
        <f>VLOOKUP($A387,'[1]Flu Deaths Updated'!$A$2:$N$460,14,FALSE)</f>
        <v>60</v>
      </c>
      <c r="AD387" s="60">
        <f t="shared" si="6"/>
        <v>2262</v>
      </c>
      <c r="AE387" s="66">
        <f>Integrated[[#This Row],[Flu Deaths &lt;5 years old]]/Integrated[[#This Row],[Population &lt;5 years]]</f>
        <v>1.9473533034414602E-4</v>
      </c>
      <c r="AF387" s="67">
        <f>Integrated[[#This Row],[Flu Deaths 5 to 14 years]]/Integrated[[#This Row],[Population 5 to 14 years]]</f>
        <v>4.8306106133345786E-5</v>
      </c>
      <c r="AG387" s="67">
        <f>Integrated[[#This Row],[Flu Deaths 15 to 24 years]]/Integrated[[#This Row],[Population 15 to 24 years]]</f>
        <v>4.6076756196363778E-5</v>
      </c>
      <c r="AH387" s="67">
        <f>Integrated[[#This Row],[Flu Deaths 25 to 34 years]]/Integrated[[#This Row],[Population 25 to 34 years]]</f>
        <v>4.8965561704360626E-5</v>
      </c>
      <c r="AI387" s="67">
        <f>Integrated[[#This Row],[Flu Deaths 35 to 44 years]]/Integrated[[#This Row],[Population 35 to 44 years]]</f>
        <v>4.6022257897994736E-5</v>
      </c>
      <c r="AJ387" s="67">
        <f>Integrated[[#This Row],[Flu Deaths 45 to 54 years]]/Integrated[[#This Row],[Population 45 to 54 years]]</f>
        <v>5.3492011231815542E-5</v>
      </c>
      <c r="AK387" s="67">
        <f>Integrated[[#This Row],[Flu Deaths 55 to 64 years]]/Integrated[[#This Row],[Population 55 to 64 years]]</f>
        <v>1.5672879972761616E-4</v>
      </c>
      <c r="AL387" s="67">
        <f>Integrated[[#This Row],[Flu Deaths 65 to 74 years]]/Integrated[[#This Row],[Population 65 to 74 years]]</f>
        <v>4.2781154682346276E-4</v>
      </c>
      <c r="AM387" s="67">
        <f>Integrated[[#This Row],[Flu Deaths 75 to 84 years]]/Integrated[[#This Row],[Population 75 to 84 years]]</f>
        <v>1.3353826656856405E-3</v>
      </c>
      <c r="AN387" s="67">
        <f>Integrated[[#This Row],[Flu Deaths 85+ years]]/Integrated[[#This Row],[Population 85+ years]]</f>
        <v>5.6645906013455182E-3</v>
      </c>
      <c r="AO387" s="68">
        <f>Integrated[[#This Row],[Total Flu Deaths]]/Integrated[[#This Row],[Total population]]</f>
        <v>2.4232939614128468E-4</v>
      </c>
    </row>
    <row r="388" spans="1:41" x14ac:dyDescent="0.3">
      <c r="A388" s="44" t="s">
        <v>396</v>
      </c>
      <c r="B388" t="s">
        <v>332</v>
      </c>
      <c r="C388" s="45">
        <v>2013</v>
      </c>
      <c r="D388" s="51">
        <v>9486397</v>
      </c>
      <c r="E388" s="2">
        <v>4621510</v>
      </c>
      <c r="F388" s="2">
        <v>4864890</v>
      </c>
      <c r="G388" s="78">
        <f>Integrated[[#This Row],[Female Total population]]/Integrated[[#This Row],[Total population]]</f>
        <v>0.51282799992452355</v>
      </c>
      <c r="H388" s="2">
        <v>616158</v>
      </c>
      <c r="I388" s="2">
        <v>1263952</v>
      </c>
      <c r="J388" s="2">
        <v>1323635</v>
      </c>
      <c r="K388" s="2">
        <v>1238537</v>
      </c>
      <c r="L388" s="2">
        <v>1301710</v>
      </c>
      <c r="M388" s="2">
        <v>1341752</v>
      </c>
      <c r="N388" s="2">
        <v>1144577</v>
      </c>
      <c r="O388" s="2">
        <v>722534</v>
      </c>
      <c r="P388" s="2">
        <v>389094</v>
      </c>
      <c r="Q388" s="52">
        <v>147458</v>
      </c>
      <c r="R388" s="127">
        <f>Integrated[[#This Row],[Population 85+ years]]/Integrated[[#This Row],[Total population]]</f>
        <v>1.5544152326747447E-2</v>
      </c>
      <c r="S388" s="58">
        <v>120</v>
      </c>
      <c r="T388" s="59">
        <v>60</v>
      </c>
      <c r="U388" s="59">
        <v>60</v>
      </c>
      <c r="V388" s="59">
        <v>60</v>
      </c>
      <c r="W388" s="59">
        <v>91</v>
      </c>
      <c r="X388" s="59">
        <v>60</v>
      </c>
      <c r="Y388" s="59">
        <v>166</v>
      </c>
      <c r="Z388" s="59">
        <v>288</v>
      </c>
      <c r="AA388" s="59">
        <v>501</v>
      </c>
      <c r="AB388" s="59">
        <v>797</v>
      </c>
      <c r="AC388" s="59">
        <f>VLOOKUP($A388,'[1]Flu Deaths Updated'!$A$2:$N$460,14,FALSE)</f>
        <v>60</v>
      </c>
      <c r="AD388" s="60">
        <f t="shared" si="6"/>
        <v>2263</v>
      </c>
      <c r="AE388" s="66">
        <f>Integrated[[#This Row],[Flu Deaths &lt;5 years old]]/Integrated[[#This Row],[Population &lt;5 years]]</f>
        <v>1.9475524135043285E-4</v>
      </c>
      <c r="AF388" s="67">
        <f>Integrated[[#This Row],[Flu Deaths 5 to 14 years]]/Integrated[[#This Row],[Population 5 to 14 years]]</f>
        <v>4.7470157094573215E-5</v>
      </c>
      <c r="AG388" s="67">
        <f>Integrated[[#This Row],[Flu Deaths 15 to 24 years]]/Integrated[[#This Row],[Population 15 to 24 years]]</f>
        <v>4.5329717029241448E-5</v>
      </c>
      <c r="AH388" s="67">
        <f>Integrated[[#This Row],[Flu Deaths 25 to 34 years]]/Integrated[[#This Row],[Population 25 to 34 years]]</f>
        <v>4.8444253179355965E-5</v>
      </c>
      <c r="AI388" s="67">
        <f>Integrated[[#This Row],[Flu Deaths 35 to 44 years]]/Integrated[[#This Row],[Population 35 to 44 years]]</f>
        <v>4.6093215846847605E-5</v>
      </c>
      <c r="AJ388" s="67">
        <f>Integrated[[#This Row],[Flu Deaths 45 to 54 years]]/Integrated[[#This Row],[Population 45 to 54 years]]</f>
        <v>6.7821773323237084E-5</v>
      </c>
      <c r="AK388" s="67">
        <f>Integrated[[#This Row],[Flu Deaths 55 to 64 years]]/Integrated[[#This Row],[Population 55 to 64 years]]</f>
        <v>1.4503174535221308E-4</v>
      </c>
      <c r="AL388" s="67">
        <f>Integrated[[#This Row],[Flu Deaths 65 to 74 years]]/Integrated[[#This Row],[Population 65 to 74 years]]</f>
        <v>3.9859715944163182E-4</v>
      </c>
      <c r="AM388" s="67">
        <f>Integrated[[#This Row],[Flu Deaths 75 to 84 years]]/Integrated[[#This Row],[Population 75 to 84 years]]</f>
        <v>1.2876065937793952E-3</v>
      </c>
      <c r="AN388" s="67">
        <f>Integrated[[#This Row],[Flu Deaths 85+ years]]/Integrated[[#This Row],[Population 85+ years]]</f>
        <v>5.404928861099432E-3</v>
      </c>
      <c r="AO388" s="68">
        <f>Integrated[[#This Row],[Total Flu Deaths]]/Integrated[[#This Row],[Total population]]</f>
        <v>2.3855210782344446E-4</v>
      </c>
    </row>
    <row r="389" spans="1:41" x14ac:dyDescent="0.3">
      <c r="A389" s="44" t="s">
        <v>453</v>
      </c>
      <c r="B389" t="s">
        <v>408</v>
      </c>
      <c r="C389" s="45">
        <v>2011</v>
      </c>
      <c r="D389" s="51">
        <v>9857670</v>
      </c>
      <c r="E389" s="2">
        <v>4834805</v>
      </c>
      <c r="F389" s="2">
        <v>5022866</v>
      </c>
      <c r="G389" s="78">
        <f>Integrated[[#This Row],[Female Total population]]/Integrated[[#This Row],[Total population]]</f>
        <v>0.50953886668959303</v>
      </c>
      <c r="H389" s="2">
        <v>603668</v>
      </c>
      <c r="I389" s="2">
        <v>1326332</v>
      </c>
      <c r="J389" s="2">
        <v>1411295</v>
      </c>
      <c r="K389" s="2">
        <v>1173383</v>
      </c>
      <c r="L389" s="2">
        <v>1310526</v>
      </c>
      <c r="M389" s="2">
        <v>1501958</v>
      </c>
      <c r="N389" s="2">
        <v>1210358</v>
      </c>
      <c r="O389" s="2">
        <v>697094</v>
      </c>
      <c r="P389" s="2">
        <v>446425</v>
      </c>
      <c r="Q389" s="52">
        <v>182934</v>
      </c>
      <c r="R389" s="127">
        <f>Integrated[[#This Row],[Population 85+ years]]/Integrated[[#This Row],[Total population]]</f>
        <v>1.8557529314736646E-2</v>
      </c>
      <c r="S389" s="58">
        <v>120</v>
      </c>
      <c r="T389" s="59">
        <v>60</v>
      </c>
      <c r="U389" s="59">
        <v>60</v>
      </c>
      <c r="V389" s="59">
        <v>60</v>
      </c>
      <c r="W389" s="59">
        <v>67</v>
      </c>
      <c r="X389" s="59">
        <v>60</v>
      </c>
      <c r="Y389" s="59">
        <v>140</v>
      </c>
      <c r="Z389" s="59">
        <v>221</v>
      </c>
      <c r="AA389" s="59">
        <v>439</v>
      </c>
      <c r="AB389" s="59">
        <v>805</v>
      </c>
      <c r="AC389" s="59">
        <f>VLOOKUP($A389,'[1]Flu Deaths Updated'!$A$2:$N$460,14,FALSE)</f>
        <v>60</v>
      </c>
      <c r="AD389" s="60">
        <f t="shared" si="6"/>
        <v>2092</v>
      </c>
      <c r="AE389" s="66">
        <f>Integrated[[#This Row],[Flu Deaths &lt;5 years old]]/Integrated[[#This Row],[Population &lt;5 years]]</f>
        <v>1.9878476248533962E-4</v>
      </c>
      <c r="AF389" s="67">
        <f>Integrated[[#This Row],[Flu Deaths 5 to 14 years]]/Integrated[[#This Row],[Population 5 to 14 years]]</f>
        <v>4.5237542334800035E-5</v>
      </c>
      <c r="AG389" s="67">
        <f>Integrated[[#This Row],[Flu Deaths 15 to 24 years]]/Integrated[[#This Row],[Population 15 to 24 years]]</f>
        <v>4.2514144810262915E-5</v>
      </c>
      <c r="AH389" s="67">
        <f>Integrated[[#This Row],[Flu Deaths 25 to 34 years]]/Integrated[[#This Row],[Population 25 to 34 years]]</f>
        <v>5.1134199148956476E-5</v>
      </c>
      <c r="AI389" s="67">
        <f>Integrated[[#This Row],[Flu Deaths 35 to 44 years]]/Integrated[[#This Row],[Population 35 to 44 years]]</f>
        <v>4.5783143562203268E-5</v>
      </c>
      <c r="AJ389" s="67">
        <f>Integrated[[#This Row],[Flu Deaths 45 to 54 years]]/Integrated[[#This Row],[Population 45 to 54 years]]</f>
        <v>4.4608437785876836E-5</v>
      </c>
      <c r="AK389" s="67">
        <f>Integrated[[#This Row],[Flu Deaths 55 to 64 years]]/Integrated[[#This Row],[Population 55 to 64 years]]</f>
        <v>1.1566825682979746E-4</v>
      </c>
      <c r="AL389" s="67">
        <f>Integrated[[#This Row],[Flu Deaths 65 to 74 years]]/Integrated[[#This Row],[Population 65 to 74 years]]</f>
        <v>3.1703041483644958E-4</v>
      </c>
      <c r="AM389" s="67">
        <f>Integrated[[#This Row],[Flu Deaths 75 to 84 years]]/Integrated[[#This Row],[Population 75 to 84 years]]</f>
        <v>9.8336786694293559E-4</v>
      </c>
      <c r="AN389" s="67">
        <f>Integrated[[#This Row],[Flu Deaths 85+ years]]/Integrated[[#This Row],[Population 85+ years]]</f>
        <v>4.4004941672953083E-3</v>
      </c>
      <c r="AO389" s="68">
        <f>Integrated[[#This Row],[Total Flu Deaths]]/Integrated[[#This Row],[Total population]]</f>
        <v>2.122205348728452E-4</v>
      </c>
    </row>
    <row r="390" spans="1:41" x14ac:dyDescent="0.3">
      <c r="A390" s="44" t="s">
        <v>384</v>
      </c>
      <c r="B390" t="s">
        <v>332</v>
      </c>
      <c r="C390" s="45">
        <v>2017</v>
      </c>
      <c r="D390" s="51">
        <v>9862116</v>
      </c>
      <c r="E390" s="2">
        <v>4802335</v>
      </c>
      <c r="F390" s="2">
        <v>5059788</v>
      </c>
      <c r="G390" s="78">
        <f>Integrated[[#This Row],[Female Total population]]/Integrated[[#This Row],[Total population]]</f>
        <v>0.51305297970536956</v>
      </c>
      <c r="H390" s="2">
        <v>595557</v>
      </c>
      <c r="I390" s="2">
        <v>1273267</v>
      </c>
      <c r="J390" s="2">
        <v>1349127</v>
      </c>
      <c r="K390" s="2">
        <v>1298620</v>
      </c>
      <c r="L390" s="2">
        <v>1278485</v>
      </c>
      <c r="M390" s="2">
        <v>1351638</v>
      </c>
      <c r="N390" s="2">
        <v>1244741</v>
      </c>
      <c r="O390" s="2">
        <v>878058</v>
      </c>
      <c r="P390" s="2">
        <v>430432</v>
      </c>
      <c r="Q390" s="52">
        <v>162244</v>
      </c>
      <c r="R390" s="127">
        <f>Integrated[[#This Row],[Population 85+ years]]/Integrated[[#This Row],[Total population]]</f>
        <v>1.6451236225572687E-2</v>
      </c>
      <c r="S390" s="58">
        <v>120</v>
      </c>
      <c r="T390" s="59">
        <v>60</v>
      </c>
      <c r="U390" s="59">
        <v>60</v>
      </c>
      <c r="V390" s="59">
        <v>60</v>
      </c>
      <c r="W390" s="59">
        <v>81</v>
      </c>
      <c r="X390" s="59">
        <v>60</v>
      </c>
      <c r="Y390" s="59">
        <v>217</v>
      </c>
      <c r="Z390" s="59">
        <v>363</v>
      </c>
      <c r="AA390" s="59">
        <v>514</v>
      </c>
      <c r="AB390" s="59">
        <v>813</v>
      </c>
      <c r="AC390" s="59">
        <f>VLOOKUP($A390,'[1]Flu Deaths Updated'!$A$2:$N$460,14,FALSE)</f>
        <v>60</v>
      </c>
      <c r="AD390" s="60">
        <f t="shared" si="6"/>
        <v>2408</v>
      </c>
      <c r="AE390" s="66">
        <f>Integrated[[#This Row],[Flu Deaths &lt;5 years old]]/Integrated[[#This Row],[Population &lt;5 years]]</f>
        <v>2.0149204862003134E-4</v>
      </c>
      <c r="AF390" s="67">
        <f>Integrated[[#This Row],[Flu Deaths 5 to 14 years]]/Integrated[[#This Row],[Population 5 to 14 years]]</f>
        <v>4.7122873678497909E-5</v>
      </c>
      <c r="AG390" s="67">
        <f>Integrated[[#This Row],[Flu Deaths 15 to 24 years]]/Integrated[[#This Row],[Population 15 to 24 years]]</f>
        <v>4.4473203782890714E-5</v>
      </c>
      <c r="AH390" s="67">
        <f>Integrated[[#This Row],[Flu Deaths 25 to 34 years]]/Integrated[[#This Row],[Population 25 to 34 years]]</f>
        <v>4.6202892301058043E-5</v>
      </c>
      <c r="AI390" s="67">
        <f>Integrated[[#This Row],[Flu Deaths 35 to 44 years]]/Integrated[[#This Row],[Population 35 to 44 years]]</f>
        <v>4.6930546701760285E-5</v>
      </c>
      <c r="AJ390" s="67">
        <f>Integrated[[#This Row],[Flu Deaths 45 to 54 years]]/Integrated[[#This Row],[Population 45 to 54 years]]</f>
        <v>5.9927288223622002E-5</v>
      </c>
      <c r="AK390" s="67">
        <f>Integrated[[#This Row],[Flu Deaths 55 to 64 years]]/Integrated[[#This Row],[Population 55 to 64 years]]</f>
        <v>1.7433345571488365E-4</v>
      </c>
      <c r="AL390" s="67">
        <f>Integrated[[#This Row],[Flu Deaths 65 to 74 years]]/Integrated[[#This Row],[Population 65 to 74 years]]</f>
        <v>4.1341232583724536E-4</v>
      </c>
      <c r="AM390" s="67">
        <f>Integrated[[#This Row],[Flu Deaths 75 to 84 years]]/Integrated[[#This Row],[Population 75 to 84 years]]</f>
        <v>1.1941491338933908E-3</v>
      </c>
      <c r="AN390" s="67">
        <f>Integrated[[#This Row],[Flu Deaths 85+ years]]/Integrated[[#This Row],[Population 85+ years]]</f>
        <v>5.0109711299031086E-3</v>
      </c>
      <c r="AO390" s="68">
        <f>Integrated[[#This Row],[Total Flu Deaths]]/Integrated[[#This Row],[Total population]]</f>
        <v>2.4416666768064784E-4</v>
      </c>
    </row>
    <row r="391" spans="1:41" x14ac:dyDescent="0.3">
      <c r="A391" s="44" t="s">
        <v>467</v>
      </c>
      <c r="B391" t="s">
        <v>362</v>
      </c>
      <c r="C391" s="45">
        <v>2009</v>
      </c>
      <c r="D391" s="51">
        <v>11448785</v>
      </c>
      <c r="E391" s="2">
        <v>5581675</v>
      </c>
      <c r="F391" s="2">
        <v>5867110</v>
      </c>
      <c r="G391" s="78">
        <f>Integrated[[#This Row],[Female Total population]]/Integrated[[#This Row],[Total population]]</f>
        <v>0.51246573326339873</v>
      </c>
      <c r="H391" s="2">
        <v>737276</v>
      </c>
      <c r="I391" s="2">
        <v>1520551</v>
      </c>
      <c r="J391" s="2">
        <v>1550671</v>
      </c>
      <c r="K391" s="2">
        <v>1462822</v>
      </c>
      <c r="L391" s="2">
        <v>1585439</v>
      </c>
      <c r="M391" s="2">
        <v>1737837</v>
      </c>
      <c r="N391" s="2">
        <v>1296468</v>
      </c>
      <c r="O391" s="2">
        <v>793514</v>
      </c>
      <c r="P391" s="2">
        <v>551805</v>
      </c>
      <c r="Q391" s="52">
        <v>212187</v>
      </c>
      <c r="R391" s="127">
        <f>Integrated[[#This Row],[Population 85+ years]]/Integrated[[#This Row],[Total population]]</f>
        <v>1.8533582384506305E-2</v>
      </c>
      <c r="S391" s="58">
        <v>120</v>
      </c>
      <c r="T391" s="59">
        <v>60</v>
      </c>
      <c r="U391" s="59">
        <v>70</v>
      </c>
      <c r="V391" s="59">
        <v>76</v>
      </c>
      <c r="W391" s="59">
        <v>113</v>
      </c>
      <c r="X391" s="59">
        <v>60</v>
      </c>
      <c r="Y391" s="59">
        <v>156</v>
      </c>
      <c r="Z391" s="59">
        <v>245</v>
      </c>
      <c r="AA391" s="59">
        <v>570</v>
      </c>
      <c r="AB391" s="59">
        <v>825</v>
      </c>
      <c r="AC391" s="59">
        <f>VLOOKUP($A391,'[1]Flu Deaths Updated'!$A$2:$N$460,14,FALSE)</f>
        <v>60</v>
      </c>
      <c r="AD391" s="60">
        <f t="shared" si="6"/>
        <v>2355</v>
      </c>
      <c r="AE391" s="66">
        <f>Integrated[[#This Row],[Flu Deaths &lt;5 years old]]/Integrated[[#This Row],[Population &lt;5 years]]</f>
        <v>1.6276129970323189E-4</v>
      </c>
      <c r="AF391" s="67">
        <f>Integrated[[#This Row],[Flu Deaths 5 to 14 years]]/Integrated[[#This Row],[Population 5 to 14 years]]</f>
        <v>3.9459380185209177E-5</v>
      </c>
      <c r="AG391" s="67">
        <f>Integrated[[#This Row],[Flu Deaths 15 to 24 years]]/Integrated[[#This Row],[Population 15 to 24 years]]</f>
        <v>3.8692927126385932E-5</v>
      </c>
      <c r="AH391" s="67">
        <f>Integrated[[#This Row],[Flu Deaths 25 to 34 years]]/Integrated[[#This Row],[Population 25 to 34 years]]</f>
        <v>4.7852712086638016E-5</v>
      </c>
      <c r="AI391" s="67">
        <f>Integrated[[#This Row],[Flu Deaths 35 to 44 years]]/Integrated[[#This Row],[Population 35 to 44 years]]</f>
        <v>4.7936249833642289E-5</v>
      </c>
      <c r="AJ391" s="67">
        <f>Integrated[[#This Row],[Flu Deaths 45 to 54 years]]/Integrated[[#This Row],[Population 45 to 54 years]]</f>
        <v>6.502335949804268E-5</v>
      </c>
      <c r="AK391" s="67">
        <f>Integrated[[#This Row],[Flu Deaths 55 to 64 years]]/Integrated[[#This Row],[Population 55 to 64 years]]</f>
        <v>1.2032691898295985E-4</v>
      </c>
      <c r="AL391" s="67">
        <f>Integrated[[#This Row],[Flu Deaths 65 to 74 years]]/Integrated[[#This Row],[Population 65 to 74 years]]</f>
        <v>3.0875321670443119E-4</v>
      </c>
      <c r="AM391" s="67">
        <f>Integrated[[#This Row],[Flu Deaths 75 to 84 years]]/Integrated[[#This Row],[Population 75 to 84 years]]</f>
        <v>1.0329736048060457E-3</v>
      </c>
      <c r="AN391" s="67">
        <f>Integrated[[#This Row],[Flu Deaths 85+ years]]/Integrated[[#This Row],[Population 85+ years]]</f>
        <v>3.8880798540909668E-3</v>
      </c>
      <c r="AO391" s="68">
        <f>Integrated[[#This Row],[Total Flu Deaths]]/Integrated[[#This Row],[Total population]]</f>
        <v>2.0569868331006303E-4</v>
      </c>
    </row>
    <row r="392" spans="1:41" x14ac:dyDescent="0.3">
      <c r="A392" s="44" t="s">
        <v>427</v>
      </c>
      <c r="B392" t="s">
        <v>408</v>
      </c>
      <c r="C392" s="45">
        <v>2014</v>
      </c>
      <c r="D392" s="51">
        <v>9750015</v>
      </c>
      <c r="E392" s="2">
        <v>4783768</v>
      </c>
      <c r="F392" s="2">
        <v>4966250</v>
      </c>
      <c r="G392" s="78">
        <f>Integrated[[#This Row],[Female Total population]]/Integrated[[#This Row],[Total population]]</f>
        <v>0.50935819073098865</v>
      </c>
      <c r="H392" s="2">
        <v>575782</v>
      </c>
      <c r="I392" s="2">
        <v>1263137</v>
      </c>
      <c r="J392" s="2">
        <v>1397088</v>
      </c>
      <c r="K392" s="2">
        <v>1172985</v>
      </c>
      <c r="L392" s="2">
        <v>1211605</v>
      </c>
      <c r="M392" s="2">
        <v>1429005</v>
      </c>
      <c r="N392" s="2">
        <v>1294956</v>
      </c>
      <c r="O392" s="2">
        <v>775265</v>
      </c>
      <c r="P392" s="2">
        <v>437268</v>
      </c>
      <c r="Q392" s="52">
        <v>197129</v>
      </c>
      <c r="R392" s="127">
        <f>Integrated[[#This Row],[Population 85+ years]]/Integrated[[#This Row],[Total population]]</f>
        <v>2.0218327869239175E-2</v>
      </c>
      <c r="S392" s="58">
        <v>120</v>
      </c>
      <c r="T392" s="59">
        <v>60</v>
      </c>
      <c r="U392" s="59">
        <v>60</v>
      </c>
      <c r="V392" s="59">
        <v>66</v>
      </c>
      <c r="W392" s="59">
        <v>87</v>
      </c>
      <c r="X392" s="59">
        <v>60</v>
      </c>
      <c r="Y392" s="59">
        <v>145</v>
      </c>
      <c r="Z392" s="59">
        <v>267</v>
      </c>
      <c r="AA392" s="59">
        <v>457</v>
      </c>
      <c r="AB392" s="59">
        <v>829</v>
      </c>
      <c r="AC392" s="59">
        <f>VLOOKUP($A392,'[1]Flu Deaths Updated'!$A$2:$N$460,14,FALSE)</f>
        <v>60</v>
      </c>
      <c r="AD392" s="60">
        <f t="shared" si="6"/>
        <v>2211</v>
      </c>
      <c r="AE392" s="66">
        <f>Integrated[[#This Row],[Flu Deaths &lt;5 years old]]/Integrated[[#This Row],[Population &lt;5 years]]</f>
        <v>2.0841221156618303E-4</v>
      </c>
      <c r="AF392" s="67">
        <f>Integrated[[#This Row],[Flu Deaths 5 to 14 years]]/Integrated[[#This Row],[Population 5 to 14 years]]</f>
        <v>4.7500785742164153E-5</v>
      </c>
      <c r="AG392" s="67">
        <f>Integrated[[#This Row],[Flu Deaths 15 to 24 years]]/Integrated[[#This Row],[Population 15 to 24 years]]</f>
        <v>4.2946471517900088E-5</v>
      </c>
      <c r="AH392" s="67">
        <f>Integrated[[#This Row],[Flu Deaths 25 to 34 years]]/Integrated[[#This Row],[Population 25 to 34 years]]</f>
        <v>5.115154925254799E-5</v>
      </c>
      <c r="AI392" s="67">
        <f>Integrated[[#This Row],[Flu Deaths 35 to 44 years]]/Integrated[[#This Row],[Population 35 to 44 years]]</f>
        <v>5.4473198773527679E-5</v>
      </c>
      <c r="AJ392" s="67">
        <f>Integrated[[#This Row],[Flu Deaths 45 to 54 years]]/Integrated[[#This Row],[Population 45 to 54 years]]</f>
        <v>6.0881522457934014E-5</v>
      </c>
      <c r="AK392" s="67">
        <f>Integrated[[#This Row],[Flu Deaths 55 to 64 years]]/Integrated[[#This Row],[Population 55 to 64 years]]</f>
        <v>1.1197291645430424E-4</v>
      </c>
      <c r="AL392" s="67">
        <f>Integrated[[#This Row],[Flu Deaths 65 to 74 years]]/Integrated[[#This Row],[Population 65 to 74 years]]</f>
        <v>3.4439836700999015E-4</v>
      </c>
      <c r="AM392" s="67">
        <f>Integrated[[#This Row],[Flu Deaths 75 to 84 years]]/Integrated[[#This Row],[Population 75 to 84 years]]</f>
        <v>1.0451256437699534E-3</v>
      </c>
      <c r="AN392" s="67">
        <f>Integrated[[#This Row],[Flu Deaths 85+ years]]/Integrated[[#This Row],[Population 85+ years]]</f>
        <v>4.2053680584794731E-3</v>
      </c>
      <c r="AO392" s="68">
        <f>Integrated[[#This Row],[Total Flu Deaths]]/Integrated[[#This Row],[Total population]]</f>
        <v>2.2676888189402785E-4</v>
      </c>
    </row>
    <row r="393" spans="1:41" x14ac:dyDescent="0.3">
      <c r="A393" s="44" t="s">
        <v>321</v>
      </c>
      <c r="B393" t="s">
        <v>298</v>
      </c>
      <c r="C393" s="45">
        <v>2011</v>
      </c>
      <c r="D393" s="51">
        <v>6511988</v>
      </c>
      <c r="E393" s="2">
        <v>3150035</v>
      </c>
      <c r="F393" s="2">
        <v>3361954</v>
      </c>
      <c r="G393" s="78">
        <f>Integrated[[#This Row],[Female Total population]]/Integrated[[#This Row],[Total population]]</f>
        <v>0.51627152875588833</v>
      </c>
      <c r="H393" s="2">
        <v>366569</v>
      </c>
      <c r="I393" s="2">
        <v>792199</v>
      </c>
      <c r="J393" s="2">
        <v>933926</v>
      </c>
      <c r="K393" s="2">
        <v>836598</v>
      </c>
      <c r="L393" s="2">
        <v>909496</v>
      </c>
      <c r="M393" s="2">
        <v>998352</v>
      </c>
      <c r="N393" s="2">
        <v>780941</v>
      </c>
      <c r="O393" s="2">
        <v>446163</v>
      </c>
      <c r="P393" s="2">
        <v>307465</v>
      </c>
      <c r="Q393" s="52">
        <v>141669</v>
      </c>
      <c r="R393" s="127">
        <f>Integrated[[#This Row],[Population 85+ years]]/Integrated[[#This Row],[Total population]]</f>
        <v>2.1755107656832293E-2</v>
      </c>
      <c r="S393" s="58">
        <v>120</v>
      </c>
      <c r="T393" s="59">
        <v>60</v>
      </c>
      <c r="U393" s="59">
        <v>60</v>
      </c>
      <c r="V393" s="59">
        <v>60</v>
      </c>
      <c r="W393" s="59">
        <v>60</v>
      </c>
      <c r="X393" s="59">
        <v>60</v>
      </c>
      <c r="Y393" s="59">
        <v>68</v>
      </c>
      <c r="Z393" s="59">
        <v>108</v>
      </c>
      <c r="AA393" s="59">
        <v>318</v>
      </c>
      <c r="AB393" s="59">
        <v>838</v>
      </c>
      <c r="AC393" s="59">
        <f>VLOOKUP($A393,'[1]Flu Deaths Updated'!$A$2:$N$460,14,FALSE)</f>
        <v>60</v>
      </c>
      <c r="AD393" s="60">
        <f t="shared" si="6"/>
        <v>1812</v>
      </c>
      <c r="AE393" s="66">
        <f>Integrated[[#This Row],[Flu Deaths &lt;5 years old]]/Integrated[[#This Row],[Population &lt;5 years]]</f>
        <v>3.273599240524976E-4</v>
      </c>
      <c r="AF393" s="67">
        <f>Integrated[[#This Row],[Flu Deaths 5 to 14 years]]/Integrated[[#This Row],[Population 5 to 14 years]]</f>
        <v>7.5738545491726197E-5</v>
      </c>
      <c r="AG393" s="67">
        <f>Integrated[[#This Row],[Flu Deaths 15 to 24 years]]/Integrated[[#This Row],[Population 15 to 24 years]]</f>
        <v>6.4244918762300225E-5</v>
      </c>
      <c r="AH393" s="67">
        <f>Integrated[[#This Row],[Flu Deaths 25 to 34 years]]/Integrated[[#This Row],[Population 25 to 34 years]]</f>
        <v>7.1719033514304364E-5</v>
      </c>
      <c r="AI393" s="67">
        <f>Integrated[[#This Row],[Flu Deaths 35 to 44 years]]/Integrated[[#This Row],[Population 35 to 44 years]]</f>
        <v>6.5970603499080808E-5</v>
      </c>
      <c r="AJ393" s="67">
        <f>Integrated[[#This Row],[Flu Deaths 45 to 54 years]]/Integrated[[#This Row],[Population 45 to 54 years]]</f>
        <v>6.0099043223231887E-5</v>
      </c>
      <c r="AK393" s="67">
        <f>Integrated[[#This Row],[Flu Deaths 55 to 64 years]]/Integrated[[#This Row],[Population 55 to 64 years]]</f>
        <v>8.7074439682383181E-5</v>
      </c>
      <c r="AL393" s="67">
        <f>Integrated[[#This Row],[Flu Deaths 65 to 74 years]]/Integrated[[#This Row],[Population 65 to 74 years]]</f>
        <v>2.4206399903174401E-4</v>
      </c>
      <c r="AM393" s="67">
        <f>Integrated[[#This Row],[Flu Deaths 75 to 84 years]]/Integrated[[#This Row],[Population 75 to 84 years]]</f>
        <v>1.0342640625762283E-3</v>
      </c>
      <c r="AN393" s="67">
        <f>Integrated[[#This Row],[Flu Deaths 85+ years]]/Integrated[[#This Row],[Population 85+ years]]</f>
        <v>5.9151966908780329E-3</v>
      </c>
      <c r="AO393" s="68">
        <f>Integrated[[#This Row],[Total Flu Deaths]]/Integrated[[#This Row],[Total population]]</f>
        <v>2.7825604101236061E-4</v>
      </c>
    </row>
    <row r="394" spans="1:41" x14ac:dyDescent="0.3">
      <c r="A394" s="44" t="s">
        <v>412</v>
      </c>
      <c r="B394" t="s">
        <v>408</v>
      </c>
      <c r="C394" s="45">
        <v>2013</v>
      </c>
      <c r="D394" s="51">
        <v>9712226</v>
      </c>
      <c r="E394" s="2">
        <v>4764052</v>
      </c>
      <c r="F394" s="2">
        <v>4948179</v>
      </c>
      <c r="G394" s="78">
        <f>Integrated[[#This Row],[Female Total population]]/Integrated[[#This Row],[Total population]]</f>
        <v>0.50947939226290662</v>
      </c>
      <c r="H394" s="2">
        <v>577031</v>
      </c>
      <c r="I394" s="2">
        <v>1276775</v>
      </c>
      <c r="J394" s="2">
        <v>1396149</v>
      </c>
      <c r="K394" s="2">
        <v>1156699</v>
      </c>
      <c r="L394" s="2">
        <v>1231803</v>
      </c>
      <c r="M394" s="2">
        <v>1449087</v>
      </c>
      <c r="N394" s="2">
        <v>1261838</v>
      </c>
      <c r="O394" s="2">
        <v>740644</v>
      </c>
      <c r="P394" s="2">
        <v>431398</v>
      </c>
      <c r="Q394" s="52">
        <v>190520</v>
      </c>
      <c r="R394" s="127">
        <f>Integrated[[#This Row],[Population 85+ years]]/Integrated[[#This Row],[Total population]]</f>
        <v>1.961651221872308E-2</v>
      </c>
      <c r="S394" s="58">
        <v>120</v>
      </c>
      <c r="T394" s="59">
        <v>60</v>
      </c>
      <c r="U394" s="59">
        <v>60</v>
      </c>
      <c r="V394" s="59">
        <v>60</v>
      </c>
      <c r="W394" s="59">
        <v>70</v>
      </c>
      <c r="X394" s="59">
        <v>60</v>
      </c>
      <c r="Y394" s="59">
        <v>171</v>
      </c>
      <c r="Z394" s="59">
        <v>267</v>
      </c>
      <c r="AA394" s="59">
        <v>472</v>
      </c>
      <c r="AB394" s="59">
        <v>847</v>
      </c>
      <c r="AC394" s="59">
        <f>VLOOKUP($A394,'[1]Flu Deaths Updated'!$A$2:$N$460,14,FALSE)</f>
        <v>60</v>
      </c>
      <c r="AD394" s="60">
        <f t="shared" si="6"/>
        <v>2247</v>
      </c>
      <c r="AE394" s="66">
        <f>Integrated[[#This Row],[Flu Deaths &lt;5 years old]]/Integrated[[#This Row],[Population &lt;5 years]]</f>
        <v>2.0796109741071103E-4</v>
      </c>
      <c r="AF394" s="67">
        <f>Integrated[[#This Row],[Flu Deaths 5 to 14 years]]/Integrated[[#This Row],[Population 5 to 14 years]]</f>
        <v>4.6993401343228056E-5</v>
      </c>
      <c r="AG394" s="67">
        <f>Integrated[[#This Row],[Flu Deaths 15 to 24 years]]/Integrated[[#This Row],[Population 15 to 24 years]]</f>
        <v>4.2975355782226679E-5</v>
      </c>
      <c r="AH394" s="67">
        <f>Integrated[[#This Row],[Flu Deaths 25 to 34 years]]/Integrated[[#This Row],[Population 25 to 34 years]]</f>
        <v>5.1871748830075928E-5</v>
      </c>
      <c r="AI394" s="67">
        <f>Integrated[[#This Row],[Flu Deaths 35 to 44 years]]/Integrated[[#This Row],[Population 35 to 44 years]]</f>
        <v>4.8709087410892812E-5</v>
      </c>
      <c r="AJ394" s="67">
        <f>Integrated[[#This Row],[Flu Deaths 45 to 54 years]]/Integrated[[#This Row],[Population 45 to 54 years]]</f>
        <v>4.8306278366999361E-5</v>
      </c>
      <c r="AK394" s="67">
        <f>Integrated[[#This Row],[Flu Deaths 55 to 64 years]]/Integrated[[#This Row],[Population 55 to 64 years]]</f>
        <v>1.3551660355766746E-4</v>
      </c>
      <c r="AL394" s="67">
        <f>Integrated[[#This Row],[Flu Deaths 65 to 74 years]]/Integrated[[#This Row],[Population 65 to 74 years]]</f>
        <v>3.6049708091876798E-4</v>
      </c>
      <c r="AM394" s="67">
        <f>Integrated[[#This Row],[Flu Deaths 75 to 84 years]]/Integrated[[#This Row],[Population 75 to 84 years]]</f>
        <v>1.0941172652631677E-3</v>
      </c>
      <c r="AN394" s="67">
        <f>Integrated[[#This Row],[Flu Deaths 85+ years]]/Integrated[[#This Row],[Population 85+ years]]</f>
        <v>4.4457274826789836E-3</v>
      </c>
      <c r="AO394" s="68">
        <f>Integrated[[#This Row],[Total Flu Deaths]]/Integrated[[#This Row],[Total population]]</f>
        <v>2.3135787820423453E-4</v>
      </c>
    </row>
    <row r="395" spans="1:41" x14ac:dyDescent="0.3">
      <c r="A395" s="44" t="s">
        <v>309</v>
      </c>
      <c r="B395" t="s">
        <v>298</v>
      </c>
      <c r="C395" s="45">
        <v>2015</v>
      </c>
      <c r="D395" s="51">
        <v>6688538</v>
      </c>
      <c r="E395" s="2">
        <v>3241207</v>
      </c>
      <c r="F395" s="2">
        <v>3447331</v>
      </c>
      <c r="G395" s="78">
        <f>Integrated[[#This Row],[Female Total population]]/Integrated[[#This Row],[Total population]]</f>
        <v>0.51540874851873464</v>
      </c>
      <c r="H395" s="2">
        <v>363723</v>
      </c>
      <c r="I395" s="2">
        <v>776959</v>
      </c>
      <c r="J395" s="2">
        <v>948512</v>
      </c>
      <c r="K395" s="2">
        <v>908269</v>
      </c>
      <c r="L395" s="2">
        <v>847172</v>
      </c>
      <c r="M395" s="2">
        <v>994211</v>
      </c>
      <c r="N395" s="2">
        <v>865084</v>
      </c>
      <c r="O395" s="2">
        <v>532950</v>
      </c>
      <c r="P395" s="2">
        <v>293700</v>
      </c>
      <c r="Q395" s="52">
        <v>153647</v>
      </c>
      <c r="R395" s="127">
        <f>Integrated[[#This Row],[Population 85+ years]]/Integrated[[#This Row],[Total population]]</f>
        <v>2.2971686787157372E-2</v>
      </c>
      <c r="S395" s="58">
        <v>120</v>
      </c>
      <c r="T395" s="59">
        <v>60</v>
      </c>
      <c r="U395" s="59">
        <v>60</v>
      </c>
      <c r="V395" s="59">
        <v>60</v>
      </c>
      <c r="W395" s="59">
        <v>60</v>
      </c>
      <c r="X395" s="59">
        <v>60</v>
      </c>
      <c r="Y395" s="59">
        <v>85</v>
      </c>
      <c r="Z395" s="59">
        <v>171</v>
      </c>
      <c r="AA395" s="59">
        <v>337</v>
      </c>
      <c r="AB395" s="59">
        <v>868</v>
      </c>
      <c r="AC395" s="59">
        <f>VLOOKUP($A395,'[1]Flu Deaths Updated'!$A$2:$N$460,14,FALSE)</f>
        <v>60</v>
      </c>
      <c r="AD395" s="60">
        <f t="shared" si="6"/>
        <v>1941</v>
      </c>
      <c r="AE395" s="66">
        <f>Integrated[[#This Row],[Flu Deaths &lt;5 years old]]/Integrated[[#This Row],[Population &lt;5 years]]</f>
        <v>3.2992139622734884E-4</v>
      </c>
      <c r="AF395" s="67">
        <f>Integrated[[#This Row],[Flu Deaths 5 to 14 years]]/Integrated[[#This Row],[Population 5 to 14 years]]</f>
        <v>7.7224152110986558E-5</v>
      </c>
      <c r="AG395" s="67">
        <f>Integrated[[#This Row],[Flu Deaths 15 to 24 years]]/Integrated[[#This Row],[Population 15 to 24 years]]</f>
        <v>6.3256975135791646E-5</v>
      </c>
      <c r="AH395" s="67">
        <f>Integrated[[#This Row],[Flu Deaths 25 to 34 years]]/Integrated[[#This Row],[Population 25 to 34 years]]</f>
        <v>6.6059724597008153E-5</v>
      </c>
      <c r="AI395" s="67">
        <f>Integrated[[#This Row],[Flu Deaths 35 to 44 years]]/Integrated[[#This Row],[Population 35 to 44 years]]</f>
        <v>7.082387047730567E-5</v>
      </c>
      <c r="AJ395" s="67">
        <f>Integrated[[#This Row],[Flu Deaths 45 to 54 years]]/Integrated[[#This Row],[Population 45 to 54 years]]</f>
        <v>6.0349362459276752E-5</v>
      </c>
      <c r="AK395" s="67">
        <f>Integrated[[#This Row],[Flu Deaths 55 to 64 years]]/Integrated[[#This Row],[Population 55 to 64 years]]</f>
        <v>9.8256354296230187E-5</v>
      </c>
      <c r="AL395" s="67">
        <f>Integrated[[#This Row],[Flu Deaths 65 to 74 years]]/Integrated[[#This Row],[Population 65 to 74 years]]</f>
        <v>3.2085561497326203E-4</v>
      </c>
      <c r="AM395" s="67">
        <f>Integrated[[#This Row],[Flu Deaths 75 to 84 years]]/Integrated[[#This Row],[Population 75 to 84 years]]</f>
        <v>1.1474293496765407E-3</v>
      </c>
      <c r="AN395" s="67">
        <f>Integrated[[#This Row],[Flu Deaths 85+ years]]/Integrated[[#This Row],[Population 85+ years]]</f>
        <v>5.6493130357247456E-3</v>
      </c>
      <c r="AO395" s="68">
        <f>Integrated[[#This Row],[Total Flu Deaths]]/Integrated[[#This Row],[Total population]]</f>
        <v>2.9019794759333058E-4</v>
      </c>
    </row>
    <row r="396" spans="1:41" x14ac:dyDescent="0.3">
      <c r="A396" s="44" t="s">
        <v>434</v>
      </c>
      <c r="B396" t="s">
        <v>362</v>
      </c>
      <c r="C396" s="45">
        <v>2016</v>
      </c>
      <c r="D396" s="51">
        <v>11160701</v>
      </c>
      <c r="E396" s="2">
        <v>5459221</v>
      </c>
      <c r="F396" s="2">
        <v>5701481</v>
      </c>
      <c r="G396" s="78">
        <f>Integrated[[#This Row],[Female Total population]]/Integrated[[#This Row],[Total population]]</f>
        <v>0.51085330571977516</v>
      </c>
      <c r="H396" s="2">
        <v>670238</v>
      </c>
      <c r="I396" s="2">
        <v>1420680</v>
      </c>
      <c r="J396" s="2">
        <v>1514139</v>
      </c>
      <c r="K396" s="2">
        <v>1421276</v>
      </c>
      <c r="L396" s="2">
        <v>1352175</v>
      </c>
      <c r="M396" s="2">
        <v>1541060</v>
      </c>
      <c r="N396" s="2">
        <v>1511322</v>
      </c>
      <c r="O396" s="2">
        <v>969183</v>
      </c>
      <c r="P396" s="2">
        <v>520189</v>
      </c>
      <c r="Q396" s="52">
        <v>241850</v>
      </c>
      <c r="R396" s="127">
        <f>Integrated[[#This Row],[Population 85+ years]]/Integrated[[#This Row],[Total population]]</f>
        <v>2.166978579571301E-2</v>
      </c>
      <c r="S396" s="58">
        <v>120</v>
      </c>
      <c r="T396" s="59">
        <v>60</v>
      </c>
      <c r="U396" s="59">
        <v>60</v>
      </c>
      <c r="V396" s="59">
        <v>65</v>
      </c>
      <c r="W396" s="59">
        <v>77</v>
      </c>
      <c r="X396" s="59">
        <v>60</v>
      </c>
      <c r="Y396" s="59">
        <v>215</v>
      </c>
      <c r="Z396" s="59">
        <v>355</v>
      </c>
      <c r="AA396" s="59">
        <v>539</v>
      </c>
      <c r="AB396" s="59">
        <v>879</v>
      </c>
      <c r="AC396" s="59">
        <f>VLOOKUP($A396,'[1]Flu Deaths Updated'!$A$2:$N$460,14,FALSE)</f>
        <v>60</v>
      </c>
      <c r="AD396" s="60">
        <f t="shared" si="6"/>
        <v>2490</v>
      </c>
      <c r="AE396" s="66">
        <f>Integrated[[#This Row],[Flu Deaths &lt;5 years old]]/Integrated[[#This Row],[Population &lt;5 years]]</f>
        <v>1.7904087801646579E-4</v>
      </c>
      <c r="AF396" s="67">
        <f>Integrated[[#This Row],[Flu Deaths 5 to 14 years]]/Integrated[[#This Row],[Population 5 to 14 years]]</f>
        <v>4.2233296731142831E-5</v>
      </c>
      <c r="AG396" s="67">
        <f>Integrated[[#This Row],[Flu Deaths 15 to 24 years]]/Integrated[[#This Row],[Population 15 to 24 years]]</f>
        <v>3.9626480792054101E-5</v>
      </c>
      <c r="AH396" s="67">
        <f>Integrated[[#This Row],[Flu Deaths 25 to 34 years]]/Integrated[[#This Row],[Population 25 to 34 years]]</f>
        <v>4.2215586557431493E-5</v>
      </c>
      <c r="AI396" s="67">
        <f>Integrated[[#This Row],[Flu Deaths 35 to 44 years]]/Integrated[[#This Row],[Population 35 to 44 years]]</f>
        <v>4.8070700907796699E-5</v>
      </c>
      <c r="AJ396" s="67">
        <f>Integrated[[#This Row],[Flu Deaths 45 to 54 years]]/Integrated[[#This Row],[Population 45 to 54 years]]</f>
        <v>4.9965608087939472E-5</v>
      </c>
      <c r="AK396" s="67">
        <f>Integrated[[#This Row],[Flu Deaths 55 to 64 years]]/Integrated[[#This Row],[Population 55 to 64 years]]</f>
        <v>1.4225955818812934E-4</v>
      </c>
      <c r="AL396" s="67">
        <f>Integrated[[#This Row],[Flu Deaths 65 to 74 years]]/Integrated[[#This Row],[Population 65 to 74 years]]</f>
        <v>3.6628789403033276E-4</v>
      </c>
      <c r="AM396" s="67">
        <f>Integrated[[#This Row],[Flu Deaths 75 to 84 years]]/Integrated[[#This Row],[Population 75 to 84 years]]</f>
        <v>1.0361618565559825E-3</v>
      </c>
      <c r="AN396" s="67">
        <f>Integrated[[#This Row],[Flu Deaths 85+ years]]/Integrated[[#This Row],[Population 85+ years]]</f>
        <v>3.6344841844118255E-3</v>
      </c>
      <c r="AO396" s="68">
        <f>Integrated[[#This Row],[Total Flu Deaths]]/Integrated[[#This Row],[Total population]]</f>
        <v>2.2310426558331775E-4</v>
      </c>
    </row>
    <row r="397" spans="1:41" x14ac:dyDescent="0.3">
      <c r="A397" s="44" t="s">
        <v>297</v>
      </c>
      <c r="B397" t="s">
        <v>298</v>
      </c>
      <c r="C397" s="45">
        <v>2013</v>
      </c>
      <c r="D397" s="51">
        <v>6605043</v>
      </c>
      <c r="E397" s="2">
        <v>3197404</v>
      </c>
      <c r="F397" s="2">
        <v>3407639</v>
      </c>
      <c r="G397" s="78">
        <f>Integrated[[#This Row],[Female Total population]]/Integrated[[#This Row],[Total population]]</f>
        <v>0.51591473363610196</v>
      </c>
      <c r="H397" s="2">
        <v>365703</v>
      </c>
      <c r="I397" s="2">
        <v>786549</v>
      </c>
      <c r="J397" s="2">
        <v>942910</v>
      </c>
      <c r="K397" s="2">
        <v>873304</v>
      </c>
      <c r="L397" s="2">
        <v>870704</v>
      </c>
      <c r="M397" s="2">
        <v>1005783</v>
      </c>
      <c r="N397" s="2">
        <v>829732</v>
      </c>
      <c r="O397" s="2">
        <v>486518</v>
      </c>
      <c r="P397" s="2">
        <v>300884</v>
      </c>
      <c r="Q397" s="52">
        <v>148496</v>
      </c>
      <c r="R397" s="127">
        <f>Integrated[[#This Row],[Population 85+ years]]/Integrated[[#This Row],[Total population]]</f>
        <v>2.2482215482927212E-2</v>
      </c>
      <c r="S397" s="58">
        <v>120</v>
      </c>
      <c r="T397" s="59">
        <v>60</v>
      </c>
      <c r="U397" s="59">
        <v>60</v>
      </c>
      <c r="V397" s="59">
        <v>60</v>
      </c>
      <c r="W397" s="59">
        <v>60</v>
      </c>
      <c r="X397" s="59">
        <v>60</v>
      </c>
      <c r="Y397" s="59">
        <v>84</v>
      </c>
      <c r="Z397" s="59">
        <v>152</v>
      </c>
      <c r="AA397" s="59">
        <v>363</v>
      </c>
      <c r="AB397" s="59">
        <v>883</v>
      </c>
      <c r="AC397" s="59">
        <f>VLOOKUP($A397,'[1]Flu Deaths Updated'!$A$2:$N$460,14,FALSE)</f>
        <v>60</v>
      </c>
      <c r="AD397" s="60">
        <f t="shared" si="6"/>
        <v>1962</v>
      </c>
      <c r="AE397" s="66">
        <f>Integrated[[#This Row],[Flu Deaths &lt;5 years old]]/Integrated[[#This Row],[Population &lt;5 years]]</f>
        <v>3.2813512604490527E-4</v>
      </c>
      <c r="AF397" s="67">
        <f>Integrated[[#This Row],[Flu Deaths 5 to 14 years]]/Integrated[[#This Row],[Population 5 to 14 years]]</f>
        <v>7.6282596507019912E-5</v>
      </c>
      <c r="AG397" s="67">
        <f>Integrated[[#This Row],[Flu Deaths 15 to 24 years]]/Integrated[[#This Row],[Population 15 to 24 years]]</f>
        <v>6.3632796343235308E-5</v>
      </c>
      <c r="AH397" s="67">
        <f>Integrated[[#This Row],[Flu Deaths 25 to 34 years]]/Integrated[[#This Row],[Population 25 to 34 years]]</f>
        <v>6.8704597711678869E-5</v>
      </c>
      <c r="AI397" s="67">
        <f>Integrated[[#This Row],[Flu Deaths 35 to 44 years]]/Integrated[[#This Row],[Population 35 to 44 years]]</f>
        <v>6.8909755783825498E-5</v>
      </c>
      <c r="AJ397" s="67">
        <f>Integrated[[#This Row],[Flu Deaths 45 to 54 years]]/Integrated[[#This Row],[Population 45 to 54 years]]</f>
        <v>5.9655015047977544E-5</v>
      </c>
      <c r="AK397" s="67">
        <f>Integrated[[#This Row],[Flu Deaths 55 to 64 years]]/Integrated[[#This Row],[Population 55 to 64 years]]</f>
        <v>1.0123750801463605E-4</v>
      </c>
      <c r="AL397" s="67">
        <f>Integrated[[#This Row],[Flu Deaths 65 to 74 years]]/Integrated[[#This Row],[Population 65 to 74 years]]</f>
        <v>3.1242420629863643E-4</v>
      </c>
      <c r="AM397" s="67">
        <f>Integrated[[#This Row],[Flu Deaths 75 to 84 years]]/Integrated[[#This Row],[Population 75 to 84 years]]</f>
        <v>1.2064450087076748E-3</v>
      </c>
      <c r="AN397" s="67">
        <f>Integrated[[#This Row],[Flu Deaths 85+ years]]/Integrated[[#This Row],[Population 85+ years]]</f>
        <v>5.9462881155047951E-3</v>
      </c>
      <c r="AO397" s="68">
        <f>Integrated[[#This Row],[Total Flu Deaths]]/Integrated[[#This Row],[Total population]]</f>
        <v>2.970457573099827E-4</v>
      </c>
    </row>
    <row r="398" spans="1:41" x14ac:dyDescent="0.3">
      <c r="A398" s="44" t="s">
        <v>473</v>
      </c>
      <c r="B398" t="s">
        <v>362</v>
      </c>
      <c r="C398" s="45">
        <v>2010</v>
      </c>
      <c r="D398" s="51">
        <v>11439057</v>
      </c>
      <c r="E398" s="2">
        <v>5580075</v>
      </c>
      <c r="F398" s="2">
        <v>5858984</v>
      </c>
      <c r="G398" s="78">
        <f>Integrated[[#This Row],[Female Total population]]/Integrated[[#This Row],[Total population]]</f>
        <v>0.51219117100299438</v>
      </c>
      <c r="H398" s="2">
        <v>720157</v>
      </c>
      <c r="I398" s="2">
        <v>1528528</v>
      </c>
      <c r="J398" s="2">
        <v>1589646</v>
      </c>
      <c r="K398" s="2">
        <v>1405938</v>
      </c>
      <c r="L398" s="2">
        <v>1534182</v>
      </c>
      <c r="M398" s="2">
        <v>1731095</v>
      </c>
      <c r="N398" s="2">
        <v>1354266</v>
      </c>
      <c r="O398" s="2">
        <v>810908</v>
      </c>
      <c r="P398" s="2">
        <v>546825</v>
      </c>
      <c r="Q398" s="52">
        <v>215896</v>
      </c>
      <c r="R398" s="127">
        <f>Integrated[[#This Row],[Population 85+ years]]/Integrated[[#This Row],[Total population]]</f>
        <v>1.8873583722854078E-2</v>
      </c>
      <c r="S398" s="58">
        <v>120</v>
      </c>
      <c r="T398" s="59">
        <v>60</v>
      </c>
      <c r="U398" s="59">
        <v>60</v>
      </c>
      <c r="V398" s="59">
        <v>60</v>
      </c>
      <c r="W398" s="59">
        <v>70</v>
      </c>
      <c r="X398" s="59">
        <v>60</v>
      </c>
      <c r="Y398" s="59">
        <v>160</v>
      </c>
      <c r="Z398" s="59">
        <v>244</v>
      </c>
      <c r="AA398" s="59">
        <v>532</v>
      </c>
      <c r="AB398" s="59">
        <v>893</v>
      </c>
      <c r="AC398" s="59">
        <f>VLOOKUP($A398,'[1]Flu Deaths Updated'!$A$2:$N$460,14,FALSE)</f>
        <v>60</v>
      </c>
      <c r="AD398" s="60">
        <f t="shared" si="6"/>
        <v>2319</v>
      </c>
      <c r="AE398" s="66">
        <f>Integrated[[#This Row],[Flu Deaths &lt;5 years old]]/Integrated[[#This Row],[Population &lt;5 years]]</f>
        <v>1.6663033199705064E-4</v>
      </c>
      <c r="AF398" s="67">
        <f>Integrated[[#This Row],[Flu Deaths 5 to 14 years]]/Integrated[[#This Row],[Population 5 to 14 years]]</f>
        <v>3.9253451686851663E-5</v>
      </c>
      <c r="AG398" s="67">
        <f>Integrated[[#This Row],[Flu Deaths 15 to 24 years]]/Integrated[[#This Row],[Population 15 to 24 years]]</f>
        <v>3.7744252493951484E-5</v>
      </c>
      <c r="AH398" s="67">
        <f>Integrated[[#This Row],[Flu Deaths 25 to 34 years]]/Integrated[[#This Row],[Population 25 to 34 years]]</f>
        <v>4.2676135078502748E-5</v>
      </c>
      <c r="AI398" s="67">
        <f>Integrated[[#This Row],[Flu Deaths 35 to 44 years]]/Integrated[[#This Row],[Population 35 to 44 years]]</f>
        <v>3.9108788918133572E-5</v>
      </c>
      <c r="AJ398" s="67">
        <f>Integrated[[#This Row],[Flu Deaths 45 to 54 years]]/Integrated[[#This Row],[Population 45 to 54 years]]</f>
        <v>4.0436833333814725E-5</v>
      </c>
      <c r="AK398" s="67">
        <f>Integrated[[#This Row],[Flu Deaths 55 to 64 years]]/Integrated[[#This Row],[Population 55 to 64 years]]</f>
        <v>1.1814517975050692E-4</v>
      </c>
      <c r="AL398" s="67">
        <f>Integrated[[#This Row],[Flu Deaths 65 to 74 years]]/Integrated[[#This Row],[Population 65 to 74 years]]</f>
        <v>3.0089726578107505E-4</v>
      </c>
      <c r="AM398" s="67">
        <f>Integrated[[#This Row],[Flu Deaths 75 to 84 years]]/Integrated[[#This Row],[Population 75 to 84 years]]</f>
        <v>9.7288894984684309E-4</v>
      </c>
      <c r="AN398" s="67">
        <f>Integrated[[#This Row],[Flu Deaths 85+ years]]/Integrated[[#This Row],[Population 85+ years]]</f>
        <v>4.1362507874161637E-3</v>
      </c>
      <c r="AO398" s="68">
        <f>Integrated[[#This Row],[Total Flu Deaths]]/Integrated[[#This Row],[Total population]]</f>
        <v>2.0272650096944179E-4</v>
      </c>
    </row>
    <row r="399" spans="1:41" x14ac:dyDescent="0.3">
      <c r="A399" s="44" t="s">
        <v>407</v>
      </c>
      <c r="B399" t="s">
        <v>408</v>
      </c>
      <c r="C399" s="45">
        <v>2015</v>
      </c>
      <c r="D399" s="51">
        <v>9637114</v>
      </c>
      <c r="E399" s="2">
        <v>4727091</v>
      </c>
      <c r="F399" s="2">
        <v>4910024</v>
      </c>
      <c r="G399" s="78">
        <f>Integrated[[#This Row],[Female Total population]]/Integrated[[#This Row],[Total population]]</f>
        <v>0.50949111943679404</v>
      </c>
      <c r="H399" s="2">
        <v>562136</v>
      </c>
      <c r="I399" s="2">
        <v>1235658</v>
      </c>
      <c r="J399" s="2">
        <v>1380411</v>
      </c>
      <c r="K399" s="2">
        <v>1163401</v>
      </c>
      <c r="L399" s="2">
        <v>1179350</v>
      </c>
      <c r="M399" s="2">
        <v>1387598</v>
      </c>
      <c r="N399" s="2">
        <v>1303513</v>
      </c>
      <c r="O399" s="2">
        <v>799049</v>
      </c>
      <c r="P399" s="2">
        <v>433764</v>
      </c>
      <c r="Q399" s="52">
        <v>196103</v>
      </c>
      <c r="R399" s="127">
        <f>Integrated[[#This Row],[Population 85+ years]]/Integrated[[#This Row],[Total population]]</f>
        <v>2.0348726807631414E-2</v>
      </c>
      <c r="S399" s="58">
        <v>120</v>
      </c>
      <c r="T399" s="59">
        <v>60</v>
      </c>
      <c r="U399" s="59">
        <v>60</v>
      </c>
      <c r="V399" s="59">
        <v>60</v>
      </c>
      <c r="W399" s="59">
        <v>79</v>
      </c>
      <c r="X399" s="59">
        <v>60</v>
      </c>
      <c r="Y399" s="59">
        <v>150</v>
      </c>
      <c r="Z399" s="59">
        <v>269</v>
      </c>
      <c r="AA399" s="59">
        <v>438</v>
      </c>
      <c r="AB399" s="59">
        <v>900</v>
      </c>
      <c r="AC399" s="59">
        <f>VLOOKUP($A399,'[1]Flu Deaths Updated'!$A$2:$N$460,14,FALSE)</f>
        <v>60</v>
      </c>
      <c r="AD399" s="60">
        <f t="shared" si="6"/>
        <v>2256</v>
      </c>
      <c r="AE399" s="66">
        <f>Integrated[[#This Row],[Flu Deaths &lt;5 years old]]/Integrated[[#This Row],[Population &lt;5 years]]</f>
        <v>2.1347147309547866E-4</v>
      </c>
      <c r="AF399" s="67">
        <f>Integrated[[#This Row],[Flu Deaths 5 to 14 years]]/Integrated[[#This Row],[Population 5 to 14 years]]</f>
        <v>4.8557125029741236E-5</v>
      </c>
      <c r="AG399" s="67">
        <f>Integrated[[#This Row],[Flu Deaths 15 to 24 years]]/Integrated[[#This Row],[Population 15 to 24 years]]</f>
        <v>4.3465315764652705E-5</v>
      </c>
      <c r="AH399" s="67">
        <f>Integrated[[#This Row],[Flu Deaths 25 to 34 years]]/Integrated[[#This Row],[Population 25 to 34 years]]</f>
        <v>5.1572931431209017E-5</v>
      </c>
      <c r="AI399" s="67">
        <f>Integrated[[#This Row],[Flu Deaths 35 to 44 years]]/Integrated[[#This Row],[Population 35 to 44 years]]</f>
        <v>5.0875482257175563E-5</v>
      </c>
      <c r="AJ399" s="67">
        <f>Integrated[[#This Row],[Flu Deaths 45 to 54 years]]/Integrated[[#This Row],[Population 45 to 54 years]]</f>
        <v>5.6932915729195343E-5</v>
      </c>
      <c r="AK399" s="67">
        <f>Integrated[[#This Row],[Flu Deaths 55 to 64 years]]/Integrated[[#This Row],[Population 55 to 64 years]]</f>
        <v>1.150736509724107E-4</v>
      </c>
      <c r="AL399" s="67">
        <f>Integrated[[#This Row],[Flu Deaths 65 to 74 years]]/Integrated[[#This Row],[Population 65 to 74 years]]</f>
        <v>3.3665019291682989E-4</v>
      </c>
      <c r="AM399" s="67">
        <f>Integrated[[#This Row],[Flu Deaths 75 to 84 years]]/Integrated[[#This Row],[Population 75 to 84 years]]</f>
        <v>1.0097656790328381E-3</v>
      </c>
      <c r="AN399" s="67">
        <f>Integrated[[#This Row],[Flu Deaths 85+ years]]/Integrated[[#This Row],[Population 85+ years]]</f>
        <v>4.5894249450543845E-3</v>
      </c>
      <c r="AO399" s="68">
        <f>Integrated[[#This Row],[Total Flu Deaths]]/Integrated[[#This Row],[Total population]]</f>
        <v>2.3409497905700814E-4</v>
      </c>
    </row>
    <row r="400" spans="1:41" x14ac:dyDescent="0.3">
      <c r="A400" s="44" t="s">
        <v>331</v>
      </c>
      <c r="B400" t="s">
        <v>332</v>
      </c>
      <c r="C400" s="45">
        <v>2015</v>
      </c>
      <c r="D400" s="51">
        <v>9104855</v>
      </c>
      <c r="E400" s="2">
        <v>4437335</v>
      </c>
      <c r="F400" s="2">
        <v>4667522</v>
      </c>
      <c r="G400" s="78">
        <f>Integrated[[#This Row],[Female Total population]]/Integrated[[#This Row],[Total population]]</f>
        <v>0.51264100306924165</v>
      </c>
      <c r="H400" s="2">
        <v>571004</v>
      </c>
      <c r="I400" s="2">
        <v>1201567</v>
      </c>
      <c r="J400" s="2">
        <v>1269620</v>
      </c>
      <c r="K400" s="2">
        <v>1190635</v>
      </c>
      <c r="L400" s="2">
        <v>1214877</v>
      </c>
      <c r="M400" s="2">
        <v>1264501</v>
      </c>
      <c r="N400" s="2">
        <v>1122844</v>
      </c>
      <c r="O400" s="2">
        <v>745981</v>
      </c>
      <c r="P400" s="2">
        <v>380239</v>
      </c>
      <c r="Q400" s="52">
        <v>144833</v>
      </c>
      <c r="R400" s="127">
        <f>Integrated[[#This Row],[Population 85+ years]]/Integrated[[#This Row],[Total population]]</f>
        <v>1.5907227517626583E-2</v>
      </c>
      <c r="S400" s="58">
        <v>120</v>
      </c>
      <c r="T400" s="59">
        <v>60</v>
      </c>
      <c r="U400" s="59">
        <v>60</v>
      </c>
      <c r="V400" s="59">
        <v>60</v>
      </c>
      <c r="W400" s="59">
        <v>82</v>
      </c>
      <c r="X400" s="59">
        <v>60</v>
      </c>
      <c r="Y400" s="59">
        <v>191</v>
      </c>
      <c r="Z400" s="59">
        <v>365</v>
      </c>
      <c r="AA400" s="59">
        <v>510</v>
      </c>
      <c r="AB400" s="59">
        <v>903</v>
      </c>
      <c r="AC400" s="59">
        <f>VLOOKUP($A400,'[1]Flu Deaths Updated'!$A$2:$N$460,14,FALSE)</f>
        <v>60</v>
      </c>
      <c r="AD400" s="60">
        <f t="shared" si="6"/>
        <v>2471</v>
      </c>
      <c r="AE400" s="66">
        <f>Integrated[[#This Row],[Flu Deaths &lt;5 years old]]/Integrated[[#This Row],[Population &lt;5 years]]</f>
        <v>2.1015614601649027E-4</v>
      </c>
      <c r="AF400" s="67">
        <f>Integrated[[#This Row],[Flu Deaths 5 to 14 years]]/Integrated[[#This Row],[Population 5 to 14 years]]</f>
        <v>4.9934793482177858E-5</v>
      </c>
      <c r="AG400" s="67">
        <f>Integrated[[#This Row],[Flu Deaths 15 to 24 years]]/Integrated[[#This Row],[Population 15 to 24 years]]</f>
        <v>4.7258234747404736E-5</v>
      </c>
      <c r="AH400" s="67">
        <f>Integrated[[#This Row],[Flu Deaths 25 to 34 years]]/Integrated[[#This Row],[Population 25 to 34 years]]</f>
        <v>5.0393277536776591E-5</v>
      </c>
      <c r="AI400" s="67">
        <f>Integrated[[#This Row],[Flu Deaths 35 to 44 years]]/Integrated[[#This Row],[Population 35 to 44 years]]</f>
        <v>4.9387715793450696E-5</v>
      </c>
      <c r="AJ400" s="67">
        <f>Integrated[[#This Row],[Flu Deaths 45 to 54 years]]/Integrated[[#This Row],[Population 45 to 54 years]]</f>
        <v>6.4847714632095983E-5</v>
      </c>
      <c r="AK400" s="67">
        <f>Integrated[[#This Row],[Flu Deaths 55 to 64 years]]/Integrated[[#This Row],[Population 55 to 64 years]]</f>
        <v>1.7010377220700294E-4</v>
      </c>
      <c r="AL400" s="67">
        <f>Integrated[[#This Row],[Flu Deaths 65 to 74 years]]/Integrated[[#This Row],[Population 65 to 74 years]]</f>
        <v>4.8928860118421249E-4</v>
      </c>
      <c r="AM400" s="67">
        <f>Integrated[[#This Row],[Flu Deaths 75 to 84 years]]/Integrated[[#This Row],[Population 75 to 84 years]]</f>
        <v>1.3412616801537979E-3</v>
      </c>
      <c r="AN400" s="67">
        <f>Integrated[[#This Row],[Flu Deaths 85+ years]]/Integrated[[#This Row],[Population 85+ years]]</f>
        <v>6.2347669384739662E-3</v>
      </c>
      <c r="AO400" s="68">
        <f>Integrated[[#This Row],[Total Flu Deaths]]/Integrated[[#This Row],[Total population]]</f>
        <v>2.7139366854277196E-4</v>
      </c>
    </row>
    <row r="401" spans="1:41" x14ac:dyDescent="0.3">
      <c r="A401" s="44" t="s">
        <v>478</v>
      </c>
      <c r="B401" t="s">
        <v>431</v>
      </c>
      <c r="C401" s="45">
        <v>2016</v>
      </c>
      <c r="D401" s="51">
        <v>12612513</v>
      </c>
      <c r="E401" s="2">
        <v>6186362</v>
      </c>
      <c r="F401" s="2">
        <v>6426154</v>
      </c>
      <c r="G401" s="78">
        <f>Integrated[[#This Row],[Female Total population]]/Integrated[[#This Row],[Total population]]</f>
        <v>0.50950623400744954</v>
      </c>
      <c r="H401" s="2">
        <v>776715</v>
      </c>
      <c r="I401" s="2">
        <v>1646247</v>
      </c>
      <c r="J401" s="2">
        <v>1736608</v>
      </c>
      <c r="K401" s="2">
        <v>1746834</v>
      </c>
      <c r="L401" s="2">
        <v>1640999</v>
      </c>
      <c r="M401" s="2">
        <v>1737606</v>
      </c>
      <c r="N401" s="2">
        <v>1584125</v>
      </c>
      <c r="O401" s="2">
        <v>978836</v>
      </c>
      <c r="P401" s="2">
        <v>521419</v>
      </c>
      <c r="Q401" s="52">
        <v>240782</v>
      </c>
      <c r="R401" s="127">
        <f>Integrated[[#This Row],[Population 85+ years]]/Integrated[[#This Row],[Total population]]</f>
        <v>1.9090723632950862E-2</v>
      </c>
      <c r="S401" s="58">
        <v>120</v>
      </c>
      <c r="T401" s="59">
        <v>60</v>
      </c>
      <c r="U401" s="59">
        <v>60</v>
      </c>
      <c r="V401" s="59">
        <v>60</v>
      </c>
      <c r="W401" s="59">
        <v>76</v>
      </c>
      <c r="X401" s="59">
        <v>60</v>
      </c>
      <c r="Y401" s="59">
        <v>221</v>
      </c>
      <c r="Z401" s="59">
        <v>333</v>
      </c>
      <c r="AA401" s="59">
        <v>519</v>
      </c>
      <c r="AB401" s="59">
        <v>947</v>
      </c>
      <c r="AC401" s="59">
        <f>VLOOKUP($A401,'[1]Flu Deaths Updated'!$A$2:$N$460,14,FALSE)</f>
        <v>60</v>
      </c>
      <c r="AD401" s="60">
        <f t="shared" si="6"/>
        <v>2516</v>
      </c>
      <c r="AE401" s="66">
        <f>Integrated[[#This Row],[Flu Deaths &lt;5 years old]]/Integrated[[#This Row],[Population &lt;5 years]]</f>
        <v>1.5449682315907379E-4</v>
      </c>
      <c r="AF401" s="67">
        <f>Integrated[[#This Row],[Flu Deaths 5 to 14 years]]/Integrated[[#This Row],[Population 5 to 14 years]]</f>
        <v>3.6446535665668638E-5</v>
      </c>
      <c r="AG401" s="67">
        <f>Integrated[[#This Row],[Flu Deaths 15 to 24 years]]/Integrated[[#This Row],[Population 15 to 24 years]]</f>
        <v>3.4550111481693044E-5</v>
      </c>
      <c r="AH401" s="67">
        <f>Integrated[[#This Row],[Flu Deaths 25 to 34 years]]/Integrated[[#This Row],[Population 25 to 34 years]]</f>
        <v>3.4347854461271074E-5</v>
      </c>
      <c r="AI401" s="67">
        <f>Integrated[[#This Row],[Flu Deaths 35 to 44 years]]/Integrated[[#This Row],[Population 35 to 44 years]]</f>
        <v>3.6563093578972318E-5</v>
      </c>
      <c r="AJ401" s="67">
        <f>Integrated[[#This Row],[Flu Deaths 45 to 54 years]]/Integrated[[#This Row],[Population 45 to 54 years]]</f>
        <v>4.3738338840910998E-5</v>
      </c>
      <c r="AK401" s="67">
        <f>Integrated[[#This Row],[Flu Deaths 55 to 64 years]]/Integrated[[#This Row],[Population 55 to 64 years]]</f>
        <v>1.3950919277203502E-4</v>
      </c>
      <c r="AL401" s="67">
        <f>Integrated[[#This Row],[Flu Deaths 65 to 74 years]]/Integrated[[#This Row],[Population 65 to 74 years]]</f>
        <v>3.401999926443245E-4</v>
      </c>
      <c r="AM401" s="67">
        <f>Integrated[[#This Row],[Flu Deaths 75 to 84 years]]/Integrated[[#This Row],[Population 75 to 84 years]]</f>
        <v>9.9536073675872958E-4</v>
      </c>
      <c r="AN401" s="67">
        <f>Integrated[[#This Row],[Flu Deaths 85+ years]]/Integrated[[#This Row],[Population 85+ years]]</f>
        <v>3.9330182488724243E-3</v>
      </c>
      <c r="AO401" s="68">
        <f>Integrated[[#This Row],[Total Flu Deaths]]/Integrated[[#This Row],[Total population]]</f>
        <v>1.9948443264240838E-4</v>
      </c>
    </row>
    <row r="402" spans="1:41" x14ac:dyDescent="0.3">
      <c r="A402" s="44" t="s">
        <v>542</v>
      </c>
      <c r="B402" t="s">
        <v>525</v>
      </c>
      <c r="C402" s="45">
        <v>2010</v>
      </c>
      <c r="D402" s="51">
        <v>18499452</v>
      </c>
      <c r="E402" s="2">
        <v>9041580</v>
      </c>
      <c r="F402" s="2">
        <v>9457873</v>
      </c>
      <c r="G402" s="78">
        <f>Integrated[[#This Row],[Female Total population]]/Integrated[[#This Row],[Total population]]</f>
        <v>0.5112515224775307</v>
      </c>
      <c r="H402" s="2">
        <v>1080698</v>
      </c>
      <c r="I402" s="2">
        <v>2201971</v>
      </c>
      <c r="J402" s="2">
        <v>2439878</v>
      </c>
      <c r="K402" s="2">
        <v>2246798</v>
      </c>
      <c r="L402" s="2">
        <v>2505488</v>
      </c>
      <c r="M402" s="2">
        <v>2664932</v>
      </c>
      <c r="N402" s="2">
        <v>2222863</v>
      </c>
      <c r="O402" s="2">
        <v>1632885</v>
      </c>
      <c r="P402" s="2">
        <v>1086488</v>
      </c>
      <c r="Q402" s="52">
        <v>412590</v>
      </c>
      <c r="R402" s="127">
        <f>Integrated[[#This Row],[Population 85+ years]]/Integrated[[#This Row],[Total population]]</f>
        <v>2.2302822807940471E-2</v>
      </c>
      <c r="S402" s="58">
        <v>120</v>
      </c>
      <c r="T402" s="59">
        <v>60</v>
      </c>
      <c r="U402" s="59">
        <v>60</v>
      </c>
      <c r="V402" s="59">
        <v>60</v>
      </c>
      <c r="W402" s="59">
        <v>100</v>
      </c>
      <c r="X402" s="59">
        <v>60</v>
      </c>
      <c r="Y402" s="59">
        <v>155</v>
      </c>
      <c r="Z402" s="59">
        <v>294</v>
      </c>
      <c r="AA402" s="59">
        <v>648</v>
      </c>
      <c r="AB402" s="59">
        <v>962</v>
      </c>
      <c r="AC402" s="59">
        <f>VLOOKUP($A402,'[1]Flu Deaths Updated'!$A$2:$N$460,14,FALSE)</f>
        <v>60</v>
      </c>
      <c r="AD402" s="60">
        <f t="shared" si="6"/>
        <v>2579</v>
      </c>
      <c r="AE402" s="66">
        <f>Integrated[[#This Row],[Flu Deaths &lt;5 years old]]/Integrated[[#This Row],[Population &lt;5 years]]</f>
        <v>1.1103934679253594E-4</v>
      </c>
      <c r="AF402" s="67">
        <f>Integrated[[#This Row],[Flu Deaths 5 to 14 years]]/Integrated[[#This Row],[Population 5 to 14 years]]</f>
        <v>2.7248315259374444E-5</v>
      </c>
      <c r="AG402" s="67">
        <f>Integrated[[#This Row],[Flu Deaths 15 to 24 years]]/Integrated[[#This Row],[Population 15 to 24 years]]</f>
        <v>2.4591393504101434E-5</v>
      </c>
      <c r="AH402" s="67">
        <f>Integrated[[#This Row],[Flu Deaths 25 to 34 years]]/Integrated[[#This Row],[Population 25 to 34 years]]</f>
        <v>2.6704670379802723E-5</v>
      </c>
      <c r="AI402" s="67">
        <f>Integrated[[#This Row],[Flu Deaths 35 to 44 years]]/Integrated[[#This Row],[Population 35 to 44 years]]</f>
        <v>2.394743060034612E-5</v>
      </c>
      <c r="AJ402" s="67">
        <f>Integrated[[#This Row],[Flu Deaths 45 to 54 years]]/Integrated[[#This Row],[Population 45 to 54 years]]</f>
        <v>3.7524409628463313E-5</v>
      </c>
      <c r="AK402" s="67">
        <f>Integrated[[#This Row],[Flu Deaths 55 to 64 years]]/Integrated[[#This Row],[Population 55 to 64 years]]</f>
        <v>6.9729893385242367E-5</v>
      </c>
      <c r="AL402" s="67">
        <f>Integrated[[#This Row],[Flu Deaths 65 to 74 years]]/Integrated[[#This Row],[Population 65 to 74 years]]</f>
        <v>1.8004942172902561E-4</v>
      </c>
      <c r="AM402" s="67">
        <f>Integrated[[#This Row],[Flu Deaths 75 to 84 years]]/Integrated[[#This Row],[Population 75 to 84 years]]</f>
        <v>5.9641707961799852E-4</v>
      </c>
      <c r="AN402" s="67">
        <f>Integrated[[#This Row],[Flu Deaths 85+ years]]/Integrated[[#This Row],[Population 85+ years]]</f>
        <v>2.3316124966673937E-3</v>
      </c>
      <c r="AO402" s="68">
        <f>Integrated[[#This Row],[Total Flu Deaths]]/Integrated[[#This Row],[Total population]]</f>
        <v>1.3940953494189989E-4</v>
      </c>
    </row>
    <row r="403" spans="1:41" x14ac:dyDescent="0.3">
      <c r="A403" s="44" t="s">
        <v>409</v>
      </c>
      <c r="B403" t="s">
        <v>362</v>
      </c>
      <c r="C403" s="45">
        <v>2017</v>
      </c>
      <c r="D403" s="51">
        <v>11150145</v>
      </c>
      <c r="E403" s="2">
        <v>5454374</v>
      </c>
      <c r="F403" s="2">
        <v>5695771</v>
      </c>
      <c r="G403" s="78">
        <f>Integrated[[#This Row],[Female Total population]]/Integrated[[#This Row],[Total population]]</f>
        <v>0.51082483680705493</v>
      </c>
      <c r="H403" s="2">
        <v>669210</v>
      </c>
      <c r="I403" s="2">
        <v>1407956</v>
      </c>
      <c r="J403" s="2">
        <v>1500682</v>
      </c>
      <c r="K403" s="2">
        <v>1430735</v>
      </c>
      <c r="L403" s="2">
        <v>1341277</v>
      </c>
      <c r="M403" s="2">
        <v>1509631</v>
      </c>
      <c r="N403" s="2">
        <v>1522887</v>
      </c>
      <c r="O403" s="2">
        <v>1000022</v>
      </c>
      <c r="P403" s="2">
        <v>524504</v>
      </c>
      <c r="Q403" s="52">
        <v>243255</v>
      </c>
      <c r="R403" s="127">
        <f>Integrated[[#This Row],[Population 85+ years]]/Integrated[[#This Row],[Total population]]</f>
        <v>2.1816308218413304E-2</v>
      </c>
      <c r="S403" s="58">
        <v>120</v>
      </c>
      <c r="T403" s="59">
        <v>60</v>
      </c>
      <c r="U403" s="59">
        <v>60</v>
      </c>
      <c r="V403" s="59">
        <v>60</v>
      </c>
      <c r="W403" s="59">
        <v>79</v>
      </c>
      <c r="X403" s="59">
        <v>60</v>
      </c>
      <c r="Y403" s="59">
        <v>212</v>
      </c>
      <c r="Z403" s="59">
        <v>381</v>
      </c>
      <c r="AA403" s="59">
        <v>544</v>
      </c>
      <c r="AB403" s="59">
        <v>963</v>
      </c>
      <c r="AC403" s="59">
        <f>VLOOKUP($A403,'[1]Flu Deaths Updated'!$A$2:$N$460,14,FALSE)</f>
        <v>60</v>
      </c>
      <c r="AD403" s="60">
        <f t="shared" si="6"/>
        <v>2599</v>
      </c>
      <c r="AE403" s="66">
        <f>Integrated[[#This Row],[Flu Deaths &lt;5 years old]]/Integrated[[#This Row],[Population &lt;5 years]]</f>
        <v>1.7931590980409736E-4</v>
      </c>
      <c r="AF403" s="67">
        <f>Integrated[[#This Row],[Flu Deaths 5 to 14 years]]/Integrated[[#This Row],[Population 5 to 14 years]]</f>
        <v>4.2614968081388906E-5</v>
      </c>
      <c r="AG403" s="67">
        <f>Integrated[[#This Row],[Flu Deaths 15 to 24 years]]/Integrated[[#This Row],[Population 15 to 24 years]]</f>
        <v>3.9981821598446573E-5</v>
      </c>
      <c r="AH403" s="67">
        <f>Integrated[[#This Row],[Flu Deaths 25 to 34 years]]/Integrated[[#This Row],[Population 25 to 34 years]]</f>
        <v>4.193648719015052E-5</v>
      </c>
      <c r="AI403" s="67">
        <f>Integrated[[#This Row],[Flu Deaths 35 to 44 years]]/Integrated[[#This Row],[Population 35 to 44 years]]</f>
        <v>4.4733489055579122E-5</v>
      </c>
      <c r="AJ403" s="67">
        <f>Integrated[[#This Row],[Flu Deaths 45 to 54 years]]/Integrated[[#This Row],[Population 45 to 54 years]]</f>
        <v>5.2330668885310382E-5</v>
      </c>
      <c r="AK403" s="67">
        <f>Integrated[[#This Row],[Flu Deaths 55 to 64 years]]/Integrated[[#This Row],[Population 55 to 64 years]]</f>
        <v>1.3920927816706032E-4</v>
      </c>
      <c r="AL403" s="67">
        <f>Integrated[[#This Row],[Flu Deaths 65 to 74 years]]/Integrated[[#This Row],[Population 65 to 74 years]]</f>
        <v>3.8099161818439995E-4</v>
      </c>
      <c r="AM403" s="67">
        <f>Integrated[[#This Row],[Flu Deaths 75 to 84 years]]/Integrated[[#This Row],[Population 75 to 84 years]]</f>
        <v>1.0371703552308467E-3</v>
      </c>
      <c r="AN403" s="67">
        <f>Integrated[[#This Row],[Flu Deaths 85+ years]]/Integrated[[#This Row],[Population 85+ years]]</f>
        <v>3.9588086575815503E-3</v>
      </c>
      <c r="AO403" s="68">
        <f>Integrated[[#This Row],[Total Flu Deaths]]/Integrated[[#This Row],[Total population]]</f>
        <v>2.3309113917352643E-4</v>
      </c>
    </row>
    <row r="404" spans="1:41" x14ac:dyDescent="0.3">
      <c r="A404" s="44" t="s">
        <v>538</v>
      </c>
      <c r="B404" t="s">
        <v>525</v>
      </c>
      <c r="C404" s="45">
        <v>2009</v>
      </c>
      <c r="D404" s="51">
        <v>18222420</v>
      </c>
      <c r="E404" s="2">
        <v>8953246</v>
      </c>
      <c r="F404" s="2">
        <v>9269174</v>
      </c>
      <c r="G404" s="78">
        <f>Integrated[[#This Row],[Female Total population]]/Integrated[[#This Row],[Total population]]</f>
        <v>0.50866866201086358</v>
      </c>
      <c r="H404" s="2">
        <v>1145682</v>
      </c>
      <c r="I404" s="2">
        <v>2200592</v>
      </c>
      <c r="J404" s="2">
        <v>2347691</v>
      </c>
      <c r="K404" s="2">
        <v>2290255</v>
      </c>
      <c r="L404" s="2">
        <v>2518350</v>
      </c>
      <c r="M404" s="2">
        <v>2560390</v>
      </c>
      <c r="N404" s="2">
        <v>2092212</v>
      </c>
      <c r="O404" s="2">
        <v>1479047</v>
      </c>
      <c r="P404" s="2">
        <v>1165121</v>
      </c>
      <c r="Q404" s="52">
        <v>427459</v>
      </c>
      <c r="R404" s="127">
        <f>Integrated[[#This Row],[Population 85+ years]]/Integrated[[#This Row],[Total population]]</f>
        <v>2.3457861250042528E-2</v>
      </c>
      <c r="S404" s="58">
        <v>120</v>
      </c>
      <c r="T404" s="59">
        <v>60</v>
      </c>
      <c r="U404" s="59">
        <v>70</v>
      </c>
      <c r="V404" s="59">
        <v>72</v>
      </c>
      <c r="W404" s="59">
        <v>170</v>
      </c>
      <c r="X404" s="59">
        <v>60</v>
      </c>
      <c r="Y404" s="59">
        <v>201</v>
      </c>
      <c r="Z404" s="59">
        <v>284</v>
      </c>
      <c r="AA404" s="59">
        <v>604</v>
      </c>
      <c r="AB404" s="59">
        <v>973</v>
      </c>
      <c r="AC404" s="59">
        <f>VLOOKUP($A404,'[1]Flu Deaths Updated'!$A$2:$N$460,14,FALSE)</f>
        <v>60</v>
      </c>
      <c r="AD404" s="60">
        <f t="shared" si="6"/>
        <v>2674</v>
      </c>
      <c r="AE404" s="66">
        <f>Integrated[[#This Row],[Flu Deaths &lt;5 years old]]/Integrated[[#This Row],[Population &lt;5 years]]</f>
        <v>1.0474110617082228E-4</v>
      </c>
      <c r="AF404" s="67">
        <f>Integrated[[#This Row],[Flu Deaths 5 to 14 years]]/Integrated[[#This Row],[Population 5 to 14 years]]</f>
        <v>2.7265390404036733E-5</v>
      </c>
      <c r="AG404" s="67">
        <f>Integrated[[#This Row],[Flu Deaths 15 to 24 years]]/Integrated[[#This Row],[Population 15 to 24 years]]</f>
        <v>2.5557026031108864E-5</v>
      </c>
      <c r="AH404" s="67">
        <f>Integrated[[#This Row],[Flu Deaths 25 to 34 years]]/Integrated[[#This Row],[Population 25 to 34 years]]</f>
        <v>3.0564282143254792E-5</v>
      </c>
      <c r="AI404" s="67">
        <f>Integrated[[#This Row],[Flu Deaths 35 to 44 years]]/Integrated[[#This Row],[Population 35 to 44 years]]</f>
        <v>2.8590148311394364E-5</v>
      </c>
      <c r="AJ404" s="67">
        <f>Integrated[[#This Row],[Flu Deaths 45 to 54 years]]/Integrated[[#This Row],[Population 45 to 54 years]]</f>
        <v>6.6396134963814111E-5</v>
      </c>
      <c r="AK404" s="67">
        <f>Integrated[[#This Row],[Flu Deaths 55 to 64 years]]/Integrated[[#This Row],[Population 55 to 64 years]]</f>
        <v>9.607057028637633E-5</v>
      </c>
      <c r="AL404" s="67">
        <f>Integrated[[#This Row],[Flu Deaths 65 to 74 years]]/Integrated[[#This Row],[Population 65 to 74 years]]</f>
        <v>1.9201553432717148E-4</v>
      </c>
      <c r="AM404" s="67">
        <f>Integrated[[#This Row],[Flu Deaths 75 to 84 years]]/Integrated[[#This Row],[Population 75 to 84 years]]</f>
        <v>5.1840109310535127E-4</v>
      </c>
      <c r="AN404" s="67">
        <f>Integrated[[#This Row],[Flu Deaths 85+ years]]/Integrated[[#This Row],[Population 85+ years]]</f>
        <v>2.2762416980341973E-3</v>
      </c>
      <c r="AO404" s="68">
        <f>Integrated[[#This Row],[Total Flu Deaths]]/Integrated[[#This Row],[Total population]]</f>
        <v>1.4674230974810152E-4</v>
      </c>
    </row>
    <row r="405" spans="1:41" x14ac:dyDescent="0.3">
      <c r="A405" s="44" t="s">
        <v>425</v>
      </c>
      <c r="B405" t="s">
        <v>362</v>
      </c>
      <c r="C405" s="45">
        <v>2011</v>
      </c>
      <c r="D405" s="51">
        <v>11423910</v>
      </c>
      <c r="E405" s="2">
        <v>5573990</v>
      </c>
      <c r="F405" s="2">
        <v>5849922</v>
      </c>
      <c r="G405" s="78">
        <f>Integrated[[#This Row],[Female Total population]]/Integrated[[#This Row],[Total population]]</f>
        <v>0.51207703842204644</v>
      </c>
      <c r="H405" s="2">
        <v>715809</v>
      </c>
      <c r="I405" s="2">
        <v>1514857</v>
      </c>
      <c r="J405" s="2">
        <v>1571827</v>
      </c>
      <c r="K405" s="2">
        <v>1406025</v>
      </c>
      <c r="L405" s="2">
        <v>1500331</v>
      </c>
      <c r="M405" s="2">
        <v>1723982</v>
      </c>
      <c r="N405" s="2">
        <v>1398089</v>
      </c>
      <c r="O405" s="2">
        <v>826754</v>
      </c>
      <c r="P405" s="2">
        <v>541268</v>
      </c>
      <c r="Q405" s="52">
        <v>221281</v>
      </c>
      <c r="R405" s="127">
        <f>Integrated[[#This Row],[Population 85+ years]]/Integrated[[#This Row],[Total population]]</f>
        <v>1.9369988033869315E-2</v>
      </c>
      <c r="S405" s="58">
        <v>120</v>
      </c>
      <c r="T405" s="59">
        <v>60</v>
      </c>
      <c r="U405" s="59">
        <v>60</v>
      </c>
      <c r="V405" s="59">
        <v>67</v>
      </c>
      <c r="W405" s="59">
        <v>105</v>
      </c>
      <c r="X405" s="59">
        <v>60</v>
      </c>
      <c r="Y405" s="59">
        <v>187</v>
      </c>
      <c r="Z405" s="59">
        <v>275</v>
      </c>
      <c r="AA405" s="59">
        <v>592</v>
      </c>
      <c r="AB405" s="59">
        <v>1025</v>
      </c>
      <c r="AC405" s="59">
        <f>VLOOKUP($A405,'[1]Flu Deaths Updated'!$A$2:$N$460,14,FALSE)</f>
        <v>60</v>
      </c>
      <c r="AD405" s="60">
        <f t="shared" si="6"/>
        <v>2611</v>
      </c>
      <c r="AE405" s="66">
        <f>Integrated[[#This Row],[Flu Deaths &lt;5 years old]]/Integrated[[#This Row],[Population &lt;5 years]]</f>
        <v>1.676424856351345E-4</v>
      </c>
      <c r="AF405" s="67">
        <f>Integrated[[#This Row],[Flu Deaths 5 to 14 years]]/Integrated[[#This Row],[Population 5 to 14 years]]</f>
        <v>3.9607698944520834E-5</v>
      </c>
      <c r="AG405" s="67">
        <f>Integrated[[#This Row],[Flu Deaths 15 to 24 years]]/Integrated[[#This Row],[Population 15 to 24 years]]</f>
        <v>3.8172139809279266E-5</v>
      </c>
      <c r="AH405" s="67">
        <f>Integrated[[#This Row],[Flu Deaths 25 to 34 years]]/Integrated[[#This Row],[Population 25 to 34 years]]</f>
        <v>4.2673494425774793E-5</v>
      </c>
      <c r="AI405" s="67">
        <f>Integrated[[#This Row],[Flu Deaths 35 to 44 years]]/Integrated[[#This Row],[Population 35 to 44 years]]</f>
        <v>4.4656812396731119E-5</v>
      </c>
      <c r="AJ405" s="67">
        <f>Integrated[[#This Row],[Flu Deaths 45 to 54 years]]/Integrated[[#This Row],[Population 45 to 54 years]]</f>
        <v>6.0905508294170128E-5</v>
      </c>
      <c r="AK405" s="67">
        <f>Integrated[[#This Row],[Flu Deaths 55 to 64 years]]/Integrated[[#This Row],[Population 55 to 64 years]]</f>
        <v>1.3375400278523041E-4</v>
      </c>
      <c r="AL405" s="67">
        <f>Integrated[[#This Row],[Flu Deaths 65 to 74 years]]/Integrated[[#This Row],[Population 65 to 74 years]]</f>
        <v>3.3262614997931671E-4</v>
      </c>
      <c r="AM405" s="67">
        <f>Integrated[[#This Row],[Flu Deaths 75 to 84 years]]/Integrated[[#This Row],[Population 75 to 84 years]]</f>
        <v>1.093728060775808E-3</v>
      </c>
      <c r="AN405" s="67">
        <f>Integrated[[#This Row],[Flu Deaths 85+ years]]/Integrated[[#This Row],[Population 85+ years]]</f>
        <v>4.6321193414707992E-3</v>
      </c>
      <c r="AO405" s="68">
        <f>Integrated[[#This Row],[Total Flu Deaths]]/Integrated[[#This Row],[Total population]]</f>
        <v>2.2855572216517813E-4</v>
      </c>
    </row>
    <row r="406" spans="1:41" x14ac:dyDescent="0.3">
      <c r="A406" s="44" t="s">
        <v>548</v>
      </c>
      <c r="B406" t="s">
        <v>536</v>
      </c>
      <c r="C406" s="45">
        <v>2016</v>
      </c>
      <c r="D406" s="51">
        <v>26031451</v>
      </c>
      <c r="E406" s="2">
        <v>12904176</v>
      </c>
      <c r="F406" s="2">
        <v>13127281</v>
      </c>
      <c r="G406" s="78">
        <f>Integrated[[#This Row],[Female Total population]]/Integrated[[#This Row],[Total population]]</f>
        <v>0.50428541228838919</v>
      </c>
      <c r="H406" s="2">
        <v>1905469</v>
      </c>
      <c r="I406" s="2">
        <v>3870383</v>
      </c>
      <c r="J406" s="2">
        <v>3777469</v>
      </c>
      <c r="K406" s="2">
        <v>3794792</v>
      </c>
      <c r="L406" s="2">
        <v>3532809</v>
      </c>
      <c r="M406" s="2">
        <v>3349985</v>
      </c>
      <c r="N406" s="2">
        <v>2845557</v>
      </c>
      <c r="O406" s="2">
        <v>1745552</v>
      </c>
      <c r="P406" s="2">
        <v>873646</v>
      </c>
      <c r="Q406" s="52">
        <v>336300</v>
      </c>
      <c r="R406" s="127">
        <f>Integrated[[#This Row],[Population 85+ years]]/Integrated[[#This Row],[Total population]]</f>
        <v>1.2918987881236433E-2</v>
      </c>
      <c r="S406" s="58">
        <v>120</v>
      </c>
      <c r="T406" s="59">
        <v>60</v>
      </c>
      <c r="U406" s="59">
        <v>60</v>
      </c>
      <c r="V406" s="59">
        <v>74</v>
      </c>
      <c r="W406" s="59">
        <v>120</v>
      </c>
      <c r="X406" s="59">
        <v>60</v>
      </c>
      <c r="Y406" s="59">
        <v>320</v>
      </c>
      <c r="Z406" s="59">
        <v>518</v>
      </c>
      <c r="AA406" s="59">
        <v>716</v>
      </c>
      <c r="AB406" s="59">
        <v>1026</v>
      </c>
      <c r="AC406" s="59">
        <f>VLOOKUP($A406,'[1]Flu Deaths Updated'!$A$2:$N$460,14,FALSE)</f>
        <v>60</v>
      </c>
      <c r="AD406" s="60">
        <f t="shared" si="6"/>
        <v>3134</v>
      </c>
      <c r="AE406" s="66">
        <f>Integrated[[#This Row],[Flu Deaths &lt;5 years old]]/Integrated[[#This Row],[Population &lt;5 years]]</f>
        <v>6.2976621503682301E-5</v>
      </c>
      <c r="AF406" s="67">
        <f>Integrated[[#This Row],[Flu Deaths 5 to 14 years]]/Integrated[[#This Row],[Population 5 to 14 years]]</f>
        <v>1.5502341757908714E-5</v>
      </c>
      <c r="AG406" s="67">
        <f>Integrated[[#This Row],[Flu Deaths 15 to 24 years]]/Integrated[[#This Row],[Population 15 to 24 years]]</f>
        <v>1.5883651196078645E-5</v>
      </c>
      <c r="AH406" s="67">
        <f>Integrated[[#This Row],[Flu Deaths 25 to 34 years]]/Integrated[[#This Row],[Population 25 to 34 years]]</f>
        <v>1.5811143272147721E-5</v>
      </c>
      <c r="AI406" s="67">
        <f>Integrated[[#This Row],[Flu Deaths 35 to 44 years]]/Integrated[[#This Row],[Population 35 to 44 years]]</f>
        <v>2.0946504608655607E-5</v>
      </c>
      <c r="AJ406" s="67">
        <f>Integrated[[#This Row],[Flu Deaths 45 to 54 years]]/Integrated[[#This Row],[Population 45 to 54 years]]</f>
        <v>3.5821055915175737E-5</v>
      </c>
      <c r="AK406" s="67">
        <f>Integrated[[#This Row],[Flu Deaths 55 to 64 years]]/Integrated[[#This Row],[Population 55 to 64 years]]</f>
        <v>1.1245601476266334E-4</v>
      </c>
      <c r="AL406" s="67">
        <f>Integrated[[#This Row],[Flu Deaths 65 to 74 years]]/Integrated[[#This Row],[Population 65 to 74 years]]</f>
        <v>2.9675426455356242E-4</v>
      </c>
      <c r="AM406" s="67">
        <f>Integrated[[#This Row],[Flu Deaths 75 to 84 years]]/Integrated[[#This Row],[Population 75 to 84 years]]</f>
        <v>8.1955391543027725E-4</v>
      </c>
      <c r="AN406" s="67">
        <f>Integrated[[#This Row],[Flu Deaths 85+ years]]/Integrated[[#This Row],[Population 85+ years]]</f>
        <v>3.0508474576271187E-3</v>
      </c>
      <c r="AO406" s="68">
        <f>Integrated[[#This Row],[Total Flu Deaths]]/Integrated[[#This Row],[Total population]]</f>
        <v>1.2039282789115367E-4</v>
      </c>
    </row>
    <row r="407" spans="1:41" x14ac:dyDescent="0.3">
      <c r="A407" s="44" t="s">
        <v>547</v>
      </c>
      <c r="B407" t="s">
        <v>536</v>
      </c>
      <c r="C407" s="45">
        <v>2017</v>
      </c>
      <c r="D407" s="51">
        <v>26462523</v>
      </c>
      <c r="E407" s="2">
        <v>13124624</v>
      </c>
      <c r="F407" s="2">
        <v>13337908</v>
      </c>
      <c r="G407" s="78">
        <f>Integrated[[#This Row],[Female Total population]]/Integrated[[#This Row],[Total population]]</f>
        <v>0.50403009569420121</v>
      </c>
      <c r="H407" s="2">
        <v>1912221</v>
      </c>
      <c r="I407" s="2">
        <v>3898836</v>
      </c>
      <c r="J407" s="2">
        <v>3803721</v>
      </c>
      <c r="K407" s="2">
        <v>3871016</v>
      </c>
      <c r="L407" s="2">
        <v>3585758</v>
      </c>
      <c r="M407" s="2">
        <v>3379804</v>
      </c>
      <c r="N407" s="2">
        <v>2927626</v>
      </c>
      <c r="O407" s="2">
        <v>1838486</v>
      </c>
      <c r="P407" s="2">
        <v>900871</v>
      </c>
      <c r="Q407" s="52">
        <v>344377</v>
      </c>
      <c r="R407" s="127">
        <f>Integrated[[#This Row],[Population 85+ years]]/Integrated[[#This Row],[Total population]]</f>
        <v>1.3013762897815903E-2</v>
      </c>
      <c r="S407" s="58">
        <v>120</v>
      </c>
      <c r="T407" s="59">
        <v>60</v>
      </c>
      <c r="U407" s="59">
        <v>60</v>
      </c>
      <c r="V407" s="59">
        <v>71</v>
      </c>
      <c r="W407" s="59">
        <v>167</v>
      </c>
      <c r="X407" s="59">
        <v>60</v>
      </c>
      <c r="Y407" s="59">
        <v>326</v>
      </c>
      <c r="Z407" s="59">
        <v>518</v>
      </c>
      <c r="AA407" s="59">
        <v>741</v>
      </c>
      <c r="AB407" s="59">
        <v>1031</v>
      </c>
      <c r="AC407" s="59">
        <f>VLOOKUP($A407,'[1]Flu Deaths Updated'!$A$2:$N$460,14,FALSE)</f>
        <v>60</v>
      </c>
      <c r="AD407" s="60">
        <f t="shared" si="6"/>
        <v>3214</v>
      </c>
      <c r="AE407" s="66">
        <f>Integrated[[#This Row],[Flu Deaths &lt;5 years old]]/Integrated[[#This Row],[Population &lt;5 years]]</f>
        <v>6.2754252777267897E-5</v>
      </c>
      <c r="AF407" s="67">
        <f>Integrated[[#This Row],[Flu Deaths 5 to 14 years]]/Integrated[[#This Row],[Population 5 to 14 years]]</f>
        <v>1.5389208471451478E-5</v>
      </c>
      <c r="AG407" s="67">
        <f>Integrated[[#This Row],[Flu Deaths 15 to 24 years]]/Integrated[[#This Row],[Population 15 to 24 years]]</f>
        <v>1.577402759035166E-5</v>
      </c>
      <c r="AH407" s="67">
        <f>Integrated[[#This Row],[Flu Deaths 25 to 34 years]]/Integrated[[#This Row],[Population 25 to 34 years]]</f>
        <v>1.5499806769075613E-5</v>
      </c>
      <c r="AI407" s="67">
        <f>Integrated[[#This Row],[Flu Deaths 35 to 44 years]]/Integrated[[#This Row],[Population 35 to 44 years]]</f>
        <v>1.9800555419523572E-5</v>
      </c>
      <c r="AJ407" s="67">
        <f>Integrated[[#This Row],[Flu Deaths 45 to 54 years]]/Integrated[[#This Row],[Population 45 to 54 years]]</f>
        <v>4.9411149285579875E-5</v>
      </c>
      <c r="AK407" s="67">
        <f>Integrated[[#This Row],[Flu Deaths 55 to 64 years]]/Integrated[[#This Row],[Population 55 to 64 years]]</f>
        <v>1.1135302118508307E-4</v>
      </c>
      <c r="AL407" s="67">
        <f>Integrated[[#This Row],[Flu Deaths 65 to 74 years]]/Integrated[[#This Row],[Population 65 to 74 years]]</f>
        <v>2.8175357332065623E-4</v>
      </c>
      <c r="AM407" s="67">
        <f>Integrated[[#This Row],[Flu Deaths 75 to 84 years]]/Integrated[[#This Row],[Population 75 to 84 years]]</f>
        <v>8.2253730001298746E-4</v>
      </c>
      <c r="AN407" s="67">
        <f>Integrated[[#This Row],[Flu Deaths 85+ years]]/Integrated[[#This Row],[Population 85+ years]]</f>
        <v>2.9938120141589013E-3</v>
      </c>
      <c r="AO407" s="68">
        <f>Integrated[[#This Row],[Total Flu Deaths]]/Integrated[[#This Row],[Total population]]</f>
        <v>1.2145478343089205E-4</v>
      </c>
    </row>
    <row r="408" spans="1:41" x14ac:dyDescent="0.3">
      <c r="A408" s="44" t="s">
        <v>432</v>
      </c>
      <c r="B408" t="s">
        <v>362</v>
      </c>
      <c r="C408" s="45">
        <v>2012</v>
      </c>
      <c r="D408" s="51">
        <v>11411147</v>
      </c>
      <c r="E408" s="2">
        <v>5567483</v>
      </c>
      <c r="F408" s="2">
        <v>5843664</v>
      </c>
      <c r="G408" s="78">
        <f>Integrated[[#This Row],[Female Total population]]/Integrated[[#This Row],[Total population]]</f>
        <v>0.51210136895090386</v>
      </c>
      <c r="H408" s="2">
        <v>703193</v>
      </c>
      <c r="I408" s="2">
        <v>1500932</v>
      </c>
      <c r="J408" s="2">
        <v>1567727</v>
      </c>
      <c r="K408" s="2">
        <v>1408299</v>
      </c>
      <c r="L408" s="2">
        <v>1467113</v>
      </c>
      <c r="M408" s="2">
        <v>1706491</v>
      </c>
      <c r="N408" s="2">
        <v>1439847</v>
      </c>
      <c r="O408" s="2">
        <v>851018</v>
      </c>
      <c r="P408" s="2">
        <v>538265</v>
      </c>
      <c r="Q408" s="52">
        <v>229033</v>
      </c>
      <c r="R408" s="127">
        <f>Integrated[[#This Row],[Population 85+ years]]/Integrated[[#This Row],[Total population]]</f>
        <v>2.0070988481701271E-2</v>
      </c>
      <c r="S408" s="58">
        <v>120</v>
      </c>
      <c r="T408" s="59">
        <v>60</v>
      </c>
      <c r="U408" s="59">
        <v>60</v>
      </c>
      <c r="V408" s="59">
        <v>60</v>
      </c>
      <c r="W408" s="59">
        <v>80</v>
      </c>
      <c r="X408" s="59">
        <v>60</v>
      </c>
      <c r="Y408" s="59">
        <v>175</v>
      </c>
      <c r="Z408" s="59">
        <v>254</v>
      </c>
      <c r="AA408" s="59">
        <v>574</v>
      </c>
      <c r="AB408" s="59">
        <v>1053</v>
      </c>
      <c r="AC408" s="59">
        <f>VLOOKUP($A408,'[1]Flu Deaths Updated'!$A$2:$N$460,14,FALSE)</f>
        <v>60</v>
      </c>
      <c r="AD408" s="60">
        <f t="shared" si="6"/>
        <v>2556</v>
      </c>
      <c r="AE408" s="66">
        <f>Integrated[[#This Row],[Flu Deaths &lt;5 years old]]/Integrated[[#This Row],[Population &lt;5 years]]</f>
        <v>1.7065016289980134E-4</v>
      </c>
      <c r="AF408" s="67">
        <f>Integrated[[#This Row],[Flu Deaths 5 to 14 years]]/Integrated[[#This Row],[Population 5 to 14 years]]</f>
        <v>3.997516209928231E-5</v>
      </c>
      <c r="AG408" s="67">
        <f>Integrated[[#This Row],[Flu Deaths 15 to 24 years]]/Integrated[[#This Row],[Population 15 to 24 years]]</f>
        <v>3.8271969545718097E-5</v>
      </c>
      <c r="AH408" s="67">
        <f>Integrated[[#This Row],[Flu Deaths 25 to 34 years]]/Integrated[[#This Row],[Population 25 to 34 years]]</f>
        <v>4.2604588940274757E-5</v>
      </c>
      <c r="AI408" s="67">
        <f>Integrated[[#This Row],[Flu Deaths 35 to 44 years]]/Integrated[[#This Row],[Population 35 to 44 years]]</f>
        <v>4.0896645316345773E-5</v>
      </c>
      <c r="AJ408" s="67">
        <f>Integrated[[#This Row],[Flu Deaths 45 to 54 years]]/Integrated[[#This Row],[Population 45 to 54 years]]</f>
        <v>4.6879825325770836E-5</v>
      </c>
      <c r="AK408" s="67">
        <f>Integrated[[#This Row],[Flu Deaths 55 to 64 years]]/Integrated[[#This Row],[Population 55 to 64 years]]</f>
        <v>1.2154069147624713E-4</v>
      </c>
      <c r="AL408" s="67">
        <f>Integrated[[#This Row],[Flu Deaths 65 to 74 years]]/Integrated[[#This Row],[Population 65 to 74 years]]</f>
        <v>2.9846607239799862E-4</v>
      </c>
      <c r="AM408" s="67">
        <f>Integrated[[#This Row],[Flu Deaths 75 to 84 years]]/Integrated[[#This Row],[Population 75 to 84 years]]</f>
        <v>1.0663892320697055E-3</v>
      </c>
      <c r="AN408" s="67">
        <f>Integrated[[#This Row],[Flu Deaths 85+ years]]/Integrated[[#This Row],[Population 85+ years]]</f>
        <v>4.5975907401990109E-3</v>
      </c>
      <c r="AO408" s="68">
        <f>Integrated[[#This Row],[Total Flu Deaths]]/Integrated[[#This Row],[Total population]]</f>
        <v>2.2399150584949962E-4</v>
      </c>
    </row>
    <row r="409" spans="1:41" x14ac:dyDescent="0.3">
      <c r="A409" s="44" t="s">
        <v>379</v>
      </c>
      <c r="B409" t="s">
        <v>362</v>
      </c>
      <c r="C409" s="45">
        <v>2013</v>
      </c>
      <c r="D409" s="51">
        <v>11150887</v>
      </c>
      <c r="E409" s="2">
        <v>5443369</v>
      </c>
      <c r="F409" s="2">
        <v>5707520</v>
      </c>
      <c r="G409" s="78">
        <f>Integrated[[#This Row],[Female Total population]]/Integrated[[#This Row],[Total population]]</f>
        <v>0.51184448376169533</v>
      </c>
      <c r="H409" s="2">
        <v>680814</v>
      </c>
      <c r="I409" s="2">
        <v>1456461</v>
      </c>
      <c r="J409" s="2">
        <v>1533304</v>
      </c>
      <c r="K409" s="2">
        <v>1380921</v>
      </c>
      <c r="L409" s="2">
        <v>1405679</v>
      </c>
      <c r="M409" s="2">
        <v>1642465</v>
      </c>
      <c r="N409" s="2">
        <v>1442082</v>
      </c>
      <c r="O409" s="2">
        <v>856093</v>
      </c>
      <c r="P409" s="2">
        <v>521023</v>
      </c>
      <c r="Q409" s="52">
        <v>228330</v>
      </c>
      <c r="R409" s="127">
        <f>Integrated[[#This Row],[Population 85+ years]]/Integrated[[#This Row],[Total population]]</f>
        <v>2.0476397976232744E-2</v>
      </c>
      <c r="S409" s="58">
        <v>120</v>
      </c>
      <c r="T409" s="59">
        <v>60</v>
      </c>
      <c r="U409" s="59">
        <v>60</v>
      </c>
      <c r="V409" s="59">
        <v>60</v>
      </c>
      <c r="W409" s="59">
        <v>87</v>
      </c>
      <c r="X409" s="59">
        <v>60</v>
      </c>
      <c r="Y409" s="59">
        <v>217</v>
      </c>
      <c r="Z409" s="59">
        <v>310</v>
      </c>
      <c r="AA409" s="59">
        <v>641</v>
      </c>
      <c r="AB409" s="59">
        <v>1054</v>
      </c>
      <c r="AC409" s="59">
        <f>VLOOKUP($A409,'[1]Flu Deaths Updated'!$A$2:$N$460,14,FALSE)</f>
        <v>60</v>
      </c>
      <c r="AD409" s="60">
        <f t="shared" si="6"/>
        <v>2729</v>
      </c>
      <c r="AE409" s="66">
        <f>Integrated[[#This Row],[Flu Deaths &lt;5 years old]]/Integrated[[#This Row],[Population &lt;5 years]]</f>
        <v>1.7625959513170998E-4</v>
      </c>
      <c r="AF409" s="67">
        <f>Integrated[[#This Row],[Flu Deaths 5 to 14 years]]/Integrated[[#This Row],[Population 5 to 14 years]]</f>
        <v>4.1195747774914676E-5</v>
      </c>
      <c r="AG409" s="67">
        <f>Integrated[[#This Row],[Flu Deaths 15 to 24 years]]/Integrated[[#This Row],[Population 15 to 24 years]]</f>
        <v>3.9131183379160295E-5</v>
      </c>
      <c r="AH409" s="67">
        <f>Integrated[[#This Row],[Flu Deaths 25 to 34 years]]/Integrated[[#This Row],[Population 25 to 34 years]]</f>
        <v>4.3449263209119129E-5</v>
      </c>
      <c r="AI409" s="67">
        <f>Integrated[[#This Row],[Flu Deaths 35 to 44 years]]/Integrated[[#This Row],[Population 35 to 44 years]]</f>
        <v>4.2683998267029672E-5</v>
      </c>
      <c r="AJ409" s="67">
        <f>Integrated[[#This Row],[Flu Deaths 45 to 54 years]]/Integrated[[#This Row],[Population 45 to 54 years]]</f>
        <v>5.296916524857455E-5</v>
      </c>
      <c r="AK409" s="67">
        <f>Integrated[[#This Row],[Flu Deaths 55 to 64 years]]/Integrated[[#This Row],[Population 55 to 64 years]]</f>
        <v>1.5047687995550877E-4</v>
      </c>
      <c r="AL409" s="67">
        <f>Integrated[[#This Row],[Flu Deaths 65 to 74 years]]/Integrated[[#This Row],[Population 65 to 74 years]]</f>
        <v>3.6211019129930979E-4</v>
      </c>
      <c r="AM409" s="67">
        <f>Integrated[[#This Row],[Flu Deaths 75 to 84 years]]/Integrated[[#This Row],[Population 75 to 84 years]]</f>
        <v>1.2302719841542503E-3</v>
      </c>
      <c r="AN409" s="67">
        <f>Integrated[[#This Row],[Flu Deaths 85+ years]]/Integrated[[#This Row],[Population 85+ years]]</f>
        <v>4.6161257828581442E-3</v>
      </c>
      <c r="AO409" s="68">
        <f>Integrated[[#This Row],[Total Flu Deaths]]/Integrated[[#This Row],[Total population]]</f>
        <v>2.4473389426329939E-4</v>
      </c>
    </row>
    <row r="410" spans="1:41" x14ac:dyDescent="0.3">
      <c r="A410" s="44" t="s">
        <v>540</v>
      </c>
      <c r="B410" t="s">
        <v>525</v>
      </c>
      <c r="C410" s="45">
        <v>2012</v>
      </c>
      <c r="D410" s="51">
        <v>18614258</v>
      </c>
      <c r="E410" s="2">
        <v>9090213</v>
      </c>
      <c r="F410" s="2">
        <v>9524046</v>
      </c>
      <c r="G410" s="78">
        <f>Integrated[[#This Row],[Female Total population]]/Integrated[[#This Row],[Total population]]</f>
        <v>0.51165327137939098</v>
      </c>
      <c r="H410" s="2">
        <v>1058047</v>
      </c>
      <c r="I410" s="2">
        <v>2175269</v>
      </c>
      <c r="J410" s="2">
        <v>2437151</v>
      </c>
      <c r="K410" s="2">
        <v>2275346</v>
      </c>
      <c r="L410" s="2">
        <v>2404052</v>
      </c>
      <c r="M410" s="2">
        <v>2688117</v>
      </c>
      <c r="N410" s="2">
        <v>2317979</v>
      </c>
      <c r="O410" s="2">
        <v>1725696</v>
      </c>
      <c r="P410" s="2">
        <v>1091409</v>
      </c>
      <c r="Q410" s="52">
        <v>443967</v>
      </c>
      <c r="R410" s="127">
        <f>Integrated[[#This Row],[Population 85+ years]]/Integrated[[#This Row],[Total population]]</f>
        <v>2.3850910415016274E-2</v>
      </c>
      <c r="S410" s="58">
        <v>120</v>
      </c>
      <c r="T410" s="59">
        <v>60</v>
      </c>
      <c r="U410" s="59">
        <v>60</v>
      </c>
      <c r="V410" s="59">
        <v>60</v>
      </c>
      <c r="W410" s="59">
        <v>75</v>
      </c>
      <c r="X410" s="59">
        <v>60</v>
      </c>
      <c r="Y410" s="59">
        <v>191</v>
      </c>
      <c r="Z410" s="59">
        <v>324</v>
      </c>
      <c r="AA410" s="59">
        <v>606</v>
      </c>
      <c r="AB410" s="59">
        <v>1055</v>
      </c>
      <c r="AC410" s="59">
        <f>VLOOKUP($A410,'[1]Flu Deaths Updated'!$A$2:$N$460,14,FALSE)</f>
        <v>60</v>
      </c>
      <c r="AD410" s="60">
        <f t="shared" si="6"/>
        <v>2671</v>
      </c>
      <c r="AE410" s="66">
        <f>Integrated[[#This Row],[Flu Deaths &lt;5 years old]]/Integrated[[#This Row],[Population &lt;5 years]]</f>
        <v>1.1341651174286209E-4</v>
      </c>
      <c r="AF410" s="67">
        <f>Integrated[[#This Row],[Flu Deaths 5 to 14 years]]/Integrated[[#This Row],[Population 5 to 14 years]]</f>
        <v>2.7582795507130382E-5</v>
      </c>
      <c r="AG410" s="67">
        <f>Integrated[[#This Row],[Flu Deaths 15 to 24 years]]/Integrated[[#This Row],[Population 15 to 24 years]]</f>
        <v>2.4618909538227215E-5</v>
      </c>
      <c r="AH410" s="67">
        <f>Integrated[[#This Row],[Flu Deaths 25 to 34 years]]/Integrated[[#This Row],[Population 25 to 34 years]]</f>
        <v>2.6369615873805565E-5</v>
      </c>
      <c r="AI410" s="67">
        <f>Integrated[[#This Row],[Flu Deaths 35 to 44 years]]/Integrated[[#This Row],[Population 35 to 44 years]]</f>
        <v>2.4957862808292001E-5</v>
      </c>
      <c r="AJ410" s="67">
        <f>Integrated[[#This Row],[Flu Deaths 45 to 54 years]]/Integrated[[#This Row],[Population 45 to 54 years]]</f>
        <v>2.7900571292097776E-5</v>
      </c>
      <c r="AK410" s="67">
        <f>Integrated[[#This Row],[Flu Deaths 55 to 64 years]]/Integrated[[#This Row],[Population 55 to 64 years]]</f>
        <v>8.2399365999433121E-5</v>
      </c>
      <c r="AL410" s="67">
        <f>Integrated[[#This Row],[Flu Deaths 65 to 74 years]]/Integrated[[#This Row],[Population 65 to 74 years]]</f>
        <v>1.8775033377837116E-4</v>
      </c>
      <c r="AM410" s="67">
        <f>Integrated[[#This Row],[Flu Deaths 75 to 84 years]]/Integrated[[#This Row],[Population 75 to 84 years]]</f>
        <v>5.5524555872271534E-4</v>
      </c>
      <c r="AN410" s="67">
        <f>Integrated[[#This Row],[Flu Deaths 85+ years]]/Integrated[[#This Row],[Population 85+ years]]</f>
        <v>2.3763027432219062E-3</v>
      </c>
      <c r="AO410" s="68">
        <f>Integrated[[#This Row],[Total Flu Deaths]]/Integrated[[#This Row],[Total population]]</f>
        <v>1.4349215531449065E-4</v>
      </c>
    </row>
    <row r="411" spans="1:41" x14ac:dyDescent="0.3">
      <c r="A411" s="44" t="s">
        <v>475</v>
      </c>
      <c r="B411" t="s">
        <v>431</v>
      </c>
      <c r="C411" s="45">
        <v>2010</v>
      </c>
      <c r="D411" s="51">
        <v>12699105</v>
      </c>
      <c r="E411" s="2">
        <v>6227320</v>
      </c>
      <c r="F411" s="2">
        <v>6471789</v>
      </c>
      <c r="G411" s="78">
        <f>Integrated[[#This Row],[Female Total population]]/Integrated[[#This Row],[Total population]]</f>
        <v>0.50962559959934184</v>
      </c>
      <c r="H411" s="2">
        <v>844207</v>
      </c>
      <c r="I411" s="2">
        <v>1740663</v>
      </c>
      <c r="J411" s="2">
        <v>1799274</v>
      </c>
      <c r="K411" s="2">
        <v>1752365</v>
      </c>
      <c r="L411" s="2">
        <v>1774850</v>
      </c>
      <c r="M411" s="2">
        <v>1849237</v>
      </c>
      <c r="N411" s="2">
        <v>1385671</v>
      </c>
      <c r="O411" s="2">
        <v>808403</v>
      </c>
      <c r="P411" s="2">
        <v>524075</v>
      </c>
      <c r="Q411" s="52">
        <v>224425</v>
      </c>
      <c r="R411" s="127">
        <f>Integrated[[#This Row],[Population 85+ years]]/Integrated[[#This Row],[Total population]]</f>
        <v>1.7672505267103469E-2</v>
      </c>
      <c r="S411" s="58">
        <v>120</v>
      </c>
      <c r="T411" s="59">
        <v>60</v>
      </c>
      <c r="U411" s="59">
        <v>60</v>
      </c>
      <c r="V411" s="59">
        <v>60</v>
      </c>
      <c r="W411" s="59">
        <v>70</v>
      </c>
      <c r="X411" s="59">
        <v>60</v>
      </c>
      <c r="Y411" s="59">
        <v>153</v>
      </c>
      <c r="Z411" s="59">
        <v>247</v>
      </c>
      <c r="AA411" s="59">
        <v>597</v>
      </c>
      <c r="AB411" s="59">
        <v>1068</v>
      </c>
      <c r="AC411" s="59">
        <f>VLOOKUP($A411,'[1]Flu Deaths Updated'!$A$2:$N$460,14,FALSE)</f>
        <v>60</v>
      </c>
      <c r="AD411" s="60">
        <f t="shared" si="6"/>
        <v>2555</v>
      </c>
      <c r="AE411" s="66">
        <f>Integrated[[#This Row],[Flu Deaths &lt;5 years old]]/Integrated[[#This Row],[Population &lt;5 years]]</f>
        <v>1.421452321527777E-4</v>
      </c>
      <c r="AF411" s="67">
        <f>Integrated[[#This Row],[Flu Deaths 5 to 14 years]]/Integrated[[#This Row],[Population 5 to 14 years]]</f>
        <v>3.4469624505145451E-5</v>
      </c>
      <c r="AG411" s="67">
        <f>Integrated[[#This Row],[Flu Deaths 15 to 24 years]]/Integrated[[#This Row],[Population 15 to 24 years]]</f>
        <v>3.3346783202558365E-5</v>
      </c>
      <c r="AH411" s="67">
        <f>Integrated[[#This Row],[Flu Deaths 25 to 34 years]]/Integrated[[#This Row],[Population 25 to 34 years]]</f>
        <v>3.4239442125356307E-5</v>
      </c>
      <c r="AI411" s="67">
        <f>Integrated[[#This Row],[Flu Deaths 35 to 44 years]]/Integrated[[#This Row],[Population 35 to 44 years]]</f>
        <v>3.3805673718905824E-5</v>
      </c>
      <c r="AJ411" s="67">
        <f>Integrated[[#This Row],[Flu Deaths 45 to 54 years]]/Integrated[[#This Row],[Population 45 to 54 years]]</f>
        <v>3.7853449828226451E-5</v>
      </c>
      <c r="AK411" s="67">
        <f>Integrated[[#This Row],[Flu Deaths 55 to 64 years]]/Integrated[[#This Row],[Population 55 to 64 years]]</f>
        <v>1.1041582020551775E-4</v>
      </c>
      <c r="AL411" s="67">
        <f>Integrated[[#This Row],[Flu Deaths 65 to 74 years]]/Integrated[[#This Row],[Population 65 to 74 years]]</f>
        <v>3.0554067711277669E-4</v>
      </c>
      <c r="AM411" s="67">
        <f>Integrated[[#This Row],[Flu Deaths 75 to 84 years]]/Integrated[[#This Row],[Population 75 to 84 years]]</f>
        <v>1.1391499308305109E-3</v>
      </c>
      <c r="AN411" s="67">
        <f>Integrated[[#This Row],[Flu Deaths 85+ years]]/Integrated[[#This Row],[Population 85+ years]]</f>
        <v>4.7588281162972042E-3</v>
      </c>
      <c r="AO411" s="68">
        <f>Integrated[[#This Row],[Total Flu Deaths]]/Integrated[[#This Row],[Total population]]</f>
        <v>2.0119528108476935E-4</v>
      </c>
    </row>
    <row r="412" spans="1:41" x14ac:dyDescent="0.3">
      <c r="A412" s="44" t="s">
        <v>443</v>
      </c>
      <c r="B412" t="s">
        <v>431</v>
      </c>
      <c r="C412" s="45">
        <v>2017</v>
      </c>
      <c r="D412" s="51">
        <v>12493561</v>
      </c>
      <c r="E412" s="2">
        <v>6130146</v>
      </c>
      <c r="F412" s="2">
        <v>6363420</v>
      </c>
      <c r="G412" s="78">
        <f>Integrated[[#This Row],[Female Total population]]/Integrated[[#This Row],[Total population]]</f>
        <v>0.50933596914442569</v>
      </c>
      <c r="H412" s="2">
        <v>766803</v>
      </c>
      <c r="I412" s="2">
        <v>1616486</v>
      </c>
      <c r="J412" s="2">
        <v>1701030</v>
      </c>
      <c r="K412" s="2">
        <v>1741759</v>
      </c>
      <c r="L412" s="2">
        <v>1620161</v>
      </c>
      <c r="M412" s="2">
        <v>1690246</v>
      </c>
      <c r="N412" s="2">
        <v>1582577</v>
      </c>
      <c r="O412" s="2">
        <v>1007630</v>
      </c>
      <c r="P412" s="2">
        <v>527077</v>
      </c>
      <c r="Q412" s="52">
        <v>239896</v>
      </c>
      <c r="R412" s="127">
        <f>Integrated[[#This Row],[Population 85+ years]]/Integrated[[#This Row],[Total population]]</f>
        <v>1.9201571113311888E-2</v>
      </c>
      <c r="S412" s="58">
        <v>120</v>
      </c>
      <c r="T412" s="59">
        <v>60</v>
      </c>
      <c r="U412" s="59">
        <v>60</v>
      </c>
      <c r="V412" s="59">
        <v>60</v>
      </c>
      <c r="W412" s="59">
        <v>73</v>
      </c>
      <c r="X412" s="59">
        <v>60</v>
      </c>
      <c r="Y412" s="59">
        <v>207</v>
      </c>
      <c r="Z412" s="59">
        <v>370</v>
      </c>
      <c r="AA412" s="59">
        <v>587</v>
      </c>
      <c r="AB412" s="59">
        <v>1069</v>
      </c>
      <c r="AC412" s="59">
        <f>VLOOKUP($A412,'[1]Flu Deaths Updated'!$A$2:$N$460,14,FALSE)</f>
        <v>60</v>
      </c>
      <c r="AD412" s="60">
        <f t="shared" si="6"/>
        <v>2726</v>
      </c>
      <c r="AE412" s="66">
        <f>Integrated[[#This Row],[Flu Deaths &lt;5 years old]]/Integrated[[#This Row],[Population &lt;5 years]]</f>
        <v>1.5649391043071038E-4</v>
      </c>
      <c r="AF412" s="67">
        <f>Integrated[[#This Row],[Flu Deaths 5 to 14 years]]/Integrated[[#This Row],[Population 5 to 14 years]]</f>
        <v>3.7117550043736846E-5</v>
      </c>
      <c r="AG412" s="67">
        <f>Integrated[[#This Row],[Flu Deaths 15 to 24 years]]/Integrated[[#This Row],[Population 15 to 24 years]]</f>
        <v>3.5272746512407185E-5</v>
      </c>
      <c r="AH412" s="67">
        <f>Integrated[[#This Row],[Flu Deaths 25 to 34 years]]/Integrated[[#This Row],[Population 25 to 34 years]]</f>
        <v>3.4447934530552157E-5</v>
      </c>
      <c r="AI412" s="67">
        <f>Integrated[[#This Row],[Flu Deaths 35 to 44 years]]/Integrated[[#This Row],[Population 35 to 44 years]]</f>
        <v>3.7033356561477531E-5</v>
      </c>
      <c r="AJ412" s="67">
        <f>Integrated[[#This Row],[Flu Deaths 45 to 54 years]]/Integrated[[#This Row],[Population 45 to 54 years]]</f>
        <v>4.3188979592319696E-5</v>
      </c>
      <c r="AK412" s="67">
        <f>Integrated[[#This Row],[Flu Deaths 55 to 64 years]]/Integrated[[#This Row],[Population 55 to 64 years]]</f>
        <v>1.3079932287654881E-4</v>
      </c>
      <c r="AL412" s="67">
        <f>Integrated[[#This Row],[Flu Deaths 65 to 74 years]]/Integrated[[#This Row],[Population 65 to 74 years]]</f>
        <v>3.6719827714538076E-4</v>
      </c>
      <c r="AM412" s="67">
        <f>Integrated[[#This Row],[Flu Deaths 75 to 84 years]]/Integrated[[#This Row],[Population 75 to 84 years]]</f>
        <v>1.1136892712070533E-3</v>
      </c>
      <c r="AN412" s="67">
        <f>Integrated[[#This Row],[Flu Deaths 85+ years]]/Integrated[[#This Row],[Population 85+ years]]</f>
        <v>4.4560976423116683E-3</v>
      </c>
      <c r="AO412" s="68">
        <f>Integrated[[#This Row],[Total Flu Deaths]]/Integrated[[#This Row],[Total population]]</f>
        <v>2.1819239526664976E-4</v>
      </c>
    </row>
    <row r="413" spans="1:41" x14ac:dyDescent="0.3">
      <c r="A413" s="44" t="s">
        <v>385</v>
      </c>
      <c r="B413" t="s">
        <v>362</v>
      </c>
      <c r="C413" s="45">
        <v>2014</v>
      </c>
      <c r="D413" s="51">
        <v>11418643</v>
      </c>
      <c r="E413" s="2">
        <v>5581397</v>
      </c>
      <c r="F413" s="2">
        <v>5837247</v>
      </c>
      <c r="G413" s="78">
        <f>Integrated[[#This Row],[Female Total population]]/Integrated[[#This Row],[Total population]]</f>
        <v>0.51120321390203727</v>
      </c>
      <c r="H413" s="2">
        <v>691622</v>
      </c>
      <c r="I413" s="2">
        <v>1481715</v>
      </c>
      <c r="J413" s="2">
        <v>1560209</v>
      </c>
      <c r="K413" s="2">
        <v>1424796</v>
      </c>
      <c r="L413" s="2">
        <v>1421257</v>
      </c>
      <c r="M413" s="2">
        <v>1651333</v>
      </c>
      <c r="N413" s="2">
        <v>1508838</v>
      </c>
      <c r="O413" s="2">
        <v>910673</v>
      </c>
      <c r="P413" s="2">
        <v>530593</v>
      </c>
      <c r="Q413" s="52">
        <v>238053</v>
      </c>
      <c r="R413" s="127">
        <f>Integrated[[#This Row],[Population 85+ years]]/Integrated[[#This Row],[Total population]]</f>
        <v>2.0847748721104599E-2</v>
      </c>
      <c r="S413" s="58">
        <v>120</v>
      </c>
      <c r="T413" s="59">
        <v>60</v>
      </c>
      <c r="U413" s="59">
        <v>60</v>
      </c>
      <c r="V413" s="59">
        <v>60</v>
      </c>
      <c r="W413" s="59">
        <v>110</v>
      </c>
      <c r="X413" s="59">
        <v>60</v>
      </c>
      <c r="Y413" s="59">
        <v>227</v>
      </c>
      <c r="Z413" s="59">
        <v>360</v>
      </c>
      <c r="AA413" s="59">
        <v>590</v>
      </c>
      <c r="AB413" s="59">
        <v>1075</v>
      </c>
      <c r="AC413" s="59">
        <f>VLOOKUP($A413,'[1]Flu Deaths Updated'!$A$2:$N$460,14,FALSE)</f>
        <v>60</v>
      </c>
      <c r="AD413" s="60">
        <f t="shared" si="6"/>
        <v>2782</v>
      </c>
      <c r="AE413" s="66">
        <f>Integrated[[#This Row],[Flu Deaths &lt;5 years old]]/Integrated[[#This Row],[Population &lt;5 years]]</f>
        <v>1.7350518057551668E-4</v>
      </c>
      <c r="AF413" s="67">
        <f>Integrated[[#This Row],[Flu Deaths 5 to 14 years]]/Integrated[[#This Row],[Population 5 to 14 years]]</f>
        <v>4.0493617193589862E-5</v>
      </c>
      <c r="AG413" s="67">
        <f>Integrated[[#This Row],[Flu Deaths 15 to 24 years]]/Integrated[[#This Row],[Population 15 to 24 years]]</f>
        <v>3.8456386291836544E-5</v>
      </c>
      <c r="AH413" s="67">
        <f>Integrated[[#This Row],[Flu Deaths 25 to 34 years]]/Integrated[[#This Row],[Population 25 to 34 years]]</f>
        <v>4.2111291721762277E-5</v>
      </c>
      <c r="AI413" s="67">
        <f>Integrated[[#This Row],[Flu Deaths 35 to 44 years]]/Integrated[[#This Row],[Population 35 to 44 years]]</f>
        <v>4.2216150914296288E-5</v>
      </c>
      <c r="AJ413" s="67">
        <f>Integrated[[#This Row],[Flu Deaths 45 to 54 years]]/Integrated[[#This Row],[Population 45 to 54 years]]</f>
        <v>6.661285155689373E-5</v>
      </c>
      <c r="AK413" s="67">
        <f>Integrated[[#This Row],[Flu Deaths 55 to 64 years]]/Integrated[[#This Row],[Population 55 to 64 years]]</f>
        <v>1.5044690019737044E-4</v>
      </c>
      <c r="AL413" s="67">
        <f>Integrated[[#This Row],[Flu Deaths 65 to 74 years]]/Integrated[[#This Row],[Population 65 to 74 years]]</f>
        <v>3.9531203845946899E-4</v>
      </c>
      <c r="AM413" s="67">
        <f>Integrated[[#This Row],[Flu Deaths 75 to 84 years]]/Integrated[[#This Row],[Population 75 to 84 years]]</f>
        <v>1.1119634069804917E-3</v>
      </c>
      <c r="AN413" s="67">
        <f>Integrated[[#This Row],[Flu Deaths 85+ years]]/Integrated[[#This Row],[Population 85+ years]]</f>
        <v>4.5158011031156929E-3</v>
      </c>
      <c r="AO413" s="68">
        <f>Integrated[[#This Row],[Total Flu Deaths]]/Integrated[[#This Row],[Total population]]</f>
        <v>2.4363665629970218E-4</v>
      </c>
    </row>
    <row r="414" spans="1:41" x14ac:dyDescent="0.3">
      <c r="A414" s="44" t="s">
        <v>537</v>
      </c>
      <c r="B414" t="s">
        <v>525</v>
      </c>
      <c r="C414" s="45">
        <v>2011</v>
      </c>
      <c r="D414" s="51">
        <v>18587840</v>
      </c>
      <c r="E414" s="2">
        <v>9084438</v>
      </c>
      <c r="F414" s="2">
        <v>9503402</v>
      </c>
      <c r="G414" s="78">
        <f>Integrated[[#This Row],[Female Total population]]/Integrated[[#This Row],[Total population]]</f>
        <v>0.51126984092826278</v>
      </c>
      <c r="H414" s="2">
        <v>1073381</v>
      </c>
      <c r="I414" s="2">
        <v>2192547</v>
      </c>
      <c r="J414" s="2">
        <v>2445362</v>
      </c>
      <c r="K414" s="2">
        <v>2263993</v>
      </c>
      <c r="L414" s="2">
        <v>2460158</v>
      </c>
      <c r="M414" s="2">
        <v>2686407</v>
      </c>
      <c r="N414" s="2">
        <v>2276430</v>
      </c>
      <c r="O414" s="2">
        <v>1673845</v>
      </c>
      <c r="P414" s="2">
        <v>1091099</v>
      </c>
      <c r="Q414" s="52">
        <v>429397</v>
      </c>
      <c r="R414" s="127">
        <f>Integrated[[#This Row],[Population 85+ years]]/Integrated[[#This Row],[Total population]]</f>
        <v>2.3100962779967978E-2</v>
      </c>
      <c r="S414" s="58">
        <v>120</v>
      </c>
      <c r="T414" s="59">
        <v>60</v>
      </c>
      <c r="U414" s="59">
        <v>60</v>
      </c>
      <c r="V414" s="59">
        <v>65</v>
      </c>
      <c r="W414" s="59">
        <v>109</v>
      </c>
      <c r="X414" s="59">
        <v>60</v>
      </c>
      <c r="Y414" s="59">
        <v>193</v>
      </c>
      <c r="Z414" s="59">
        <v>327</v>
      </c>
      <c r="AA414" s="59">
        <v>629</v>
      </c>
      <c r="AB414" s="59">
        <v>1078</v>
      </c>
      <c r="AC414" s="59">
        <f>VLOOKUP($A414,'[1]Flu Deaths Updated'!$A$2:$N$460,14,FALSE)</f>
        <v>60</v>
      </c>
      <c r="AD414" s="60">
        <f t="shared" si="6"/>
        <v>2761</v>
      </c>
      <c r="AE414" s="66">
        <f>Integrated[[#This Row],[Flu Deaths &lt;5 years old]]/Integrated[[#This Row],[Population &lt;5 years]]</f>
        <v>1.117962773702907E-4</v>
      </c>
      <c r="AF414" s="67">
        <f>Integrated[[#This Row],[Flu Deaths 5 to 14 years]]/Integrated[[#This Row],[Population 5 to 14 years]]</f>
        <v>2.7365433899478552E-5</v>
      </c>
      <c r="AG414" s="67">
        <f>Integrated[[#This Row],[Flu Deaths 15 to 24 years]]/Integrated[[#This Row],[Population 15 to 24 years]]</f>
        <v>2.4536244531484502E-5</v>
      </c>
      <c r="AH414" s="67">
        <f>Integrated[[#This Row],[Flu Deaths 25 to 34 years]]/Integrated[[#This Row],[Population 25 to 34 years]]</f>
        <v>2.6501848724797293E-5</v>
      </c>
      <c r="AI414" s="67">
        <f>Integrated[[#This Row],[Flu Deaths 35 to 44 years]]/Integrated[[#This Row],[Population 35 to 44 years]]</f>
        <v>2.6421067264785433E-5</v>
      </c>
      <c r="AJ414" s="67">
        <f>Integrated[[#This Row],[Flu Deaths 45 to 54 years]]/Integrated[[#This Row],[Population 45 to 54 years]]</f>
        <v>4.0574641147078606E-5</v>
      </c>
      <c r="AK414" s="67">
        <f>Integrated[[#This Row],[Flu Deaths 55 to 64 years]]/Integrated[[#This Row],[Population 55 to 64 years]]</f>
        <v>8.4781873371902496E-5</v>
      </c>
      <c r="AL414" s="67">
        <f>Integrated[[#This Row],[Flu Deaths 65 to 74 years]]/Integrated[[#This Row],[Population 65 to 74 years]]</f>
        <v>1.9535859055049901E-4</v>
      </c>
      <c r="AM414" s="67">
        <f>Integrated[[#This Row],[Flu Deaths 75 to 84 years]]/Integrated[[#This Row],[Population 75 to 84 years]]</f>
        <v>5.7648297725504285E-4</v>
      </c>
      <c r="AN414" s="67">
        <f>Integrated[[#This Row],[Flu Deaths 85+ years]]/Integrated[[#This Row],[Population 85+ years]]</f>
        <v>2.5104972787420498E-3</v>
      </c>
      <c r="AO414" s="68">
        <f>Integrated[[#This Row],[Total Flu Deaths]]/Integrated[[#This Row],[Total population]]</f>
        <v>1.4853796890870592E-4</v>
      </c>
    </row>
    <row r="415" spans="1:41" x14ac:dyDescent="0.3">
      <c r="A415" s="44" t="s">
        <v>531</v>
      </c>
      <c r="B415" t="s">
        <v>525</v>
      </c>
      <c r="C415" s="45">
        <v>2014</v>
      </c>
      <c r="D415" s="51">
        <v>19138467</v>
      </c>
      <c r="E415" s="2">
        <v>9344832</v>
      </c>
      <c r="F415" s="2">
        <v>9793636</v>
      </c>
      <c r="G415" s="78">
        <f>Integrated[[#This Row],[Female Total population]]/Integrated[[#This Row],[Total population]]</f>
        <v>0.51172520766684182</v>
      </c>
      <c r="H415" s="2">
        <v>1066338</v>
      </c>
      <c r="I415" s="2">
        <v>2212311</v>
      </c>
      <c r="J415" s="2">
        <v>2464497</v>
      </c>
      <c r="K415" s="2">
        <v>2384484</v>
      </c>
      <c r="L415" s="2">
        <v>2392375</v>
      </c>
      <c r="M415" s="2">
        <v>2717771</v>
      </c>
      <c r="N415" s="2">
        <v>2438468</v>
      </c>
      <c r="O415" s="2">
        <v>1866101</v>
      </c>
      <c r="P415" s="2">
        <v>1121544</v>
      </c>
      <c r="Q415" s="52">
        <v>475978</v>
      </c>
      <c r="R415" s="127">
        <f>Integrated[[#This Row],[Population 85+ years]]/Integrated[[#This Row],[Total population]]</f>
        <v>2.4870226021760259E-2</v>
      </c>
      <c r="S415" s="58">
        <v>120</v>
      </c>
      <c r="T415" s="59">
        <v>60</v>
      </c>
      <c r="U415" s="59">
        <v>68</v>
      </c>
      <c r="V415" s="59">
        <v>77</v>
      </c>
      <c r="W415" s="59">
        <v>159</v>
      </c>
      <c r="X415" s="59">
        <v>60</v>
      </c>
      <c r="Y415" s="59">
        <v>277</v>
      </c>
      <c r="Z415" s="59">
        <v>388</v>
      </c>
      <c r="AA415" s="59">
        <v>671</v>
      </c>
      <c r="AB415" s="59">
        <v>1084</v>
      </c>
      <c r="AC415" s="59">
        <f>VLOOKUP($A415,'[1]Flu Deaths Updated'!$A$2:$N$460,14,FALSE)</f>
        <v>60</v>
      </c>
      <c r="AD415" s="60">
        <f t="shared" si="6"/>
        <v>3024</v>
      </c>
      <c r="AE415" s="66">
        <f>Integrated[[#This Row],[Flu Deaths &lt;5 years old]]/Integrated[[#This Row],[Population &lt;5 years]]</f>
        <v>1.1253467474665631E-4</v>
      </c>
      <c r="AF415" s="67">
        <f>Integrated[[#This Row],[Flu Deaths 5 to 14 years]]/Integrated[[#This Row],[Population 5 to 14 years]]</f>
        <v>2.712096084140069E-5</v>
      </c>
      <c r="AG415" s="67">
        <f>Integrated[[#This Row],[Flu Deaths 15 to 24 years]]/Integrated[[#This Row],[Population 15 to 24 years]]</f>
        <v>2.4345738704490208E-5</v>
      </c>
      <c r="AH415" s="67">
        <f>Integrated[[#This Row],[Flu Deaths 25 to 34 years]]/Integrated[[#This Row],[Population 25 to 34 years]]</f>
        <v>2.8517700265550114E-5</v>
      </c>
      <c r="AI415" s="67">
        <f>Integrated[[#This Row],[Flu Deaths 35 to 44 years]]/Integrated[[#This Row],[Population 35 to 44 years]]</f>
        <v>3.2185589633732171E-5</v>
      </c>
      <c r="AJ415" s="67">
        <f>Integrated[[#This Row],[Flu Deaths 45 to 54 years]]/Integrated[[#This Row],[Population 45 to 54 years]]</f>
        <v>5.8503825377487655E-5</v>
      </c>
      <c r="AK415" s="67">
        <f>Integrated[[#This Row],[Flu Deaths 55 to 64 years]]/Integrated[[#This Row],[Population 55 to 64 years]]</f>
        <v>1.1359591349978757E-4</v>
      </c>
      <c r="AL415" s="67">
        <f>Integrated[[#This Row],[Flu Deaths 65 to 74 years]]/Integrated[[#This Row],[Population 65 to 74 years]]</f>
        <v>2.0792015008833927E-4</v>
      </c>
      <c r="AM415" s="67">
        <f>Integrated[[#This Row],[Flu Deaths 75 to 84 years]]/Integrated[[#This Row],[Population 75 to 84 years]]</f>
        <v>5.9828236787856745E-4</v>
      </c>
      <c r="AN415" s="67">
        <f>Integrated[[#This Row],[Flu Deaths 85+ years]]/Integrated[[#This Row],[Population 85+ years]]</f>
        <v>2.2774161831008994E-3</v>
      </c>
      <c r="AO415" s="68">
        <f>Integrated[[#This Row],[Total Flu Deaths]]/Integrated[[#This Row],[Total population]]</f>
        <v>1.5800638577792046E-4</v>
      </c>
    </row>
    <row r="416" spans="1:41" x14ac:dyDescent="0.3">
      <c r="A416" s="44" t="s">
        <v>533</v>
      </c>
      <c r="B416" t="s">
        <v>525</v>
      </c>
      <c r="C416" s="45">
        <v>2016</v>
      </c>
      <c r="D416" s="51">
        <v>19862072</v>
      </c>
      <c r="E416" s="2">
        <v>9694326</v>
      </c>
      <c r="F416" s="2">
        <v>10167751</v>
      </c>
      <c r="G416" s="78">
        <f>Integrated[[#This Row],[Female Total population]]/Integrated[[#This Row],[Total population]]</f>
        <v>0.51191794088753684</v>
      </c>
      <c r="H416" s="2">
        <v>1090402</v>
      </c>
      <c r="I416" s="2">
        <v>2256526</v>
      </c>
      <c r="J416" s="2">
        <v>2476252</v>
      </c>
      <c r="K416" s="2">
        <v>2519572</v>
      </c>
      <c r="L416" s="2">
        <v>2423785</v>
      </c>
      <c r="M416" s="2">
        <v>2737034</v>
      </c>
      <c r="N416" s="2">
        <v>2573116</v>
      </c>
      <c r="O416" s="2">
        <v>2076372</v>
      </c>
      <c r="P416" s="2">
        <v>1193935</v>
      </c>
      <c r="Q416" s="52">
        <v>514243</v>
      </c>
      <c r="R416" s="127">
        <f>Integrated[[#This Row],[Population 85+ years]]/Integrated[[#This Row],[Total population]]</f>
        <v>2.5890702641698207E-2</v>
      </c>
      <c r="S416" s="58">
        <v>120</v>
      </c>
      <c r="T416" s="59">
        <v>60</v>
      </c>
      <c r="U416" s="59">
        <v>60</v>
      </c>
      <c r="V416" s="59">
        <v>80</v>
      </c>
      <c r="W416" s="59">
        <v>133</v>
      </c>
      <c r="X416" s="59">
        <v>60</v>
      </c>
      <c r="Y416" s="59">
        <v>274</v>
      </c>
      <c r="Z416" s="59">
        <v>471</v>
      </c>
      <c r="AA416" s="59">
        <v>701</v>
      </c>
      <c r="AB416" s="59">
        <v>1088</v>
      </c>
      <c r="AC416" s="59">
        <f>VLOOKUP($A416,'[1]Flu Deaths Updated'!$A$2:$N$460,14,FALSE)</f>
        <v>60</v>
      </c>
      <c r="AD416" s="60">
        <f t="shared" si="6"/>
        <v>3107</v>
      </c>
      <c r="AE416" s="66">
        <f>Integrated[[#This Row],[Flu Deaths &lt;5 years old]]/Integrated[[#This Row],[Population &lt;5 years]]</f>
        <v>1.1005115544542288E-4</v>
      </c>
      <c r="AF416" s="67">
        <f>Integrated[[#This Row],[Flu Deaths 5 to 14 years]]/Integrated[[#This Row],[Population 5 to 14 years]]</f>
        <v>2.6589545168103538E-5</v>
      </c>
      <c r="AG416" s="67">
        <f>Integrated[[#This Row],[Flu Deaths 15 to 24 years]]/Integrated[[#This Row],[Population 15 to 24 years]]</f>
        <v>2.4230167204307156E-5</v>
      </c>
      <c r="AH416" s="67">
        <f>Integrated[[#This Row],[Flu Deaths 25 to 34 years]]/Integrated[[#This Row],[Population 25 to 34 years]]</f>
        <v>2.3813568336209482E-5</v>
      </c>
      <c r="AI416" s="67">
        <f>Integrated[[#This Row],[Flu Deaths 35 to 44 years]]/Integrated[[#This Row],[Population 35 to 44 years]]</f>
        <v>3.3006227862619827E-5</v>
      </c>
      <c r="AJ416" s="67">
        <f>Integrated[[#This Row],[Flu Deaths 45 to 54 years]]/Integrated[[#This Row],[Population 45 to 54 years]]</f>
        <v>4.8592746747026158E-5</v>
      </c>
      <c r="AK416" s="67">
        <f>Integrated[[#This Row],[Flu Deaths 55 to 64 years]]/Integrated[[#This Row],[Population 55 to 64 years]]</f>
        <v>1.0648567728777093E-4</v>
      </c>
      <c r="AL416" s="67">
        <f>Integrated[[#This Row],[Flu Deaths 65 to 74 years]]/Integrated[[#This Row],[Population 65 to 74 years]]</f>
        <v>2.2683796545127751E-4</v>
      </c>
      <c r="AM416" s="67">
        <f>Integrated[[#This Row],[Flu Deaths 75 to 84 years]]/Integrated[[#This Row],[Population 75 to 84 years]]</f>
        <v>5.871341404682835E-4</v>
      </c>
      <c r="AN416" s="67">
        <f>Integrated[[#This Row],[Flu Deaths 85+ years]]/Integrated[[#This Row],[Population 85+ years]]</f>
        <v>2.1157312787923217E-3</v>
      </c>
      <c r="AO416" s="68">
        <f>Integrated[[#This Row],[Total Flu Deaths]]/Integrated[[#This Row],[Total population]]</f>
        <v>1.5642879554560068E-4</v>
      </c>
    </row>
    <row r="417" spans="1:41" x14ac:dyDescent="0.3">
      <c r="A417" s="44" t="s">
        <v>534</v>
      </c>
      <c r="B417" t="s">
        <v>525</v>
      </c>
      <c r="C417" s="45">
        <v>2015</v>
      </c>
      <c r="D417" s="51">
        <v>19265983</v>
      </c>
      <c r="E417" s="2">
        <v>9408322</v>
      </c>
      <c r="F417" s="2">
        <v>9857664</v>
      </c>
      <c r="G417" s="78">
        <f>Integrated[[#This Row],[Female Total population]]/Integrated[[#This Row],[Total population]]</f>
        <v>0.51166161622793915</v>
      </c>
      <c r="H417" s="2">
        <v>1059215</v>
      </c>
      <c r="I417" s="2">
        <v>2198198</v>
      </c>
      <c r="J417" s="2">
        <v>2436829</v>
      </c>
      <c r="K417" s="2">
        <v>2415106</v>
      </c>
      <c r="L417" s="2">
        <v>2377086</v>
      </c>
      <c r="M417" s="2">
        <v>2697110</v>
      </c>
      <c r="N417" s="2">
        <v>2486540</v>
      </c>
      <c r="O417" s="2">
        <v>1953236</v>
      </c>
      <c r="P417" s="2">
        <v>1152875</v>
      </c>
      <c r="Q417" s="52">
        <v>493015</v>
      </c>
      <c r="R417" s="127">
        <f>Integrated[[#This Row],[Population 85+ years]]/Integrated[[#This Row],[Total population]]</f>
        <v>2.5589921884598361E-2</v>
      </c>
      <c r="S417" s="58">
        <v>120</v>
      </c>
      <c r="T417" s="59">
        <v>60</v>
      </c>
      <c r="U417" s="59">
        <v>60</v>
      </c>
      <c r="V417" s="59">
        <v>60</v>
      </c>
      <c r="W417" s="59">
        <v>91</v>
      </c>
      <c r="X417" s="59">
        <v>60</v>
      </c>
      <c r="Y417" s="59">
        <v>224</v>
      </c>
      <c r="Z417" s="59">
        <v>441</v>
      </c>
      <c r="AA417" s="59">
        <v>733</v>
      </c>
      <c r="AB417" s="59">
        <v>1097</v>
      </c>
      <c r="AC417" s="59">
        <f>VLOOKUP($A417,'[1]Flu Deaths Updated'!$A$2:$N$460,14,FALSE)</f>
        <v>60</v>
      </c>
      <c r="AD417" s="60">
        <f t="shared" si="6"/>
        <v>3006</v>
      </c>
      <c r="AE417" s="66">
        <f>Integrated[[#This Row],[Flu Deaths &lt;5 years old]]/Integrated[[#This Row],[Population &lt;5 years]]</f>
        <v>1.1329144696780162E-4</v>
      </c>
      <c r="AF417" s="67">
        <f>Integrated[[#This Row],[Flu Deaths 5 to 14 years]]/Integrated[[#This Row],[Population 5 to 14 years]]</f>
        <v>2.7295084428245318E-5</v>
      </c>
      <c r="AG417" s="67">
        <f>Integrated[[#This Row],[Flu Deaths 15 to 24 years]]/Integrated[[#This Row],[Population 15 to 24 years]]</f>
        <v>2.4622162654827235E-5</v>
      </c>
      <c r="AH417" s="67">
        <f>Integrated[[#This Row],[Flu Deaths 25 to 34 years]]/Integrated[[#This Row],[Population 25 to 34 years]]</f>
        <v>2.4843630051848654E-5</v>
      </c>
      <c r="AI417" s="67">
        <f>Integrated[[#This Row],[Flu Deaths 35 to 44 years]]/Integrated[[#This Row],[Population 35 to 44 years]]</f>
        <v>2.5240988336139291E-5</v>
      </c>
      <c r="AJ417" s="67">
        <f>Integrated[[#This Row],[Flu Deaths 45 to 54 years]]/Integrated[[#This Row],[Population 45 to 54 years]]</f>
        <v>3.3739817804983852E-5</v>
      </c>
      <c r="AK417" s="67">
        <f>Integrated[[#This Row],[Flu Deaths 55 to 64 years]]/Integrated[[#This Row],[Population 55 to 64 years]]</f>
        <v>9.0085017735487872E-5</v>
      </c>
      <c r="AL417" s="67">
        <f>Integrated[[#This Row],[Flu Deaths 65 to 74 years]]/Integrated[[#This Row],[Population 65 to 74 years]]</f>
        <v>2.2577916851829476E-4</v>
      </c>
      <c r="AM417" s="67">
        <f>Integrated[[#This Row],[Flu Deaths 75 to 84 years]]/Integrated[[#This Row],[Population 75 to 84 years]]</f>
        <v>6.3580179984820554E-4</v>
      </c>
      <c r="AN417" s="67">
        <f>Integrated[[#This Row],[Flu Deaths 85+ years]]/Integrated[[#This Row],[Population 85+ years]]</f>
        <v>2.2250844294798332E-3</v>
      </c>
      <c r="AO417" s="68">
        <f>Integrated[[#This Row],[Total Flu Deaths]]/Integrated[[#This Row],[Total population]]</f>
        <v>1.5602629774976964E-4</v>
      </c>
    </row>
    <row r="418" spans="1:41" x14ac:dyDescent="0.3">
      <c r="A418" s="44" t="s">
        <v>457</v>
      </c>
      <c r="B418" t="s">
        <v>431</v>
      </c>
      <c r="C418" s="45">
        <v>2012</v>
      </c>
      <c r="D418" s="51">
        <v>12694655</v>
      </c>
      <c r="E418" s="2">
        <v>6225969</v>
      </c>
      <c r="F418" s="2">
        <v>6468690</v>
      </c>
      <c r="G418" s="78">
        <f>Integrated[[#This Row],[Female Total population]]/Integrated[[#This Row],[Total population]]</f>
        <v>0.50956012589550481</v>
      </c>
      <c r="H418" s="2">
        <v>826486</v>
      </c>
      <c r="I418" s="2">
        <v>1715423</v>
      </c>
      <c r="J418" s="2">
        <v>1779817</v>
      </c>
      <c r="K418" s="2">
        <v>1759772</v>
      </c>
      <c r="L418" s="2">
        <v>1715811</v>
      </c>
      <c r="M418" s="2">
        <v>1835989</v>
      </c>
      <c r="N418" s="2">
        <v>1462322</v>
      </c>
      <c r="O418" s="2">
        <v>848746</v>
      </c>
      <c r="P418" s="2">
        <v>523020</v>
      </c>
      <c r="Q418" s="52">
        <v>232382</v>
      </c>
      <c r="R418" s="127">
        <f>Integrated[[#This Row],[Population 85+ years]]/Integrated[[#This Row],[Total population]]</f>
        <v>1.8305499440512563E-2</v>
      </c>
      <c r="S418" s="58">
        <v>120</v>
      </c>
      <c r="T418" s="59">
        <v>60</v>
      </c>
      <c r="U418" s="59">
        <v>60</v>
      </c>
      <c r="V418" s="59">
        <v>60</v>
      </c>
      <c r="W418" s="59">
        <v>78</v>
      </c>
      <c r="X418" s="59">
        <v>60</v>
      </c>
      <c r="Y418" s="59">
        <v>185</v>
      </c>
      <c r="Z418" s="59">
        <v>292</v>
      </c>
      <c r="AA418" s="59">
        <v>559</v>
      </c>
      <c r="AB418" s="59">
        <v>1132</v>
      </c>
      <c r="AC418" s="59">
        <f>VLOOKUP($A418,'[1]Flu Deaths Updated'!$A$2:$N$460,14,FALSE)</f>
        <v>60</v>
      </c>
      <c r="AD418" s="60">
        <f t="shared" si="6"/>
        <v>2666</v>
      </c>
      <c r="AE418" s="66">
        <f>Integrated[[#This Row],[Flu Deaths &lt;5 years old]]/Integrated[[#This Row],[Population &lt;5 years]]</f>
        <v>1.4519302202336155E-4</v>
      </c>
      <c r="AF418" s="67">
        <f>Integrated[[#This Row],[Flu Deaths 5 to 14 years]]/Integrated[[#This Row],[Population 5 to 14 years]]</f>
        <v>3.4976795810712574E-5</v>
      </c>
      <c r="AG418" s="67">
        <f>Integrated[[#This Row],[Flu Deaths 15 to 24 years]]/Integrated[[#This Row],[Population 15 to 24 years]]</f>
        <v>3.3711330996388951E-5</v>
      </c>
      <c r="AH418" s="67">
        <f>Integrated[[#This Row],[Flu Deaths 25 to 34 years]]/Integrated[[#This Row],[Population 25 to 34 years]]</f>
        <v>3.4095325985411744E-5</v>
      </c>
      <c r="AI418" s="67">
        <f>Integrated[[#This Row],[Flu Deaths 35 to 44 years]]/Integrated[[#This Row],[Population 35 to 44 years]]</f>
        <v>3.4968886433295975E-5</v>
      </c>
      <c r="AJ418" s="67">
        <f>Integrated[[#This Row],[Flu Deaths 45 to 54 years]]/Integrated[[#This Row],[Population 45 to 54 years]]</f>
        <v>4.2483914663976747E-5</v>
      </c>
      <c r="AK418" s="67">
        <f>Integrated[[#This Row],[Flu Deaths 55 to 64 years]]/Integrated[[#This Row],[Population 55 to 64 years]]</f>
        <v>1.2651112408894894E-4</v>
      </c>
      <c r="AL418" s="67">
        <f>Integrated[[#This Row],[Flu Deaths 65 to 74 years]]/Integrated[[#This Row],[Population 65 to 74 years]]</f>
        <v>3.4403696747908088E-4</v>
      </c>
      <c r="AM418" s="67">
        <f>Integrated[[#This Row],[Flu Deaths 75 to 84 years]]/Integrated[[#This Row],[Population 75 to 84 years]]</f>
        <v>1.0687927803908071E-3</v>
      </c>
      <c r="AN418" s="67">
        <f>Integrated[[#This Row],[Flu Deaths 85+ years]]/Integrated[[#This Row],[Population 85+ years]]</f>
        <v>4.8712895146784171E-3</v>
      </c>
      <c r="AO418" s="68">
        <f>Integrated[[#This Row],[Total Flu Deaths]]/Integrated[[#This Row],[Total population]]</f>
        <v>2.1000964579187068E-4</v>
      </c>
    </row>
    <row r="419" spans="1:41" x14ac:dyDescent="0.3">
      <c r="A419" s="44" t="s">
        <v>361</v>
      </c>
      <c r="B419" t="s">
        <v>362</v>
      </c>
      <c r="C419" s="45">
        <v>2015</v>
      </c>
      <c r="D419" s="51">
        <v>10950600</v>
      </c>
      <c r="E419" s="2">
        <v>5352286</v>
      </c>
      <c r="F419" s="2">
        <v>5598314</v>
      </c>
      <c r="G419" s="78">
        <f>Integrated[[#This Row],[Female Total population]]/Integrated[[#This Row],[Total population]]</f>
        <v>0.51123353971471885</v>
      </c>
      <c r="H419" s="2">
        <v>659854</v>
      </c>
      <c r="I419" s="2">
        <v>1407488</v>
      </c>
      <c r="J419" s="2">
        <v>1478806</v>
      </c>
      <c r="K419" s="2">
        <v>1380409</v>
      </c>
      <c r="L419" s="2">
        <v>1350071</v>
      </c>
      <c r="M419" s="2">
        <v>1550694</v>
      </c>
      <c r="N419" s="2">
        <v>1469252</v>
      </c>
      <c r="O419" s="2">
        <v>909332</v>
      </c>
      <c r="P419" s="2">
        <v>508592</v>
      </c>
      <c r="Q419" s="52">
        <v>235148</v>
      </c>
      <c r="R419" s="127">
        <f>Integrated[[#This Row],[Population 85+ years]]/Integrated[[#This Row],[Total population]]</f>
        <v>2.1473526564754444E-2</v>
      </c>
      <c r="S419" s="58">
        <v>120</v>
      </c>
      <c r="T419" s="59">
        <v>60</v>
      </c>
      <c r="U419" s="59">
        <v>60</v>
      </c>
      <c r="V419" s="59">
        <v>60</v>
      </c>
      <c r="W419" s="59">
        <v>84</v>
      </c>
      <c r="X419" s="59">
        <v>60</v>
      </c>
      <c r="Y419" s="59">
        <v>204</v>
      </c>
      <c r="Z419" s="59">
        <v>361</v>
      </c>
      <c r="AA419" s="59">
        <v>596</v>
      </c>
      <c r="AB419" s="59">
        <v>1136</v>
      </c>
      <c r="AC419" s="59">
        <f>VLOOKUP($A419,'[1]Flu Deaths Updated'!$A$2:$N$460,14,FALSE)</f>
        <v>60</v>
      </c>
      <c r="AD419" s="60">
        <f t="shared" si="6"/>
        <v>2801</v>
      </c>
      <c r="AE419" s="66">
        <f>Integrated[[#This Row],[Flu Deaths &lt;5 years old]]/Integrated[[#This Row],[Population &lt;5 years]]</f>
        <v>1.818584111030622E-4</v>
      </c>
      <c r="AF419" s="67">
        <f>Integrated[[#This Row],[Flu Deaths 5 to 14 years]]/Integrated[[#This Row],[Population 5 to 14 years]]</f>
        <v>4.2629137868315751E-5</v>
      </c>
      <c r="AG419" s="67">
        <f>Integrated[[#This Row],[Flu Deaths 15 to 24 years]]/Integrated[[#This Row],[Population 15 to 24 years]]</f>
        <v>4.0573273302921411E-5</v>
      </c>
      <c r="AH419" s="67">
        <f>Integrated[[#This Row],[Flu Deaths 25 to 34 years]]/Integrated[[#This Row],[Population 25 to 34 years]]</f>
        <v>4.3465378739199756E-5</v>
      </c>
      <c r="AI419" s="67">
        <f>Integrated[[#This Row],[Flu Deaths 35 to 44 years]]/Integrated[[#This Row],[Population 35 to 44 years]]</f>
        <v>4.4442107118810789E-5</v>
      </c>
      <c r="AJ419" s="67">
        <f>Integrated[[#This Row],[Flu Deaths 45 to 54 years]]/Integrated[[#This Row],[Population 45 to 54 years]]</f>
        <v>5.4169294522323551E-5</v>
      </c>
      <c r="AK419" s="67">
        <f>Integrated[[#This Row],[Flu Deaths 55 to 64 years]]/Integrated[[#This Row],[Population 55 to 64 years]]</f>
        <v>1.3884616117589086E-4</v>
      </c>
      <c r="AL419" s="67">
        <f>Integrated[[#This Row],[Flu Deaths 65 to 74 years]]/Integrated[[#This Row],[Population 65 to 74 years]]</f>
        <v>3.9699471700105132E-4</v>
      </c>
      <c r="AM419" s="67">
        <f>Integrated[[#This Row],[Flu Deaths 75 to 84 years]]/Integrated[[#This Row],[Population 75 to 84 years]]</f>
        <v>1.1718627111712335E-3</v>
      </c>
      <c r="AN419" s="67">
        <f>Integrated[[#This Row],[Flu Deaths 85+ years]]/Integrated[[#This Row],[Population 85+ years]]</f>
        <v>4.8310000510316904E-3</v>
      </c>
      <c r="AO419" s="68">
        <f>Integrated[[#This Row],[Total Flu Deaths]]/Integrated[[#This Row],[Total population]]</f>
        <v>2.5578507113765454E-4</v>
      </c>
    </row>
    <row r="420" spans="1:41" x14ac:dyDescent="0.3">
      <c r="A420" s="44" t="s">
        <v>450</v>
      </c>
      <c r="B420" t="s">
        <v>431</v>
      </c>
      <c r="C420" s="45">
        <v>2015</v>
      </c>
      <c r="D420" s="51">
        <v>12515391</v>
      </c>
      <c r="E420" s="2">
        <v>6134951</v>
      </c>
      <c r="F420" s="2">
        <v>6380445</v>
      </c>
      <c r="G420" s="78">
        <f>Integrated[[#This Row],[Female Total population]]/Integrated[[#This Row],[Total population]]</f>
        <v>0.50980788374889763</v>
      </c>
      <c r="H420" s="2">
        <v>784386</v>
      </c>
      <c r="I420" s="2">
        <v>1655846</v>
      </c>
      <c r="J420" s="2">
        <v>1736710</v>
      </c>
      <c r="K420" s="2">
        <v>1744364</v>
      </c>
      <c r="L420" s="2">
        <v>1645056</v>
      </c>
      <c r="M420" s="2">
        <v>1741372</v>
      </c>
      <c r="N420" s="2">
        <v>1536325</v>
      </c>
      <c r="O420" s="2">
        <v>923631</v>
      </c>
      <c r="P420" s="2">
        <v>511232</v>
      </c>
      <c r="Q420" s="52">
        <v>233286</v>
      </c>
      <c r="R420" s="127">
        <f>Integrated[[#This Row],[Population 85+ years]]/Integrated[[#This Row],[Total population]]</f>
        <v>1.8639929028186175E-2</v>
      </c>
      <c r="S420" s="58">
        <v>120</v>
      </c>
      <c r="T420" s="59">
        <v>60</v>
      </c>
      <c r="U420" s="59">
        <v>60</v>
      </c>
      <c r="V420" s="59">
        <v>60</v>
      </c>
      <c r="W420" s="59">
        <v>75</v>
      </c>
      <c r="X420" s="59">
        <v>60</v>
      </c>
      <c r="Y420" s="59">
        <v>194</v>
      </c>
      <c r="Z420" s="59">
        <v>315</v>
      </c>
      <c r="AA420" s="59">
        <v>541</v>
      </c>
      <c r="AB420" s="59">
        <v>1141</v>
      </c>
      <c r="AC420" s="59">
        <f>VLOOKUP($A420,'[1]Flu Deaths Updated'!$A$2:$N$460,14,FALSE)</f>
        <v>60</v>
      </c>
      <c r="AD420" s="60">
        <f t="shared" si="6"/>
        <v>2686</v>
      </c>
      <c r="AE420" s="66">
        <f>Integrated[[#This Row],[Flu Deaths &lt;5 years old]]/Integrated[[#This Row],[Population &lt;5 years]]</f>
        <v>1.5298590234909853E-4</v>
      </c>
      <c r="AF420" s="67">
        <f>Integrated[[#This Row],[Flu Deaths 5 to 14 years]]/Integrated[[#This Row],[Population 5 to 14 years]]</f>
        <v>3.6235253761521298E-5</v>
      </c>
      <c r="AG420" s="67">
        <f>Integrated[[#This Row],[Flu Deaths 15 to 24 years]]/Integrated[[#This Row],[Population 15 to 24 years]]</f>
        <v>3.4548082293532024E-5</v>
      </c>
      <c r="AH420" s="67">
        <f>Integrated[[#This Row],[Flu Deaths 25 to 34 years]]/Integrated[[#This Row],[Population 25 to 34 years]]</f>
        <v>3.4396490640714899E-5</v>
      </c>
      <c r="AI420" s="67">
        <f>Integrated[[#This Row],[Flu Deaths 35 to 44 years]]/Integrated[[#This Row],[Population 35 to 44 years]]</f>
        <v>3.6472922502334266E-5</v>
      </c>
      <c r="AJ420" s="67">
        <f>Integrated[[#This Row],[Flu Deaths 45 to 54 years]]/Integrated[[#This Row],[Population 45 to 54 years]]</f>
        <v>4.3069487737255454E-5</v>
      </c>
      <c r="AK420" s="67">
        <f>Integrated[[#This Row],[Flu Deaths 55 to 64 years]]/Integrated[[#This Row],[Population 55 to 64 years]]</f>
        <v>1.2627536491302297E-4</v>
      </c>
      <c r="AL420" s="67">
        <f>Integrated[[#This Row],[Flu Deaths 65 to 74 years]]/Integrated[[#This Row],[Population 65 to 74 years]]</f>
        <v>3.4104528756613843E-4</v>
      </c>
      <c r="AM420" s="67">
        <f>Integrated[[#This Row],[Flu Deaths 75 to 84 years]]/Integrated[[#This Row],[Population 75 to 84 years]]</f>
        <v>1.0582279669504257E-3</v>
      </c>
      <c r="AN420" s="67">
        <f>Integrated[[#This Row],[Flu Deaths 85+ years]]/Integrated[[#This Row],[Population 85+ years]]</f>
        <v>4.8909921726978901E-3</v>
      </c>
      <c r="AO420" s="68">
        <f>Integrated[[#This Row],[Total Flu Deaths]]/Integrated[[#This Row],[Total population]]</f>
        <v>2.1461574792189873E-4</v>
      </c>
    </row>
    <row r="421" spans="1:41" x14ac:dyDescent="0.3">
      <c r="A421" s="44" t="s">
        <v>530</v>
      </c>
      <c r="B421" t="s">
        <v>525</v>
      </c>
      <c r="C421" s="45">
        <v>2013</v>
      </c>
      <c r="D421" s="51">
        <v>18717422</v>
      </c>
      <c r="E421" s="2">
        <v>9147015</v>
      </c>
      <c r="F421" s="2">
        <v>9570409</v>
      </c>
      <c r="G421" s="78">
        <f>Integrated[[#This Row],[Female Total population]]/Integrated[[#This Row],[Total population]]</f>
        <v>0.51131021141693556</v>
      </c>
      <c r="H421" s="2">
        <v>1056856</v>
      </c>
      <c r="I421" s="2">
        <v>2178873</v>
      </c>
      <c r="J421" s="2">
        <v>2436581</v>
      </c>
      <c r="K421" s="2">
        <v>2308333</v>
      </c>
      <c r="L421" s="2">
        <v>2377171</v>
      </c>
      <c r="M421" s="2">
        <v>2687924</v>
      </c>
      <c r="N421" s="2">
        <v>2356385</v>
      </c>
      <c r="O421" s="2">
        <v>1769839</v>
      </c>
      <c r="P421" s="2">
        <v>1087998</v>
      </c>
      <c r="Q421" s="52">
        <v>456260</v>
      </c>
      <c r="R421" s="127">
        <f>Integrated[[#This Row],[Population 85+ years]]/Integrated[[#This Row],[Total population]]</f>
        <v>2.437622018673298E-2</v>
      </c>
      <c r="S421" s="58">
        <v>120</v>
      </c>
      <c r="T421" s="59">
        <v>60</v>
      </c>
      <c r="U421" s="59">
        <v>60</v>
      </c>
      <c r="V421" s="59">
        <v>68</v>
      </c>
      <c r="W421" s="59">
        <v>135</v>
      </c>
      <c r="X421" s="59">
        <v>60</v>
      </c>
      <c r="Y421" s="59">
        <v>278</v>
      </c>
      <c r="Z421" s="59">
        <v>374</v>
      </c>
      <c r="AA421" s="59">
        <v>609</v>
      </c>
      <c r="AB421" s="59">
        <v>1153</v>
      </c>
      <c r="AC421" s="59">
        <f>VLOOKUP($A421,'[1]Flu Deaths Updated'!$A$2:$N$460,14,FALSE)</f>
        <v>60</v>
      </c>
      <c r="AD421" s="60">
        <f t="shared" si="6"/>
        <v>2977</v>
      </c>
      <c r="AE421" s="66">
        <f>Integrated[[#This Row],[Flu Deaths &lt;5 years old]]/Integrated[[#This Row],[Population &lt;5 years]]</f>
        <v>1.1354432391924728E-4</v>
      </c>
      <c r="AF421" s="67">
        <f>Integrated[[#This Row],[Flu Deaths 5 to 14 years]]/Integrated[[#This Row],[Population 5 to 14 years]]</f>
        <v>2.7537171739702131E-5</v>
      </c>
      <c r="AG421" s="67">
        <f>Integrated[[#This Row],[Flu Deaths 15 to 24 years]]/Integrated[[#This Row],[Population 15 to 24 years]]</f>
        <v>2.462466874690396E-5</v>
      </c>
      <c r="AH421" s="67">
        <f>Integrated[[#This Row],[Flu Deaths 25 to 34 years]]/Integrated[[#This Row],[Population 25 to 34 years]]</f>
        <v>2.5992783536864047E-5</v>
      </c>
      <c r="AI421" s="67">
        <f>Integrated[[#This Row],[Flu Deaths 35 to 44 years]]/Integrated[[#This Row],[Population 35 to 44 years]]</f>
        <v>2.8605430572726993E-5</v>
      </c>
      <c r="AJ421" s="67">
        <f>Integrated[[#This Row],[Flu Deaths 45 to 54 years]]/Integrated[[#This Row],[Population 45 to 54 years]]</f>
        <v>5.0224634327458661E-5</v>
      </c>
      <c r="AK421" s="67">
        <f>Integrated[[#This Row],[Flu Deaths 55 to 64 years]]/Integrated[[#This Row],[Population 55 to 64 years]]</f>
        <v>1.1797732543705718E-4</v>
      </c>
      <c r="AL421" s="67">
        <f>Integrated[[#This Row],[Flu Deaths 65 to 74 years]]/Integrated[[#This Row],[Population 65 to 74 years]]</f>
        <v>2.1131865666877044E-4</v>
      </c>
      <c r="AM421" s="67">
        <f>Integrated[[#This Row],[Flu Deaths 75 to 84 years]]/Integrated[[#This Row],[Population 75 to 84 years]]</f>
        <v>5.5974367599940437E-4</v>
      </c>
      <c r="AN421" s="67">
        <f>Integrated[[#This Row],[Flu Deaths 85+ years]]/Integrated[[#This Row],[Population 85+ years]]</f>
        <v>2.5270678998816462E-3</v>
      </c>
      <c r="AO421" s="68">
        <f>Integrated[[#This Row],[Total Flu Deaths]]/Integrated[[#This Row],[Total population]]</f>
        <v>1.590496810939028E-4</v>
      </c>
    </row>
    <row r="422" spans="1:41" x14ac:dyDescent="0.3">
      <c r="A422" s="44" t="s">
        <v>454</v>
      </c>
      <c r="B422" t="s">
        <v>431</v>
      </c>
      <c r="C422" s="45">
        <v>2009</v>
      </c>
      <c r="D422" s="51">
        <v>12785043</v>
      </c>
      <c r="E422" s="2">
        <v>6291709</v>
      </c>
      <c r="F422" s="2">
        <v>6493337</v>
      </c>
      <c r="G422" s="78">
        <f>Integrated[[#This Row],[Female Total population]]/Integrated[[#This Row],[Total population]]</f>
        <v>0.50788542518003266</v>
      </c>
      <c r="H422" s="2">
        <v>892489</v>
      </c>
      <c r="I422" s="2">
        <v>1755194</v>
      </c>
      <c r="J422" s="2">
        <v>1831425</v>
      </c>
      <c r="K422" s="2">
        <v>1758741</v>
      </c>
      <c r="L422" s="2">
        <v>1815967</v>
      </c>
      <c r="M422" s="2">
        <v>1851144</v>
      </c>
      <c r="N422" s="2">
        <v>1329761</v>
      </c>
      <c r="O422" s="2">
        <v>795922</v>
      </c>
      <c r="P422" s="2">
        <v>533853</v>
      </c>
      <c r="Q422" s="52">
        <v>220660</v>
      </c>
      <c r="R422" s="127">
        <f>Integrated[[#This Row],[Population 85+ years]]/Integrated[[#This Row],[Total population]]</f>
        <v>1.7259230180140965E-2</v>
      </c>
      <c r="S422" s="58">
        <v>120</v>
      </c>
      <c r="T422" s="59">
        <v>60</v>
      </c>
      <c r="U422" s="59">
        <v>60</v>
      </c>
      <c r="V422" s="59">
        <v>72</v>
      </c>
      <c r="W422" s="59">
        <v>102</v>
      </c>
      <c r="X422" s="59">
        <v>60</v>
      </c>
      <c r="Y422" s="59">
        <v>173</v>
      </c>
      <c r="Z422" s="59">
        <v>263</v>
      </c>
      <c r="AA422" s="59">
        <v>589</v>
      </c>
      <c r="AB422" s="59">
        <v>1154</v>
      </c>
      <c r="AC422" s="59">
        <f>VLOOKUP($A422,'[1]Flu Deaths Updated'!$A$2:$N$460,14,FALSE)</f>
        <v>60</v>
      </c>
      <c r="AD422" s="60">
        <f t="shared" si="6"/>
        <v>2713</v>
      </c>
      <c r="AE422" s="66">
        <f>Integrated[[#This Row],[Flu Deaths &lt;5 years old]]/Integrated[[#This Row],[Population &lt;5 years]]</f>
        <v>1.3445543866647097E-4</v>
      </c>
      <c r="AF422" s="67">
        <f>Integrated[[#This Row],[Flu Deaths 5 to 14 years]]/Integrated[[#This Row],[Population 5 to 14 years]]</f>
        <v>3.4184255415640667E-5</v>
      </c>
      <c r="AG422" s="67">
        <f>Integrated[[#This Row],[Flu Deaths 15 to 24 years]]/Integrated[[#This Row],[Population 15 to 24 years]]</f>
        <v>3.2761374339653547E-5</v>
      </c>
      <c r="AH422" s="67">
        <f>Integrated[[#This Row],[Flu Deaths 25 to 34 years]]/Integrated[[#This Row],[Population 25 to 34 years]]</f>
        <v>3.411531317004607E-5</v>
      </c>
      <c r="AI422" s="67">
        <f>Integrated[[#This Row],[Flu Deaths 35 to 44 years]]/Integrated[[#This Row],[Population 35 to 44 years]]</f>
        <v>3.9648297573689387E-5</v>
      </c>
      <c r="AJ422" s="67">
        <f>Integrated[[#This Row],[Flu Deaths 45 to 54 years]]/Integrated[[#This Row],[Population 45 to 54 years]]</f>
        <v>5.5101061829873849E-5</v>
      </c>
      <c r="AK422" s="67">
        <f>Integrated[[#This Row],[Flu Deaths 55 to 64 years]]/Integrated[[#This Row],[Population 55 to 64 years]]</f>
        <v>1.3009856658452158E-4</v>
      </c>
      <c r="AL422" s="67">
        <f>Integrated[[#This Row],[Flu Deaths 65 to 74 years]]/Integrated[[#This Row],[Population 65 to 74 years]]</f>
        <v>3.3043438929945395E-4</v>
      </c>
      <c r="AM422" s="67">
        <f>Integrated[[#This Row],[Flu Deaths 75 to 84 years]]/Integrated[[#This Row],[Population 75 to 84 years]]</f>
        <v>1.1032999720896951E-3</v>
      </c>
      <c r="AN422" s="67">
        <f>Integrated[[#This Row],[Flu Deaths 85+ years]]/Integrated[[#This Row],[Population 85+ years]]</f>
        <v>5.229765249705429E-3</v>
      </c>
      <c r="AO422" s="68">
        <f>Integrated[[#This Row],[Total Flu Deaths]]/Integrated[[#This Row],[Total population]]</f>
        <v>2.1220108528379608E-4</v>
      </c>
    </row>
    <row r="423" spans="1:41" x14ac:dyDescent="0.3">
      <c r="A423" s="44" t="s">
        <v>442</v>
      </c>
      <c r="B423" t="s">
        <v>431</v>
      </c>
      <c r="C423" s="45">
        <v>2011</v>
      </c>
      <c r="D423" s="51">
        <v>12597899</v>
      </c>
      <c r="E423" s="2">
        <v>6176101</v>
      </c>
      <c r="F423" s="2">
        <v>6421800</v>
      </c>
      <c r="G423" s="78">
        <f>Integrated[[#This Row],[Female Total population]]/Integrated[[#This Row],[Total population]]</f>
        <v>0.5097516657341038</v>
      </c>
      <c r="H423" s="2">
        <v>827171</v>
      </c>
      <c r="I423" s="2">
        <v>1716661</v>
      </c>
      <c r="J423" s="2">
        <v>1778834</v>
      </c>
      <c r="K423" s="2">
        <v>1742777</v>
      </c>
      <c r="L423" s="2">
        <v>1728255</v>
      </c>
      <c r="M423" s="2">
        <v>1828728</v>
      </c>
      <c r="N423" s="2">
        <v>1408315</v>
      </c>
      <c r="O423" s="2">
        <v>817965</v>
      </c>
      <c r="P423" s="2">
        <v>517633</v>
      </c>
      <c r="Q423" s="52">
        <v>224669</v>
      </c>
      <c r="R423" s="127">
        <f>Integrated[[#This Row],[Population 85+ years]]/Integrated[[#This Row],[Total population]]</f>
        <v>1.7833846739047518E-2</v>
      </c>
      <c r="S423" s="58">
        <v>120</v>
      </c>
      <c r="T423" s="59">
        <v>60</v>
      </c>
      <c r="U423" s="59">
        <v>60</v>
      </c>
      <c r="V423" s="59">
        <v>60</v>
      </c>
      <c r="W423" s="59">
        <v>81</v>
      </c>
      <c r="X423" s="59">
        <v>60</v>
      </c>
      <c r="Y423" s="59">
        <v>201</v>
      </c>
      <c r="Z423" s="59">
        <v>256</v>
      </c>
      <c r="AA423" s="59">
        <v>625</v>
      </c>
      <c r="AB423" s="59">
        <v>1168</v>
      </c>
      <c r="AC423" s="59">
        <f>VLOOKUP($A423,'[1]Flu Deaths Updated'!$A$2:$N$460,14,FALSE)</f>
        <v>60</v>
      </c>
      <c r="AD423" s="60">
        <f t="shared" si="6"/>
        <v>2751</v>
      </c>
      <c r="AE423" s="66">
        <f>Integrated[[#This Row],[Flu Deaths &lt;5 years old]]/Integrated[[#This Row],[Population &lt;5 years]]</f>
        <v>1.4507278422478545E-4</v>
      </c>
      <c r="AF423" s="67">
        <f>Integrated[[#This Row],[Flu Deaths 5 to 14 years]]/Integrated[[#This Row],[Population 5 to 14 years]]</f>
        <v>3.4951571684799737E-5</v>
      </c>
      <c r="AG423" s="67">
        <f>Integrated[[#This Row],[Flu Deaths 15 to 24 years]]/Integrated[[#This Row],[Population 15 to 24 years]]</f>
        <v>3.3729960187403656E-5</v>
      </c>
      <c r="AH423" s="67">
        <f>Integrated[[#This Row],[Flu Deaths 25 to 34 years]]/Integrated[[#This Row],[Population 25 to 34 years]]</f>
        <v>3.4427812623187017E-5</v>
      </c>
      <c r="AI423" s="67">
        <f>Integrated[[#This Row],[Flu Deaths 35 to 44 years]]/Integrated[[#This Row],[Population 35 to 44 years]]</f>
        <v>3.4717099039204287E-5</v>
      </c>
      <c r="AJ423" s="67">
        <f>Integrated[[#This Row],[Flu Deaths 45 to 54 years]]/Integrated[[#This Row],[Population 45 to 54 years]]</f>
        <v>4.4293082404819091E-5</v>
      </c>
      <c r="AK423" s="67">
        <f>Integrated[[#This Row],[Flu Deaths 55 to 64 years]]/Integrated[[#This Row],[Population 55 to 64 years]]</f>
        <v>1.427237514334506E-4</v>
      </c>
      <c r="AL423" s="67">
        <f>Integrated[[#This Row],[Flu Deaths 65 to 74 years]]/Integrated[[#This Row],[Population 65 to 74 years]]</f>
        <v>3.1297182642289095E-4</v>
      </c>
      <c r="AM423" s="67">
        <f>Integrated[[#This Row],[Flu Deaths 75 to 84 years]]/Integrated[[#This Row],[Population 75 to 84 years]]</f>
        <v>1.2074191560429879E-3</v>
      </c>
      <c r="AN423" s="67">
        <f>Integrated[[#This Row],[Flu Deaths 85+ years]]/Integrated[[#This Row],[Population 85+ years]]</f>
        <v>5.1987590633331702E-3</v>
      </c>
      <c r="AO423" s="68">
        <f>Integrated[[#This Row],[Total Flu Deaths]]/Integrated[[#This Row],[Total population]]</f>
        <v>2.1836974562186917E-4</v>
      </c>
    </row>
    <row r="424" spans="1:41" x14ac:dyDescent="0.3">
      <c r="A424" s="44" t="s">
        <v>452</v>
      </c>
      <c r="B424" t="s">
        <v>348</v>
      </c>
      <c r="C424" s="45">
        <v>2010</v>
      </c>
      <c r="D424" s="51">
        <v>12554832</v>
      </c>
      <c r="E424" s="2">
        <v>6110665</v>
      </c>
      <c r="F424" s="2">
        <v>6444167</v>
      </c>
      <c r="G424" s="78">
        <f>Integrated[[#This Row],[Female Total population]]/Integrated[[#This Row],[Total population]]</f>
        <v>0.51328181850621335</v>
      </c>
      <c r="H424" s="2">
        <v>725505</v>
      </c>
      <c r="I424" s="2">
        <v>1554386</v>
      </c>
      <c r="J424" s="2">
        <v>1753419</v>
      </c>
      <c r="K424" s="2">
        <v>1478767</v>
      </c>
      <c r="L424" s="2">
        <v>1683562</v>
      </c>
      <c r="M424" s="2">
        <v>1923692</v>
      </c>
      <c r="N424" s="2">
        <v>1517231</v>
      </c>
      <c r="O424" s="2">
        <v>937120</v>
      </c>
      <c r="P424" s="2">
        <v>696313</v>
      </c>
      <c r="Q424" s="52">
        <v>286517</v>
      </c>
      <c r="R424" s="127">
        <f>Integrated[[#This Row],[Population 85+ years]]/Integrated[[#This Row],[Total population]]</f>
        <v>2.2821253203547446E-2</v>
      </c>
      <c r="S424" s="58">
        <v>120</v>
      </c>
      <c r="T424" s="59">
        <v>60</v>
      </c>
      <c r="U424" s="59">
        <v>60</v>
      </c>
      <c r="V424" s="59">
        <v>60</v>
      </c>
      <c r="W424" s="59">
        <v>67</v>
      </c>
      <c r="X424" s="59">
        <v>60</v>
      </c>
      <c r="Y424" s="59">
        <v>135</v>
      </c>
      <c r="Z424" s="59">
        <v>256</v>
      </c>
      <c r="AA424" s="59">
        <v>615</v>
      </c>
      <c r="AB424" s="59">
        <v>1176</v>
      </c>
      <c r="AC424" s="59">
        <f>VLOOKUP($A424,'[1]Flu Deaths Updated'!$A$2:$N$460,14,FALSE)</f>
        <v>60</v>
      </c>
      <c r="AD424" s="60">
        <f t="shared" si="6"/>
        <v>2669</v>
      </c>
      <c r="AE424" s="66">
        <f>Integrated[[#This Row],[Flu Deaths &lt;5 years old]]/Integrated[[#This Row],[Population &lt;5 years]]</f>
        <v>1.6540203030992207E-4</v>
      </c>
      <c r="AF424" s="67">
        <f>Integrated[[#This Row],[Flu Deaths 5 to 14 years]]/Integrated[[#This Row],[Population 5 to 14 years]]</f>
        <v>3.8600450595926622E-5</v>
      </c>
      <c r="AG424" s="67">
        <f>Integrated[[#This Row],[Flu Deaths 15 to 24 years]]/Integrated[[#This Row],[Population 15 to 24 years]]</f>
        <v>3.4218860409291791E-5</v>
      </c>
      <c r="AH424" s="67">
        <f>Integrated[[#This Row],[Flu Deaths 25 to 34 years]]/Integrated[[#This Row],[Population 25 to 34 years]]</f>
        <v>4.0574343354970732E-5</v>
      </c>
      <c r="AI424" s="67">
        <f>Integrated[[#This Row],[Flu Deaths 35 to 44 years]]/Integrated[[#This Row],[Population 35 to 44 years]]</f>
        <v>3.5638723135827491E-5</v>
      </c>
      <c r="AJ424" s="67">
        <f>Integrated[[#This Row],[Flu Deaths 45 to 54 years]]/Integrated[[#This Row],[Population 45 to 54 years]]</f>
        <v>3.4828860337309714E-5</v>
      </c>
      <c r="AK424" s="67">
        <f>Integrated[[#This Row],[Flu Deaths 55 to 64 years]]/Integrated[[#This Row],[Population 55 to 64 years]]</f>
        <v>8.8977881416870601E-5</v>
      </c>
      <c r="AL424" s="67">
        <f>Integrated[[#This Row],[Flu Deaths 65 to 74 years]]/Integrated[[#This Row],[Population 65 to 74 years]]</f>
        <v>2.7317739457059927E-4</v>
      </c>
      <c r="AM424" s="67">
        <f>Integrated[[#This Row],[Flu Deaths 75 to 84 years]]/Integrated[[#This Row],[Population 75 to 84 years]]</f>
        <v>8.8322349288322928E-4</v>
      </c>
      <c r="AN424" s="67">
        <f>Integrated[[#This Row],[Flu Deaths 85+ years]]/Integrated[[#This Row],[Population 85+ years]]</f>
        <v>4.1044684957611587E-3</v>
      </c>
      <c r="AO424" s="68">
        <f>Integrated[[#This Row],[Total Flu Deaths]]/Integrated[[#This Row],[Total population]]</f>
        <v>2.1258747229751859E-4</v>
      </c>
    </row>
    <row r="425" spans="1:41" x14ac:dyDescent="0.3">
      <c r="A425" s="44" t="s">
        <v>539</v>
      </c>
      <c r="B425" t="s">
        <v>536</v>
      </c>
      <c r="C425" s="45">
        <v>2014</v>
      </c>
      <c r="D425" s="51">
        <v>25610269</v>
      </c>
      <c r="E425" s="2">
        <v>12706965</v>
      </c>
      <c r="F425" s="2">
        <v>12903313</v>
      </c>
      <c r="G425" s="78">
        <f>Integrated[[#This Row],[Female Total population]]/Integrated[[#This Row],[Total population]]</f>
        <v>0.50383355988958956</v>
      </c>
      <c r="H425" s="2">
        <v>1908506</v>
      </c>
      <c r="I425" s="2">
        <v>3847526</v>
      </c>
      <c r="J425" s="2">
        <v>3743460</v>
      </c>
      <c r="K425" s="2">
        <v>3712338</v>
      </c>
      <c r="L425" s="2">
        <v>3499163</v>
      </c>
      <c r="M425" s="2">
        <v>3392424</v>
      </c>
      <c r="N425" s="2">
        <v>2742983</v>
      </c>
      <c r="O425" s="2">
        <v>1603088</v>
      </c>
      <c r="P425" s="2">
        <v>846068</v>
      </c>
      <c r="Q425" s="52">
        <v>323659</v>
      </c>
      <c r="R425" s="127">
        <f>Integrated[[#This Row],[Population 85+ years]]/Integrated[[#This Row],[Total population]]</f>
        <v>1.2637860227083129E-2</v>
      </c>
      <c r="S425" s="58">
        <v>120</v>
      </c>
      <c r="T425" s="59">
        <v>60</v>
      </c>
      <c r="U425" s="59">
        <v>90</v>
      </c>
      <c r="V425" s="59">
        <v>116</v>
      </c>
      <c r="W425" s="59">
        <v>205</v>
      </c>
      <c r="X425" s="59">
        <v>60</v>
      </c>
      <c r="Y425" s="59">
        <v>458</v>
      </c>
      <c r="Z425" s="59">
        <v>533</v>
      </c>
      <c r="AA425" s="59">
        <v>829</v>
      </c>
      <c r="AB425" s="59">
        <v>1190</v>
      </c>
      <c r="AC425" s="59">
        <f>VLOOKUP($A425,'[1]Flu Deaths Updated'!$A$2:$N$460,14,FALSE)</f>
        <v>60</v>
      </c>
      <c r="AD425" s="60">
        <f t="shared" si="6"/>
        <v>3721</v>
      </c>
      <c r="AE425" s="66">
        <f>Integrated[[#This Row],[Flu Deaths &lt;5 years old]]/Integrated[[#This Row],[Population &lt;5 years]]</f>
        <v>6.2876406990598923E-5</v>
      </c>
      <c r="AF425" s="67">
        <f>Integrated[[#This Row],[Flu Deaths 5 to 14 years]]/Integrated[[#This Row],[Population 5 to 14 years]]</f>
        <v>1.5594436528823976E-5</v>
      </c>
      <c r="AG425" s="67">
        <f>Integrated[[#This Row],[Flu Deaths 15 to 24 years]]/Integrated[[#This Row],[Population 15 to 24 years]]</f>
        <v>1.6027952749595293E-5</v>
      </c>
      <c r="AH425" s="67">
        <f>Integrated[[#This Row],[Flu Deaths 25 to 34 years]]/Integrated[[#This Row],[Population 25 to 34 years]]</f>
        <v>2.4243482139826708E-5</v>
      </c>
      <c r="AI425" s="67">
        <f>Integrated[[#This Row],[Flu Deaths 35 to 44 years]]/Integrated[[#This Row],[Population 35 to 44 years]]</f>
        <v>3.3150784916278552E-5</v>
      </c>
      <c r="AJ425" s="67">
        <f>Integrated[[#This Row],[Flu Deaths 45 to 54 years]]/Integrated[[#This Row],[Population 45 to 54 years]]</f>
        <v>6.042876715882213E-5</v>
      </c>
      <c r="AK425" s="67">
        <f>Integrated[[#This Row],[Flu Deaths 55 to 64 years]]/Integrated[[#This Row],[Population 55 to 64 years]]</f>
        <v>1.6697150510958325E-4</v>
      </c>
      <c r="AL425" s="67">
        <f>Integrated[[#This Row],[Flu Deaths 65 to 74 years]]/Integrated[[#This Row],[Population 65 to 74 years]]</f>
        <v>3.3248330721707107E-4</v>
      </c>
      <c r="AM425" s="67">
        <f>Integrated[[#This Row],[Flu Deaths 75 to 84 years]]/Integrated[[#This Row],[Population 75 to 84 years]]</f>
        <v>9.7982668059777697E-4</v>
      </c>
      <c r="AN425" s="67">
        <f>Integrated[[#This Row],[Flu Deaths 85+ years]]/Integrated[[#This Row],[Population 85+ years]]</f>
        <v>3.6767091290524903E-3</v>
      </c>
      <c r="AO425" s="68">
        <f>Integrated[[#This Row],[Total Flu Deaths]]/Integrated[[#This Row],[Total population]]</f>
        <v>1.4529328059771648E-4</v>
      </c>
    </row>
    <row r="426" spans="1:41" x14ac:dyDescent="0.3">
      <c r="A426" s="44" t="s">
        <v>438</v>
      </c>
      <c r="B426" t="s">
        <v>348</v>
      </c>
      <c r="C426" s="45">
        <v>2016</v>
      </c>
      <c r="D426" s="51">
        <v>12695252</v>
      </c>
      <c r="E426" s="2">
        <v>6209327</v>
      </c>
      <c r="F426" s="2">
        <v>6485925</v>
      </c>
      <c r="G426" s="78">
        <f>Integrated[[#This Row],[Female Total population]]/Integrated[[#This Row],[Total population]]</f>
        <v>0.51089375776077539</v>
      </c>
      <c r="H426" s="2">
        <v>710695</v>
      </c>
      <c r="I426" s="2">
        <v>1501379</v>
      </c>
      <c r="J426" s="2">
        <v>1698786</v>
      </c>
      <c r="K426" s="2">
        <v>1627921</v>
      </c>
      <c r="L426" s="2">
        <v>1507903</v>
      </c>
      <c r="M426" s="2">
        <v>1791602</v>
      </c>
      <c r="N426" s="2">
        <v>1747303</v>
      </c>
      <c r="O426" s="2">
        <v>1141087</v>
      </c>
      <c r="P426" s="2">
        <v>651944</v>
      </c>
      <c r="Q426" s="52">
        <v>321298</v>
      </c>
      <c r="R426" s="127">
        <f>Integrated[[#This Row],[Population 85+ years]]/Integrated[[#This Row],[Total population]]</f>
        <v>2.5308516916403078E-2</v>
      </c>
      <c r="S426" s="58">
        <v>120</v>
      </c>
      <c r="T426" s="59">
        <v>60</v>
      </c>
      <c r="U426" s="59">
        <v>60</v>
      </c>
      <c r="V426" s="59">
        <v>60</v>
      </c>
      <c r="W426" s="59">
        <v>82</v>
      </c>
      <c r="X426" s="59">
        <v>60</v>
      </c>
      <c r="Y426" s="59">
        <v>151</v>
      </c>
      <c r="Z426" s="59">
        <v>356</v>
      </c>
      <c r="AA426" s="59">
        <v>624</v>
      </c>
      <c r="AB426" s="59">
        <v>1191</v>
      </c>
      <c r="AC426" s="59">
        <f>VLOOKUP($A426,'[1]Flu Deaths Updated'!$A$2:$N$460,14,FALSE)</f>
        <v>60</v>
      </c>
      <c r="AD426" s="60">
        <f t="shared" si="6"/>
        <v>2824</v>
      </c>
      <c r="AE426" s="66">
        <f>Integrated[[#This Row],[Flu Deaths &lt;5 years old]]/Integrated[[#This Row],[Population &lt;5 years]]</f>
        <v>1.6884880293234088E-4</v>
      </c>
      <c r="AF426" s="67">
        <f>Integrated[[#This Row],[Flu Deaths 5 to 14 years]]/Integrated[[#This Row],[Population 5 to 14 years]]</f>
        <v>3.996326044256647E-5</v>
      </c>
      <c r="AG426" s="67">
        <f>Integrated[[#This Row],[Flu Deaths 15 to 24 years]]/Integrated[[#This Row],[Population 15 to 24 years]]</f>
        <v>3.5319339810900256E-5</v>
      </c>
      <c r="AH426" s="67">
        <f>Integrated[[#This Row],[Flu Deaths 25 to 34 years]]/Integrated[[#This Row],[Population 25 to 34 years]]</f>
        <v>3.685682536191867E-5</v>
      </c>
      <c r="AI426" s="67">
        <f>Integrated[[#This Row],[Flu Deaths 35 to 44 years]]/Integrated[[#This Row],[Population 35 to 44 years]]</f>
        <v>3.9790357867846939E-5</v>
      </c>
      <c r="AJ426" s="67">
        <f>Integrated[[#This Row],[Flu Deaths 45 to 54 years]]/Integrated[[#This Row],[Population 45 to 54 years]]</f>
        <v>4.5769093805432235E-5</v>
      </c>
      <c r="AK426" s="67">
        <f>Integrated[[#This Row],[Flu Deaths 55 to 64 years]]/Integrated[[#This Row],[Population 55 to 64 years]]</f>
        <v>8.6418898153325433E-5</v>
      </c>
      <c r="AL426" s="67">
        <f>Integrated[[#This Row],[Flu Deaths 65 to 74 years]]/Integrated[[#This Row],[Population 65 to 74 years]]</f>
        <v>3.1198322301454666E-4</v>
      </c>
      <c r="AM426" s="67">
        <f>Integrated[[#This Row],[Flu Deaths 75 to 84 years]]/Integrated[[#This Row],[Population 75 to 84 years]]</f>
        <v>9.5713742284613402E-4</v>
      </c>
      <c r="AN426" s="67">
        <f>Integrated[[#This Row],[Flu Deaths 85+ years]]/Integrated[[#This Row],[Population 85+ years]]</f>
        <v>3.7068391337636711E-3</v>
      </c>
      <c r="AO426" s="68">
        <f>Integrated[[#This Row],[Total Flu Deaths]]/Integrated[[#This Row],[Total population]]</f>
        <v>2.2244536776426337E-4</v>
      </c>
    </row>
    <row r="427" spans="1:41" x14ac:dyDescent="0.3">
      <c r="A427" s="44" t="s">
        <v>441</v>
      </c>
      <c r="B427" t="s">
        <v>431</v>
      </c>
      <c r="C427" s="45">
        <v>2013</v>
      </c>
      <c r="D427" s="51">
        <v>12580258</v>
      </c>
      <c r="E427" s="2">
        <v>6169572</v>
      </c>
      <c r="F427" s="2">
        <v>6410690</v>
      </c>
      <c r="G427" s="78">
        <f>Integrated[[#This Row],[Female Total population]]/Integrated[[#This Row],[Total population]]</f>
        <v>0.50958334876756894</v>
      </c>
      <c r="H427" s="2">
        <v>807337</v>
      </c>
      <c r="I427" s="2">
        <v>1692256</v>
      </c>
      <c r="J427" s="2">
        <v>1760855</v>
      </c>
      <c r="K427" s="2">
        <v>1750916</v>
      </c>
      <c r="L427" s="2">
        <v>1678538</v>
      </c>
      <c r="M427" s="2">
        <v>1801131</v>
      </c>
      <c r="N427" s="2">
        <v>1480408</v>
      </c>
      <c r="O427" s="2">
        <v>865249</v>
      </c>
      <c r="P427" s="2">
        <v>504601</v>
      </c>
      <c r="Q427" s="52">
        <v>233380</v>
      </c>
      <c r="R427" s="127">
        <f>Integrated[[#This Row],[Population 85+ years]]/Integrated[[#This Row],[Total population]]</f>
        <v>1.855128885274054E-2</v>
      </c>
      <c r="S427" s="58">
        <v>120</v>
      </c>
      <c r="T427" s="59">
        <v>60</v>
      </c>
      <c r="U427" s="59">
        <v>60</v>
      </c>
      <c r="V427" s="59">
        <v>60</v>
      </c>
      <c r="W427" s="59">
        <v>65</v>
      </c>
      <c r="X427" s="59">
        <v>60</v>
      </c>
      <c r="Y427" s="59">
        <v>180</v>
      </c>
      <c r="Z427" s="59">
        <v>315</v>
      </c>
      <c r="AA427" s="59">
        <v>600</v>
      </c>
      <c r="AB427" s="59">
        <v>1207</v>
      </c>
      <c r="AC427" s="59">
        <f>VLOOKUP($A427,'[1]Flu Deaths Updated'!$A$2:$N$460,14,FALSE)</f>
        <v>60</v>
      </c>
      <c r="AD427" s="60">
        <f t="shared" si="6"/>
        <v>2787</v>
      </c>
      <c r="AE427" s="66">
        <f>Integrated[[#This Row],[Flu Deaths &lt;5 years old]]/Integrated[[#This Row],[Population &lt;5 years]]</f>
        <v>1.4863681461397161E-4</v>
      </c>
      <c r="AF427" s="67">
        <f>Integrated[[#This Row],[Flu Deaths 5 to 14 years]]/Integrated[[#This Row],[Population 5 to 14 years]]</f>
        <v>3.5455628462833049E-5</v>
      </c>
      <c r="AG427" s="67">
        <f>Integrated[[#This Row],[Flu Deaths 15 to 24 years]]/Integrated[[#This Row],[Population 15 to 24 years]]</f>
        <v>3.4074355923684798E-5</v>
      </c>
      <c r="AH427" s="67">
        <f>Integrated[[#This Row],[Flu Deaths 25 to 34 years]]/Integrated[[#This Row],[Population 25 to 34 years]]</f>
        <v>3.4267777551864281E-5</v>
      </c>
      <c r="AI427" s="67">
        <f>Integrated[[#This Row],[Flu Deaths 35 to 44 years]]/Integrated[[#This Row],[Population 35 to 44 years]]</f>
        <v>3.5745392716757081E-5</v>
      </c>
      <c r="AJ427" s="67">
        <f>Integrated[[#This Row],[Flu Deaths 45 to 54 years]]/Integrated[[#This Row],[Population 45 to 54 years]]</f>
        <v>3.6088435544110893E-5</v>
      </c>
      <c r="AK427" s="67">
        <f>Integrated[[#This Row],[Flu Deaths 55 to 64 years]]/Integrated[[#This Row],[Population 55 to 64 years]]</f>
        <v>1.2158810273924486E-4</v>
      </c>
      <c r="AL427" s="67">
        <f>Integrated[[#This Row],[Flu Deaths 65 to 74 years]]/Integrated[[#This Row],[Population 65 to 74 years]]</f>
        <v>3.6405705178509307E-4</v>
      </c>
      <c r="AM427" s="67">
        <f>Integrated[[#This Row],[Flu Deaths 75 to 84 years]]/Integrated[[#This Row],[Population 75 to 84 years]]</f>
        <v>1.1890582856553991E-3</v>
      </c>
      <c r="AN427" s="67">
        <f>Integrated[[#This Row],[Flu Deaths 85+ years]]/Integrated[[#This Row],[Population 85+ years]]</f>
        <v>5.1718227783014827E-3</v>
      </c>
      <c r="AO427" s="68">
        <f>Integrated[[#This Row],[Total Flu Deaths]]/Integrated[[#This Row],[Total population]]</f>
        <v>2.2153758690799505E-4</v>
      </c>
    </row>
    <row r="428" spans="1:41" x14ac:dyDescent="0.3">
      <c r="A428" s="44" t="s">
        <v>451</v>
      </c>
      <c r="B428" t="s">
        <v>348</v>
      </c>
      <c r="C428" s="45">
        <v>2012</v>
      </c>
      <c r="D428" s="51">
        <v>12620508</v>
      </c>
      <c r="E428" s="2">
        <v>6149753</v>
      </c>
      <c r="F428" s="2">
        <v>6470756</v>
      </c>
      <c r="G428" s="78">
        <f>Integrated[[#This Row],[Female Total population]]/Integrated[[#This Row],[Total population]]</f>
        <v>0.51271755463409241</v>
      </c>
      <c r="H428" s="2">
        <v>722579</v>
      </c>
      <c r="I428" s="2">
        <v>1533944</v>
      </c>
      <c r="J428" s="2">
        <v>1761738</v>
      </c>
      <c r="K428" s="2">
        <v>1513326</v>
      </c>
      <c r="L428" s="2">
        <v>1606615</v>
      </c>
      <c r="M428" s="2">
        <v>1911393</v>
      </c>
      <c r="N428" s="2">
        <v>1614372</v>
      </c>
      <c r="O428" s="2">
        <v>985317</v>
      </c>
      <c r="P428" s="2">
        <v>670706</v>
      </c>
      <c r="Q428" s="52">
        <v>303548</v>
      </c>
      <c r="R428" s="127">
        <f>Integrated[[#This Row],[Population 85+ years]]/Integrated[[#This Row],[Total population]]</f>
        <v>2.405196367689795E-2</v>
      </c>
      <c r="S428" s="58">
        <v>120</v>
      </c>
      <c r="T428" s="59">
        <v>60</v>
      </c>
      <c r="U428" s="59">
        <v>60</v>
      </c>
      <c r="V428" s="59">
        <v>60</v>
      </c>
      <c r="W428" s="59">
        <v>60</v>
      </c>
      <c r="X428" s="59">
        <v>60</v>
      </c>
      <c r="Y428" s="59">
        <v>108</v>
      </c>
      <c r="Z428" s="59">
        <v>258</v>
      </c>
      <c r="AA428" s="59">
        <v>646</v>
      </c>
      <c r="AB428" s="59">
        <v>1208</v>
      </c>
      <c r="AC428" s="59">
        <f>VLOOKUP($A428,'[1]Flu Deaths Updated'!$A$2:$N$460,14,FALSE)</f>
        <v>60</v>
      </c>
      <c r="AD428" s="60">
        <f t="shared" si="6"/>
        <v>2700</v>
      </c>
      <c r="AE428" s="66">
        <f>Integrated[[#This Row],[Flu Deaths &lt;5 years old]]/Integrated[[#This Row],[Population &lt;5 years]]</f>
        <v>1.6607180668134556E-4</v>
      </c>
      <c r="AF428" s="67">
        <f>Integrated[[#This Row],[Flu Deaths 5 to 14 years]]/Integrated[[#This Row],[Population 5 to 14 years]]</f>
        <v>3.9114856865700442E-5</v>
      </c>
      <c r="AG428" s="67">
        <f>Integrated[[#This Row],[Flu Deaths 15 to 24 years]]/Integrated[[#This Row],[Population 15 to 24 years]]</f>
        <v>3.4057277529348857E-5</v>
      </c>
      <c r="AH428" s="67">
        <f>Integrated[[#This Row],[Flu Deaths 25 to 34 years]]/Integrated[[#This Row],[Population 25 to 34 years]]</f>
        <v>3.9647769218264932E-5</v>
      </c>
      <c r="AI428" s="67">
        <f>Integrated[[#This Row],[Flu Deaths 35 to 44 years]]/Integrated[[#This Row],[Population 35 to 44 years]]</f>
        <v>3.7345599287943905E-5</v>
      </c>
      <c r="AJ428" s="67">
        <f>Integrated[[#This Row],[Flu Deaths 45 to 54 years]]/Integrated[[#This Row],[Population 45 to 54 years]]</f>
        <v>3.139071870620014E-5</v>
      </c>
      <c r="AK428" s="67">
        <f>Integrated[[#This Row],[Flu Deaths 55 to 64 years]]/Integrated[[#This Row],[Population 55 to 64 years]]</f>
        <v>6.6899079022678793E-5</v>
      </c>
      <c r="AL428" s="67">
        <f>Integrated[[#This Row],[Flu Deaths 65 to 74 years]]/Integrated[[#This Row],[Population 65 to 74 years]]</f>
        <v>2.6184466521941667E-4</v>
      </c>
      <c r="AM428" s="67">
        <f>Integrated[[#This Row],[Flu Deaths 75 to 84 years]]/Integrated[[#This Row],[Population 75 to 84 years]]</f>
        <v>9.6316418818379436E-4</v>
      </c>
      <c r="AN428" s="67">
        <f>Integrated[[#This Row],[Flu Deaths 85+ years]]/Integrated[[#This Row],[Population 85+ years]]</f>
        <v>3.9796012492258224E-3</v>
      </c>
      <c r="AO428" s="68">
        <f>Integrated[[#This Row],[Total Flu Deaths]]/Integrated[[#This Row],[Total population]]</f>
        <v>2.1393750552671888E-4</v>
      </c>
    </row>
    <row r="429" spans="1:41" x14ac:dyDescent="0.3">
      <c r="A429" s="44" t="s">
        <v>546</v>
      </c>
      <c r="B429" t="s">
        <v>536</v>
      </c>
      <c r="C429" s="45">
        <v>2012</v>
      </c>
      <c r="D429" s="51">
        <v>24742428</v>
      </c>
      <c r="E429" s="2">
        <v>12272136</v>
      </c>
      <c r="F429" s="2">
        <v>12470298</v>
      </c>
      <c r="G429" s="78">
        <f>Integrated[[#This Row],[Female Total population]]/Integrated[[#This Row],[Total population]]</f>
        <v>0.5040046191101375</v>
      </c>
      <c r="H429" s="2">
        <v>1895731</v>
      </c>
      <c r="I429" s="2">
        <v>3724341</v>
      </c>
      <c r="J429" s="2">
        <v>3657178</v>
      </c>
      <c r="K429" s="2">
        <v>3566200</v>
      </c>
      <c r="L429" s="2">
        <v>3418976</v>
      </c>
      <c r="M429" s="2">
        <v>3350430</v>
      </c>
      <c r="N429" s="2">
        <v>2560671</v>
      </c>
      <c r="O429" s="2">
        <v>1460476</v>
      </c>
      <c r="P429" s="2">
        <v>807031</v>
      </c>
      <c r="Q429" s="52">
        <v>305910</v>
      </c>
      <c r="R429" s="127">
        <f>Integrated[[#This Row],[Population 85+ years]]/Integrated[[#This Row],[Total population]]</f>
        <v>1.2363782568145697E-2</v>
      </c>
      <c r="S429" s="58">
        <v>120</v>
      </c>
      <c r="T429" s="59">
        <v>60</v>
      </c>
      <c r="U429" s="59">
        <v>60</v>
      </c>
      <c r="V429" s="59">
        <v>74</v>
      </c>
      <c r="W429" s="59">
        <v>131</v>
      </c>
      <c r="X429" s="59">
        <v>60</v>
      </c>
      <c r="Y429" s="59">
        <v>255</v>
      </c>
      <c r="Z429" s="59">
        <v>440</v>
      </c>
      <c r="AA429" s="59">
        <v>784</v>
      </c>
      <c r="AB429" s="59">
        <v>1211</v>
      </c>
      <c r="AC429" s="59">
        <f>VLOOKUP($A429,'[1]Flu Deaths Updated'!$A$2:$N$460,14,FALSE)</f>
        <v>60</v>
      </c>
      <c r="AD429" s="60">
        <f t="shared" si="6"/>
        <v>3255</v>
      </c>
      <c r="AE429" s="66">
        <f>Integrated[[#This Row],[Flu Deaths &lt;5 years old]]/Integrated[[#This Row],[Population &lt;5 years]]</f>
        <v>6.3300120111977907E-5</v>
      </c>
      <c r="AF429" s="67">
        <f>Integrated[[#This Row],[Flu Deaths 5 to 14 years]]/Integrated[[#This Row],[Population 5 to 14 years]]</f>
        <v>1.6110232655924901E-5</v>
      </c>
      <c r="AG429" s="67">
        <f>Integrated[[#This Row],[Flu Deaths 15 to 24 years]]/Integrated[[#This Row],[Population 15 to 24 years]]</f>
        <v>1.6406092347706347E-5</v>
      </c>
      <c r="AH429" s="67">
        <f>Integrated[[#This Row],[Flu Deaths 25 to 34 years]]/Integrated[[#This Row],[Population 25 to 34 years]]</f>
        <v>1.6824631260164882E-5</v>
      </c>
      <c r="AI429" s="67">
        <f>Integrated[[#This Row],[Flu Deaths 35 to 44 years]]/Integrated[[#This Row],[Population 35 to 44 years]]</f>
        <v>2.1643907415553663E-5</v>
      </c>
      <c r="AJ429" s="67">
        <f>Integrated[[#This Row],[Flu Deaths 45 to 54 years]]/Integrated[[#This Row],[Population 45 to 54 years]]</f>
        <v>3.909945887542793E-5</v>
      </c>
      <c r="AK429" s="67">
        <f>Integrated[[#This Row],[Flu Deaths 55 to 64 years]]/Integrated[[#This Row],[Population 55 to 64 years]]</f>
        <v>9.9583273290477378E-5</v>
      </c>
      <c r="AL429" s="67">
        <f>Integrated[[#This Row],[Flu Deaths 65 to 74 years]]/Integrated[[#This Row],[Population 65 to 74 years]]</f>
        <v>3.0127164020497425E-4</v>
      </c>
      <c r="AM429" s="67">
        <f>Integrated[[#This Row],[Flu Deaths 75 to 84 years]]/Integrated[[#This Row],[Population 75 to 84 years]]</f>
        <v>9.7146206279560517E-4</v>
      </c>
      <c r="AN429" s="67">
        <f>Integrated[[#This Row],[Flu Deaths 85+ years]]/Integrated[[#This Row],[Population 85+ years]]</f>
        <v>3.9586806577097842E-3</v>
      </c>
      <c r="AO429" s="68">
        <f>Integrated[[#This Row],[Total Flu Deaths]]/Integrated[[#This Row],[Total population]]</f>
        <v>1.3155539949434228E-4</v>
      </c>
    </row>
    <row r="430" spans="1:41" x14ac:dyDescent="0.3">
      <c r="A430" s="44" t="s">
        <v>430</v>
      </c>
      <c r="B430" t="s">
        <v>431</v>
      </c>
      <c r="C430" s="45">
        <v>2014</v>
      </c>
      <c r="D430" s="51">
        <v>12558572</v>
      </c>
      <c r="E430" s="2">
        <v>6157931</v>
      </c>
      <c r="F430" s="2">
        <v>6400643</v>
      </c>
      <c r="G430" s="78">
        <f>Integrated[[#This Row],[Female Total population]]/Integrated[[#This Row],[Total population]]</f>
        <v>0.50966328018822527</v>
      </c>
      <c r="H430" s="2">
        <v>793644</v>
      </c>
      <c r="I430" s="2">
        <v>1670682</v>
      </c>
      <c r="J430" s="2">
        <v>1754541</v>
      </c>
      <c r="K430" s="2">
        <v>1749202</v>
      </c>
      <c r="L430" s="2">
        <v>1661895</v>
      </c>
      <c r="M430" s="2">
        <v>1773555</v>
      </c>
      <c r="N430" s="2">
        <v>1519955</v>
      </c>
      <c r="O430" s="2">
        <v>893306</v>
      </c>
      <c r="P430" s="2">
        <v>503292</v>
      </c>
      <c r="Q430" s="52">
        <v>233727</v>
      </c>
      <c r="R430" s="127">
        <f>Integrated[[#This Row],[Population 85+ years]]/Integrated[[#This Row],[Total population]]</f>
        <v>1.861095353834815E-2</v>
      </c>
      <c r="S430" s="58">
        <v>120</v>
      </c>
      <c r="T430" s="59">
        <v>60</v>
      </c>
      <c r="U430" s="59">
        <v>60</v>
      </c>
      <c r="V430" s="59">
        <v>67</v>
      </c>
      <c r="W430" s="59">
        <v>86</v>
      </c>
      <c r="X430" s="59">
        <v>60</v>
      </c>
      <c r="Y430" s="59">
        <v>191</v>
      </c>
      <c r="Z430" s="59">
        <v>333</v>
      </c>
      <c r="AA430" s="59">
        <v>577</v>
      </c>
      <c r="AB430" s="59">
        <v>1215</v>
      </c>
      <c r="AC430" s="59">
        <f>VLOOKUP($A430,'[1]Flu Deaths Updated'!$A$2:$N$460,14,FALSE)</f>
        <v>60</v>
      </c>
      <c r="AD430" s="60">
        <f t="shared" si="6"/>
        <v>2829</v>
      </c>
      <c r="AE430" s="66">
        <f>Integrated[[#This Row],[Flu Deaths &lt;5 years old]]/Integrated[[#This Row],[Population &lt;5 years]]</f>
        <v>1.5120129428307906E-4</v>
      </c>
      <c r="AF430" s="67">
        <f>Integrated[[#This Row],[Flu Deaths 5 to 14 years]]/Integrated[[#This Row],[Population 5 to 14 years]]</f>
        <v>3.5913477250607835E-5</v>
      </c>
      <c r="AG430" s="67">
        <f>Integrated[[#This Row],[Flu Deaths 15 to 24 years]]/Integrated[[#This Row],[Population 15 to 24 years]]</f>
        <v>3.4196978013052986E-5</v>
      </c>
      <c r="AH430" s="67">
        <f>Integrated[[#This Row],[Flu Deaths 25 to 34 years]]/Integrated[[#This Row],[Population 25 to 34 years]]</f>
        <v>3.4301355703915272E-5</v>
      </c>
      <c r="AI430" s="67">
        <f>Integrated[[#This Row],[Flu Deaths 35 to 44 years]]/Integrated[[#This Row],[Population 35 to 44 years]]</f>
        <v>4.0315423056209926E-5</v>
      </c>
      <c r="AJ430" s="67">
        <f>Integrated[[#This Row],[Flu Deaths 45 to 54 years]]/Integrated[[#This Row],[Population 45 to 54 years]]</f>
        <v>4.8490179329087622E-5</v>
      </c>
      <c r="AK430" s="67">
        <f>Integrated[[#This Row],[Flu Deaths 55 to 64 years]]/Integrated[[#This Row],[Population 55 to 64 years]]</f>
        <v>1.256616149820225E-4</v>
      </c>
      <c r="AL430" s="67">
        <f>Integrated[[#This Row],[Flu Deaths 65 to 74 years]]/Integrated[[#This Row],[Population 65 to 74 years]]</f>
        <v>3.7277259975864932E-4</v>
      </c>
      <c r="AM430" s="67">
        <f>Integrated[[#This Row],[Flu Deaths 75 to 84 years]]/Integrated[[#This Row],[Population 75 to 84 years]]</f>
        <v>1.146451761601615E-3</v>
      </c>
      <c r="AN430" s="67">
        <f>Integrated[[#This Row],[Flu Deaths 85+ years]]/Integrated[[#This Row],[Population 85+ years]]</f>
        <v>5.1983724601778998E-3</v>
      </c>
      <c r="AO430" s="68">
        <f>Integrated[[#This Row],[Total Flu Deaths]]/Integrated[[#This Row],[Total population]]</f>
        <v>2.2526446478150541E-4</v>
      </c>
    </row>
    <row r="431" spans="1:41" x14ac:dyDescent="0.3">
      <c r="A431" s="44" t="s">
        <v>544</v>
      </c>
      <c r="B431" t="s">
        <v>536</v>
      </c>
      <c r="C431" s="45">
        <v>2010</v>
      </c>
      <c r="D431" s="51">
        <v>24014946</v>
      </c>
      <c r="E431" s="2">
        <v>11905959</v>
      </c>
      <c r="F431" s="2">
        <v>12108989</v>
      </c>
      <c r="G431" s="78">
        <f>Integrated[[#This Row],[Female Total population]]/Integrated[[#This Row],[Total population]]</f>
        <v>0.50422720084400774</v>
      </c>
      <c r="H431" s="2">
        <v>1885820</v>
      </c>
      <c r="I431" s="2">
        <v>3620583</v>
      </c>
      <c r="J431" s="2">
        <v>3589389</v>
      </c>
      <c r="K431" s="2">
        <v>3447776</v>
      </c>
      <c r="L431" s="2">
        <v>3394106</v>
      </c>
      <c r="M431" s="2">
        <v>3283392</v>
      </c>
      <c r="N431" s="2">
        <v>2369863</v>
      </c>
      <c r="O431" s="2">
        <v>1353836</v>
      </c>
      <c r="P431" s="2">
        <v>788781</v>
      </c>
      <c r="Q431" s="52">
        <v>286373</v>
      </c>
      <c r="R431" s="127">
        <f>Integrated[[#This Row],[Population 85+ years]]/Integrated[[#This Row],[Total population]]</f>
        <v>1.1924782175233706E-2</v>
      </c>
      <c r="S431" s="58">
        <v>120</v>
      </c>
      <c r="T431" s="59">
        <v>60</v>
      </c>
      <c r="U431" s="59">
        <v>60</v>
      </c>
      <c r="V431" s="59">
        <v>72</v>
      </c>
      <c r="W431" s="59">
        <v>151</v>
      </c>
      <c r="X431" s="59">
        <v>60</v>
      </c>
      <c r="Y431" s="59">
        <v>266</v>
      </c>
      <c r="Z431" s="59">
        <v>390</v>
      </c>
      <c r="AA431" s="59">
        <v>826</v>
      </c>
      <c r="AB431" s="59">
        <v>1219</v>
      </c>
      <c r="AC431" s="59">
        <f>VLOOKUP($A431,'[1]Flu Deaths Updated'!$A$2:$N$460,14,FALSE)</f>
        <v>60</v>
      </c>
      <c r="AD431" s="60">
        <f t="shared" si="6"/>
        <v>3284</v>
      </c>
      <c r="AE431" s="66">
        <f>Integrated[[#This Row],[Flu Deaths &lt;5 years old]]/Integrated[[#This Row],[Population &lt;5 years]]</f>
        <v>6.3632796343235308E-5</v>
      </c>
      <c r="AF431" s="67">
        <f>Integrated[[#This Row],[Flu Deaths 5 to 14 years]]/Integrated[[#This Row],[Population 5 to 14 years]]</f>
        <v>1.6571916732747186E-5</v>
      </c>
      <c r="AG431" s="67">
        <f>Integrated[[#This Row],[Flu Deaths 15 to 24 years]]/Integrated[[#This Row],[Population 15 to 24 years]]</f>
        <v>1.6715936890651863E-5</v>
      </c>
      <c r="AH431" s="67">
        <f>Integrated[[#This Row],[Flu Deaths 25 to 34 years]]/Integrated[[#This Row],[Population 25 to 34 years]]</f>
        <v>1.7402522669686198E-5</v>
      </c>
      <c r="AI431" s="67">
        <f>Integrated[[#This Row],[Flu Deaths 35 to 44 years]]/Integrated[[#This Row],[Population 35 to 44 years]]</f>
        <v>2.1213244371271846E-5</v>
      </c>
      <c r="AJ431" s="67">
        <f>Integrated[[#This Row],[Flu Deaths 45 to 54 years]]/Integrated[[#This Row],[Population 45 to 54 years]]</f>
        <v>4.5989025982885991E-5</v>
      </c>
      <c r="AK431" s="67">
        <f>Integrated[[#This Row],[Flu Deaths 55 to 64 years]]/Integrated[[#This Row],[Population 55 to 64 years]]</f>
        <v>1.1224277521527615E-4</v>
      </c>
      <c r="AL431" s="67">
        <f>Integrated[[#This Row],[Flu Deaths 65 to 74 years]]/Integrated[[#This Row],[Population 65 to 74 years]]</f>
        <v>2.8807034234574943E-4</v>
      </c>
      <c r="AM431" s="67">
        <f>Integrated[[#This Row],[Flu Deaths 75 to 84 years]]/Integrated[[#This Row],[Population 75 to 84 years]]</f>
        <v>1.047185467195584E-3</v>
      </c>
      <c r="AN431" s="67">
        <f>Integrated[[#This Row],[Flu Deaths 85+ years]]/Integrated[[#This Row],[Population 85+ years]]</f>
        <v>4.2566862099429762E-3</v>
      </c>
      <c r="AO431" s="68">
        <f>Integrated[[#This Row],[Total Flu Deaths]]/Integrated[[#This Row],[Total population]]</f>
        <v>1.3674817340834328E-4</v>
      </c>
    </row>
    <row r="432" spans="1:41" x14ac:dyDescent="0.3">
      <c r="A432" s="44" t="s">
        <v>415</v>
      </c>
      <c r="B432" t="s">
        <v>348</v>
      </c>
      <c r="C432" s="45">
        <v>2009</v>
      </c>
      <c r="D432" s="51">
        <v>12516596</v>
      </c>
      <c r="E432" s="2">
        <v>6085286</v>
      </c>
      <c r="F432" s="2">
        <v>6431311</v>
      </c>
      <c r="G432" s="78">
        <f>Integrated[[#This Row],[Female Total population]]/Integrated[[#This Row],[Total population]]</f>
        <v>0.5138226878937372</v>
      </c>
      <c r="H432" s="2">
        <v>739222</v>
      </c>
      <c r="I432" s="2">
        <v>1545825</v>
      </c>
      <c r="J432" s="2">
        <v>1718131</v>
      </c>
      <c r="K432" s="2">
        <v>1500940</v>
      </c>
      <c r="L432" s="2">
        <v>1727748</v>
      </c>
      <c r="M432" s="2">
        <v>1915716</v>
      </c>
      <c r="N432" s="2">
        <v>1453432</v>
      </c>
      <c r="O432" s="2">
        <v>916847</v>
      </c>
      <c r="P432" s="2">
        <v>714109</v>
      </c>
      <c r="Q432" s="52">
        <v>284780</v>
      </c>
      <c r="R432" s="127">
        <f>Integrated[[#This Row],[Population 85+ years]]/Integrated[[#This Row],[Total population]]</f>
        <v>2.2752192369235213E-2</v>
      </c>
      <c r="S432" s="58">
        <v>120</v>
      </c>
      <c r="T432" s="59">
        <v>60</v>
      </c>
      <c r="U432" s="59">
        <v>60</v>
      </c>
      <c r="V432" s="59">
        <v>65</v>
      </c>
      <c r="W432" s="59">
        <v>103</v>
      </c>
      <c r="X432" s="59">
        <v>60</v>
      </c>
      <c r="Y432" s="59">
        <v>176</v>
      </c>
      <c r="Z432" s="59">
        <v>270</v>
      </c>
      <c r="AA432" s="59">
        <v>686</v>
      </c>
      <c r="AB432" s="59">
        <v>1232</v>
      </c>
      <c r="AC432" s="59">
        <f>VLOOKUP($A432,'[1]Flu Deaths Updated'!$A$2:$N$460,14,FALSE)</f>
        <v>60</v>
      </c>
      <c r="AD432" s="60">
        <f t="shared" si="6"/>
        <v>2892</v>
      </c>
      <c r="AE432" s="66">
        <f>Integrated[[#This Row],[Flu Deaths &lt;5 years old]]/Integrated[[#This Row],[Population &lt;5 years]]</f>
        <v>1.6233283100340628E-4</v>
      </c>
      <c r="AF432" s="67">
        <f>Integrated[[#This Row],[Flu Deaths 5 to 14 years]]/Integrated[[#This Row],[Population 5 to 14 years]]</f>
        <v>3.8814225413614089E-5</v>
      </c>
      <c r="AG432" s="67">
        <f>Integrated[[#This Row],[Flu Deaths 15 to 24 years]]/Integrated[[#This Row],[Population 15 to 24 years]]</f>
        <v>3.4921667789010267E-5</v>
      </c>
      <c r="AH432" s="67">
        <f>Integrated[[#This Row],[Flu Deaths 25 to 34 years]]/Integrated[[#This Row],[Population 25 to 34 years]]</f>
        <v>3.9974949031939983E-5</v>
      </c>
      <c r="AI432" s="67">
        <f>Integrated[[#This Row],[Flu Deaths 35 to 44 years]]/Integrated[[#This Row],[Population 35 to 44 years]]</f>
        <v>3.7621227169702989E-5</v>
      </c>
      <c r="AJ432" s="67">
        <f>Integrated[[#This Row],[Flu Deaths 45 to 54 years]]/Integrated[[#This Row],[Population 45 to 54 years]]</f>
        <v>5.376579827072489E-5</v>
      </c>
      <c r="AK432" s="67">
        <f>Integrated[[#This Row],[Flu Deaths 55 to 64 years]]/Integrated[[#This Row],[Population 55 to 64 years]]</f>
        <v>1.2109269645913948E-4</v>
      </c>
      <c r="AL432" s="67">
        <f>Integrated[[#This Row],[Flu Deaths 65 to 74 years]]/Integrated[[#This Row],[Population 65 to 74 years]]</f>
        <v>2.9448752081863167E-4</v>
      </c>
      <c r="AM432" s="67">
        <f>Integrated[[#This Row],[Flu Deaths 75 to 84 years]]/Integrated[[#This Row],[Population 75 to 84 years]]</f>
        <v>9.6063766175751876E-4</v>
      </c>
      <c r="AN432" s="67">
        <f>Integrated[[#This Row],[Flu Deaths 85+ years]]/Integrated[[#This Row],[Population 85+ years]]</f>
        <v>4.3261464990519E-3</v>
      </c>
      <c r="AO432" s="68">
        <f>Integrated[[#This Row],[Total Flu Deaths]]/Integrated[[#This Row],[Total population]]</f>
        <v>2.3105323524063573E-4</v>
      </c>
    </row>
    <row r="433" spans="1:41" x14ac:dyDescent="0.3">
      <c r="A433" s="44" t="s">
        <v>410</v>
      </c>
      <c r="B433" t="s">
        <v>348</v>
      </c>
      <c r="C433" s="45">
        <v>2014</v>
      </c>
      <c r="D433" s="51">
        <v>12509280</v>
      </c>
      <c r="E433" s="2">
        <v>6103629</v>
      </c>
      <c r="F433" s="2">
        <v>6405653</v>
      </c>
      <c r="G433" s="78">
        <f>Integrated[[#This Row],[Female Total population]]/Integrated[[#This Row],[Total population]]</f>
        <v>0.51207207768952334</v>
      </c>
      <c r="H433" s="2">
        <v>707603</v>
      </c>
      <c r="I433" s="2">
        <v>1500464</v>
      </c>
      <c r="J433" s="2">
        <v>1705219</v>
      </c>
      <c r="K433" s="2">
        <v>1554712</v>
      </c>
      <c r="L433" s="2">
        <v>1528120</v>
      </c>
      <c r="M433" s="2">
        <v>1840624</v>
      </c>
      <c r="N433" s="2">
        <v>1675443</v>
      </c>
      <c r="O433" s="2">
        <v>1040634</v>
      </c>
      <c r="P433" s="2">
        <v>647529</v>
      </c>
      <c r="Q433" s="52">
        <v>313612</v>
      </c>
      <c r="R433" s="127">
        <f>Integrated[[#This Row],[Population 85+ years]]/Integrated[[#This Row],[Total population]]</f>
        <v>2.5070347773812722E-2</v>
      </c>
      <c r="S433" s="58">
        <v>120</v>
      </c>
      <c r="T433" s="59">
        <v>60</v>
      </c>
      <c r="U433" s="59">
        <v>60</v>
      </c>
      <c r="V433" s="59">
        <v>60</v>
      </c>
      <c r="W433" s="59">
        <v>99</v>
      </c>
      <c r="X433" s="59">
        <v>60</v>
      </c>
      <c r="Y433" s="59">
        <v>215</v>
      </c>
      <c r="Z433" s="59">
        <v>320</v>
      </c>
      <c r="AA433" s="59">
        <v>611</v>
      </c>
      <c r="AB433" s="59">
        <v>1232</v>
      </c>
      <c r="AC433" s="59">
        <f>VLOOKUP($A433,'[1]Flu Deaths Updated'!$A$2:$N$460,14,FALSE)</f>
        <v>60</v>
      </c>
      <c r="AD433" s="60">
        <f t="shared" si="6"/>
        <v>2897</v>
      </c>
      <c r="AE433" s="66">
        <f>Integrated[[#This Row],[Flu Deaths &lt;5 years old]]/Integrated[[#This Row],[Population &lt;5 years]]</f>
        <v>1.6958661848522405E-4</v>
      </c>
      <c r="AF433" s="67">
        <f>Integrated[[#This Row],[Flu Deaths 5 to 14 years]]/Integrated[[#This Row],[Population 5 to 14 years]]</f>
        <v>3.9987630492967509E-5</v>
      </c>
      <c r="AG433" s="67">
        <f>Integrated[[#This Row],[Flu Deaths 15 to 24 years]]/Integrated[[#This Row],[Population 15 to 24 years]]</f>
        <v>3.5186096331321668E-5</v>
      </c>
      <c r="AH433" s="67">
        <f>Integrated[[#This Row],[Flu Deaths 25 to 34 years]]/Integrated[[#This Row],[Population 25 to 34 years]]</f>
        <v>3.8592356655123267E-5</v>
      </c>
      <c r="AI433" s="67">
        <f>Integrated[[#This Row],[Flu Deaths 35 to 44 years]]/Integrated[[#This Row],[Population 35 to 44 years]]</f>
        <v>3.9263932151925242E-5</v>
      </c>
      <c r="AJ433" s="67">
        <f>Integrated[[#This Row],[Flu Deaths 45 to 54 years]]/Integrated[[#This Row],[Population 45 to 54 years]]</f>
        <v>5.3786107320126218E-5</v>
      </c>
      <c r="AK433" s="67">
        <f>Integrated[[#This Row],[Flu Deaths 55 to 64 years]]/Integrated[[#This Row],[Population 55 to 64 years]]</f>
        <v>1.2832427005872476E-4</v>
      </c>
      <c r="AL433" s="67">
        <f>Integrated[[#This Row],[Flu Deaths 65 to 74 years]]/Integrated[[#This Row],[Population 65 to 74 years]]</f>
        <v>3.0750484800611932E-4</v>
      </c>
      <c r="AM433" s="67">
        <f>Integrated[[#This Row],[Flu Deaths 75 to 84 years]]/Integrated[[#This Row],[Population 75 to 84 years]]</f>
        <v>9.4358708258626255E-4</v>
      </c>
      <c r="AN433" s="67">
        <f>Integrated[[#This Row],[Flu Deaths 85+ years]]/Integrated[[#This Row],[Population 85+ years]]</f>
        <v>3.9284211063352172E-3</v>
      </c>
      <c r="AO433" s="68">
        <f>Integrated[[#This Row],[Total Flu Deaths]]/Integrated[[#This Row],[Total population]]</f>
        <v>2.3158806901756135E-4</v>
      </c>
    </row>
    <row r="434" spans="1:41" x14ac:dyDescent="0.3">
      <c r="A434" s="44" t="s">
        <v>535</v>
      </c>
      <c r="B434" t="s">
        <v>536</v>
      </c>
      <c r="C434" s="45">
        <v>2009</v>
      </c>
      <c r="D434" s="51">
        <v>23721521</v>
      </c>
      <c r="E434" s="2">
        <v>11832085</v>
      </c>
      <c r="F434" s="2">
        <v>11889436</v>
      </c>
      <c r="G434" s="78">
        <f>Integrated[[#This Row],[Female Total population]]/Integrated[[#This Row],[Total population]]</f>
        <v>0.50120883901162994</v>
      </c>
      <c r="H434" s="2">
        <v>1985739</v>
      </c>
      <c r="I434" s="2">
        <v>3567027</v>
      </c>
      <c r="J434" s="2">
        <v>3508638</v>
      </c>
      <c r="K434" s="2">
        <v>3483164</v>
      </c>
      <c r="L434" s="2">
        <v>3380073</v>
      </c>
      <c r="M434" s="2">
        <v>3189964</v>
      </c>
      <c r="N434" s="2">
        <v>2232740</v>
      </c>
      <c r="O434" s="2">
        <v>1285332</v>
      </c>
      <c r="P434" s="2">
        <v>809459</v>
      </c>
      <c r="Q434" s="52">
        <v>293282</v>
      </c>
      <c r="R434" s="127">
        <f>Integrated[[#This Row],[Population 85+ years]]/Integrated[[#This Row],[Total population]]</f>
        <v>1.2363541106828689E-2</v>
      </c>
      <c r="S434" s="58">
        <v>120</v>
      </c>
      <c r="T434" s="59">
        <v>60</v>
      </c>
      <c r="U434" s="59">
        <v>82</v>
      </c>
      <c r="V434" s="59">
        <v>121</v>
      </c>
      <c r="W434" s="59">
        <v>226</v>
      </c>
      <c r="X434" s="59">
        <v>60</v>
      </c>
      <c r="Y434" s="59">
        <v>317</v>
      </c>
      <c r="Z434" s="59">
        <v>415</v>
      </c>
      <c r="AA434" s="59">
        <v>852</v>
      </c>
      <c r="AB434" s="59">
        <v>1245</v>
      </c>
      <c r="AC434" s="59">
        <f>VLOOKUP($A434,'[1]Flu Deaths Updated'!$A$2:$N$460,14,FALSE)</f>
        <v>60</v>
      </c>
      <c r="AD434" s="60">
        <f t="shared" si="6"/>
        <v>3558</v>
      </c>
      <c r="AE434" s="66">
        <f>Integrated[[#This Row],[Flu Deaths &lt;5 years old]]/Integrated[[#This Row],[Population &lt;5 years]]</f>
        <v>6.0430902550637318E-5</v>
      </c>
      <c r="AF434" s="67">
        <f>Integrated[[#This Row],[Flu Deaths 5 to 14 years]]/Integrated[[#This Row],[Population 5 to 14 years]]</f>
        <v>1.6820730541148132E-5</v>
      </c>
      <c r="AG434" s="67">
        <f>Integrated[[#This Row],[Flu Deaths 15 to 24 years]]/Integrated[[#This Row],[Population 15 to 24 years]]</f>
        <v>1.7100652731914779E-5</v>
      </c>
      <c r="AH434" s="67">
        <f>Integrated[[#This Row],[Flu Deaths 25 to 34 years]]/Integrated[[#This Row],[Population 25 to 34 years]]</f>
        <v>2.3541814281498085E-5</v>
      </c>
      <c r="AI434" s="67">
        <f>Integrated[[#This Row],[Flu Deaths 35 to 44 years]]/Integrated[[#This Row],[Population 35 to 44 years]]</f>
        <v>3.5798043415038666E-5</v>
      </c>
      <c r="AJ434" s="67">
        <f>Integrated[[#This Row],[Flu Deaths 45 to 54 years]]/Integrated[[#This Row],[Population 45 to 54 years]]</f>
        <v>7.0847194513793887E-5</v>
      </c>
      <c r="AK434" s="67">
        <f>Integrated[[#This Row],[Flu Deaths 55 to 64 years]]/Integrated[[#This Row],[Population 55 to 64 years]]</f>
        <v>1.4197801804061378E-4</v>
      </c>
      <c r="AL434" s="67">
        <f>Integrated[[#This Row],[Flu Deaths 65 to 74 years]]/Integrated[[#This Row],[Population 65 to 74 years]]</f>
        <v>3.2287377891470839E-4</v>
      </c>
      <c r="AM434" s="67">
        <f>Integrated[[#This Row],[Flu Deaths 75 to 84 years]]/Integrated[[#This Row],[Population 75 to 84 years]]</f>
        <v>1.0525548545386486E-3</v>
      </c>
      <c r="AN434" s="67">
        <f>Integrated[[#This Row],[Flu Deaths 85+ years]]/Integrated[[#This Row],[Population 85+ years]]</f>
        <v>4.2450610675049951E-3</v>
      </c>
      <c r="AO434" s="68">
        <f>Integrated[[#This Row],[Total Flu Deaths]]/Integrated[[#This Row],[Total population]]</f>
        <v>1.4999038215129628E-4</v>
      </c>
    </row>
    <row r="435" spans="1:41" x14ac:dyDescent="0.3">
      <c r="A435" s="44" t="s">
        <v>543</v>
      </c>
      <c r="B435" t="s">
        <v>536</v>
      </c>
      <c r="C435" s="45">
        <v>2015</v>
      </c>
      <c r="D435" s="51">
        <v>25416969</v>
      </c>
      <c r="E435" s="2">
        <v>12591402</v>
      </c>
      <c r="F435" s="2">
        <v>12825574</v>
      </c>
      <c r="G435" s="78">
        <f>Integrated[[#This Row],[Female Total population]]/Integrated[[#This Row],[Total population]]</f>
        <v>0.50460674520238824</v>
      </c>
      <c r="H435" s="2">
        <v>1875329</v>
      </c>
      <c r="I435" s="2">
        <v>3797885</v>
      </c>
      <c r="J435" s="2">
        <v>3714463</v>
      </c>
      <c r="K435" s="2">
        <v>3692789</v>
      </c>
      <c r="L435" s="2">
        <v>3462278</v>
      </c>
      <c r="M435" s="2">
        <v>3313053</v>
      </c>
      <c r="N435" s="2">
        <v>2753471</v>
      </c>
      <c r="O435" s="2">
        <v>1639841</v>
      </c>
      <c r="P435" s="2">
        <v>840182</v>
      </c>
      <c r="Q435" s="52">
        <v>321095</v>
      </c>
      <c r="R435" s="127">
        <f>Integrated[[#This Row],[Population 85+ years]]/Integrated[[#This Row],[Total population]]</f>
        <v>1.2633095629931326E-2</v>
      </c>
      <c r="S435" s="58">
        <v>120</v>
      </c>
      <c r="T435" s="59">
        <v>60</v>
      </c>
      <c r="U435" s="59">
        <v>65</v>
      </c>
      <c r="V435" s="59">
        <v>65</v>
      </c>
      <c r="W435" s="59">
        <v>162</v>
      </c>
      <c r="X435" s="59">
        <v>60</v>
      </c>
      <c r="Y435" s="59">
        <v>318</v>
      </c>
      <c r="Z435" s="59">
        <v>496</v>
      </c>
      <c r="AA435" s="59">
        <v>826</v>
      </c>
      <c r="AB435" s="59">
        <v>1253</v>
      </c>
      <c r="AC435" s="59">
        <f>VLOOKUP($A435,'[1]Flu Deaths Updated'!$A$2:$N$460,14,FALSE)</f>
        <v>60</v>
      </c>
      <c r="AD435" s="60">
        <f t="shared" si="6"/>
        <v>3485</v>
      </c>
      <c r="AE435" s="66">
        <f>Integrated[[#This Row],[Flu Deaths &lt;5 years old]]/Integrated[[#This Row],[Population &lt;5 years]]</f>
        <v>6.3988772103454913E-5</v>
      </c>
      <c r="AF435" s="67">
        <f>Integrated[[#This Row],[Flu Deaths 5 to 14 years]]/Integrated[[#This Row],[Population 5 to 14 years]]</f>
        <v>1.5798266666842203E-5</v>
      </c>
      <c r="AG435" s="67">
        <f>Integrated[[#This Row],[Flu Deaths 15 to 24 years]]/Integrated[[#This Row],[Population 15 to 24 years]]</f>
        <v>1.6153075155143555E-5</v>
      </c>
      <c r="AH435" s="67">
        <f>Integrated[[#This Row],[Flu Deaths 25 to 34 years]]/Integrated[[#This Row],[Population 25 to 34 years]]</f>
        <v>1.7601872189285658E-5</v>
      </c>
      <c r="AI435" s="67">
        <f>Integrated[[#This Row],[Flu Deaths 35 to 44 years]]/Integrated[[#This Row],[Population 35 to 44 years]]</f>
        <v>1.8773766866785393E-5</v>
      </c>
      <c r="AJ435" s="67">
        <f>Integrated[[#This Row],[Flu Deaths 45 to 54 years]]/Integrated[[#This Row],[Population 45 to 54 years]]</f>
        <v>4.8897497263098417E-5</v>
      </c>
      <c r="AK435" s="67">
        <f>Integrated[[#This Row],[Flu Deaths 55 to 64 years]]/Integrated[[#This Row],[Population 55 to 64 years]]</f>
        <v>1.1549059350906547E-4</v>
      </c>
      <c r="AL435" s="67">
        <f>Integrated[[#This Row],[Flu Deaths 65 to 74 years]]/Integrated[[#This Row],[Population 65 to 74 years]]</f>
        <v>3.0246834906554965E-4</v>
      </c>
      <c r="AM435" s="67">
        <f>Integrated[[#This Row],[Flu Deaths 75 to 84 years]]/Integrated[[#This Row],[Population 75 to 84 years]]</f>
        <v>9.8312032392981513E-4</v>
      </c>
      <c r="AN435" s="67">
        <f>Integrated[[#This Row],[Flu Deaths 85+ years]]/Integrated[[#This Row],[Population 85+ years]]</f>
        <v>3.902271913296688E-3</v>
      </c>
      <c r="AO435" s="68">
        <f>Integrated[[#This Row],[Total Flu Deaths]]/Integrated[[#This Row],[Total population]]</f>
        <v>1.3711312312652228E-4</v>
      </c>
    </row>
    <row r="436" spans="1:41" x14ac:dyDescent="0.3">
      <c r="A436" s="44" t="s">
        <v>545</v>
      </c>
      <c r="B436" t="s">
        <v>536</v>
      </c>
      <c r="C436" s="45">
        <v>2011</v>
      </c>
      <c r="D436" s="51">
        <v>24558399</v>
      </c>
      <c r="E436" s="2">
        <v>12175334</v>
      </c>
      <c r="F436" s="2">
        <v>12383067</v>
      </c>
      <c r="G436" s="78">
        <f>Integrated[[#This Row],[Female Total population]]/Integrated[[#This Row],[Total population]]</f>
        <v>0.50422940843985797</v>
      </c>
      <c r="H436" s="2">
        <v>1907927</v>
      </c>
      <c r="I436" s="2">
        <v>3697542</v>
      </c>
      <c r="J436" s="2">
        <v>3646881</v>
      </c>
      <c r="K436" s="2">
        <v>3525896</v>
      </c>
      <c r="L436" s="2">
        <v>3426222</v>
      </c>
      <c r="M436" s="2">
        <v>3351003</v>
      </c>
      <c r="N436" s="2">
        <v>2486659</v>
      </c>
      <c r="O436" s="2">
        <v>1413922</v>
      </c>
      <c r="P436" s="2">
        <v>802171</v>
      </c>
      <c r="Q436" s="52">
        <v>297580</v>
      </c>
      <c r="R436" s="127">
        <f>Integrated[[#This Row],[Population 85+ years]]/Integrated[[#This Row],[Total population]]</f>
        <v>1.211723940147727E-2</v>
      </c>
      <c r="S436" s="58">
        <v>120</v>
      </c>
      <c r="T436" s="59">
        <v>60</v>
      </c>
      <c r="U436" s="59">
        <v>60</v>
      </c>
      <c r="V436" s="59">
        <v>69</v>
      </c>
      <c r="W436" s="59">
        <v>136</v>
      </c>
      <c r="X436" s="59">
        <v>60</v>
      </c>
      <c r="Y436" s="59">
        <v>280</v>
      </c>
      <c r="Z436" s="59">
        <v>405</v>
      </c>
      <c r="AA436" s="59">
        <v>803</v>
      </c>
      <c r="AB436" s="59">
        <v>1265</v>
      </c>
      <c r="AC436" s="59">
        <f>VLOOKUP($A436,'[1]Flu Deaths Updated'!$A$2:$N$460,14,FALSE)</f>
        <v>60</v>
      </c>
      <c r="AD436" s="60">
        <f t="shared" si="6"/>
        <v>3318</v>
      </c>
      <c r="AE436" s="66">
        <f>Integrated[[#This Row],[Flu Deaths &lt;5 years old]]/Integrated[[#This Row],[Population &lt;5 years]]</f>
        <v>6.2895488139745395E-5</v>
      </c>
      <c r="AF436" s="67">
        <f>Integrated[[#This Row],[Flu Deaths 5 to 14 years]]/Integrated[[#This Row],[Population 5 to 14 years]]</f>
        <v>1.6226996204505586E-5</v>
      </c>
      <c r="AG436" s="67">
        <f>Integrated[[#This Row],[Flu Deaths 15 to 24 years]]/Integrated[[#This Row],[Population 15 to 24 years]]</f>
        <v>1.6452415091142266E-5</v>
      </c>
      <c r="AH436" s="67">
        <f>Integrated[[#This Row],[Flu Deaths 25 to 34 years]]/Integrated[[#This Row],[Population 25 to 34 years]]</f>
        <v>1.7016951152274487E-5</v>
      </c>
      <c r="AI436" s="67">
        <f>Integrated[[#This Row],[Flu Deaths 35 to 44 years]]/Integrated[[#This Row],[Population 35 to 44 years]]</f>
        <v>2.0138800112777281E-5</v>
      </c>
      <c r="AJ436" s="67">
        <f>Integrated[[#This Row],[Flu Deaths 45 to 54 years]]/Integrated[[#This Row],[Population 45 to 54 years]]</f>
        <v>4.0584863696033695E-5</v>
      </c>
      <c r="AK436" s="67">
        <f>Integrated[[#This Row],[Flu Deaths 55 to 64 years]]/Integrated[[#This Row],[Population 55 to 64 years]]</f>
        <v>1.1260088335392991E-4</v>
      </c>
      <c r="AL436" s="67">
        <f>Integrated[[#This Row],[Flu Deaths 65 to 74 years]]/Integrated[[#This Row],[Population 65 to 74 years]]</f>
        <v>2.864372999359229E-4</v>
      </c>
      <c r="AM436" s="67">
        <f>Integrated[[#This Row],[Flu Deaths 75 to 84 years]]/Integrated[[#This Row],[Population 75 to 84 years]]</f>
        <v>1.0010334454873088E-3</v>
      </c>
      <c r="AN436" s="67">
        <f>Integrated[[#This Row],[Flu Deaths 85+ years]]/Integrated[[#This Row],[Population 85+ years]]</f>
        <v>4.2509577256536054E-3</v>
      </c>
      <c r="AO436" s="68">
        <f>Integrated[[#This Row],[Total Flu Deaths]]/Integrated[[#This Row],[Total population]]</f>
        <v>1.351065270989367E-4</v>
      </c>
    </row>
    <row r="437" spans="1:41" x14ac:dyDescent="0.3">
      <c r="A437" s="44" t="s">
        <v>541</v>
      </c>
      <c r="B437" t="s">
        <v>536</v>
      </c>
      <c r="C437" s="45">
        <v>2013</v>
      </c>
      <c r="D437" s="51">
        <v>25228527</v>
      </c>
      <c r="E437" s="2">
        <v>12517534</v>
      </c>
      <c r="F437" s="2">
        <v>12711002</v>
      </c>
      <c r="G437" s="78">
        <f>Integrated[[#This Row],[Female Total population]]/Integrated[[#This Row],[Total population]]</f>
        <v>0.5038344886326499</v>
      </c>
      <c r="H437" s="2">
        <v>1907822</v>
      </c>
      <c r="I437" s="2">
        <v>3803488</v>
      </c>
      <c r="J437" s="2">
        <v>3710646</v>
      </c>
      <c r="K437" s="2">
        <v>3638418</v>
      </c>
      <c r="L437" s="2">
        <v>3461517</v>
      </c>
      <c r="M437" s="2">
        <v>3379164</v>
      </c>
      <c r="N437" s="2">
        <v>2654885</v>
      </c>
      <c r="O437" s="2">
        <v>1530280</v>
      </c>
      <c r="P437" s="2">
        <v>826330</v>
      </c>
      <c r="Q437" s="52">
        <v>314583</v>
      </c>
      <c r="R437" s="127">
        <f>Integrated[[#This Row],[Population 85+ years]]/Integrated[[#This Row],[Total population]]</f>
        <v>1.2469336794811683E-2</v>
      </c>
      <c r="S437" s="58">
        <v>120</v>
      </c>
      <c r="T437" s="59">
        <v>60</v>
      </c>
      <c r="U437" s="59">
        <v>70</v>
      </c>
      <c r="V437" s="59">
        <v>92</v>
      </c>
      <c r="W437" s="59">
        <v>185</v>
      </c>
      <c r="X437" s="59">
        <v>60</v>
      </c>
      <c r="Y437" s="59">
        <v>365</v>
      </c>
      <c r="Z437" s="59">
        <v>490</v>
      </c>
      <c r="AA437" s="59">
        <v>841</v>
      </c>
      <c r="AB437" s="59">
        <v>1277</v>
      </c>
      <c r="AC437" s="59">
        <f>VLOOKUP($A437,'[1]Flu Deaths Updated'!$A$2:$N$460,14,FALSE)</f>
        <v>60</v>
      </c>
      <c r="AD437" s="60">
        <f t="shared" si="6"/>
        <v>3620</v>
      </c>
      <c r="AE437" s="66">
        <f>Integrated[[#This Row],[Flu Deaths &lt;5 years old]]/Integrated[[#This Row],[Population &lt;5 years]]</f>
        <v>6.289894969237172E-5</v>
      </c>
      <c r="AF437" s="67">
        <f>Integrated[[#This Row],[Flu Deaths 5 to 14 years]]/Integrated[[#This Row],[Population 5 to 14 years]]</f>
        <v>1.5774993900335692E-5</v>
      </c>
      <c r="AG437" s="67">
        <f>Integrated[[#This Row],[Flu Deaths 15 to 24 years]]/Integrated[[#This Row],[Population 15 to 24 years]]</f>
        <v>1.6169691207407012E-5</v>
      </c>
      <c r="AH437" s="67">
        <f>Integrated[[#This Row],[Flu Deaths 25 to 34 years]]/Integrated[[#This Row],[Population 25 to 34 years]]</f>
        <v>1.9239130853024583E-5</v>
      </c>
      <c r="AI437" s="67">
        <f>Integrated[[#This Row],[Flu Deaths 35 to 44 years]]/Integrated[[#This Row],[Population 35 to 44 years]]</f>
        <v>2.6577942561021658E-5</v>
      </c>
      <c r="AJ437" s="67">
        <f>Integrated[[#This Row],[Flu Deaths 45 to 54 years]]/Integrated[[#This Row],[Population 45 to 54 years]]</f>
        <v>5.4747268851112288E-5</v>
      </c>
      <c r="AK437" s="67">
        <f>Integrated[[#This Row],[Flu Deaths 55 to 64 years]]/Integrated[[#This Row],[Population 55 to 64 years]]</f>
        <v>1.3748241449252981E-4</v>
      </c>
      <c r="AL437" s="67">
        <f>Integrated[[#This Row],[Flu Deaths 65 to 74 years]]/Integrated[[#This Row],[Population 65 to 74 years]]</f>
        <v>3.2020283869618629E-4</v>
      </c>
      <c r="AM437" s="67">
        <f>Integrated[[#This Row],[Flu Deaths 75 to 84 years]]/Integrated[[#This Row],[Population 75 to 84 years]]</f>
        <v>1.017753197874941E-3</v>
      </c>
      <c r="AN437" s="67">
        <f>Integrated[[#This Row],[Flu Deaths 85+ years]]/Integrated[[#This Row],[Population 85+ years]]</f>
        <v>4.0593420496339598E-3</v>
      </c>
      <c r="AO437" s="68">
        <f>Integrated[[#This Row],[Total Flu Deaths]]/Integrated[[#This Row],[Total population]]</f>
        <v>1.4348836140928877E-4</v>
      </c>
    </row>
    <row r="438" spans="1:41" x14ac:dyDescent="0.3">
      <c r="A438" s="44" t="s">
        <v>524</v>
      </c>
      <c r="B438" t="s">
        <v>525</v>
      </c>
      <c r="C438" s="45">
        <v>2017</v>
      </c>
      <c r="D438" s="51">
        <v>20175758</v>
      </c>
      <c r="E438" s="2">
        <v>9857413</v>
      </c>
      <c r="F438" s="2">
        <v>10318347</v>
      </c>
      <c r="G438" s="78">
        <f>Integrated[[#This Row],[Female Total population]]/Integrated[[#This Row],[Total population]]</f>
        <v>0.5114230156805013</v>
      </c>
      <c r="H438" s="2">
        <v>1100692</v>
      </c>
      <c r="I438" s="2">
        <v>2276217</v>
      </c>
      <c r="J438" s="2">
        <v>2480961</v>
      </c>
      <c r="K438" s="2">
        <v>2588542</v>
      </c>
      <c r="L438" s="2">
        <v>2452405</v>
      </c>
      <c r="M438" s="2">
        <v>2740755</v>
      </c>
      <c r="N438" s="2">
        <v>2635067</v>
      </c>
      <c r="O438" s="2">
        <v>2154190</v>
      </c>
      <c r="P438" s="2">
        <v>1226433</v>
      </c>
      <c r="Q438" s="52">
        <v>520524</v>
      </c>
      <c r="R438" s="127">
        <f>Integrated[[#This Row],[Population 85+ years]]/Integrated[[#This Row],[Total population]]</f>
        <v>2.5799476778022416E-2</v>
      </c>
      <c r="S438" s="58">
        <v>120</v>
      </c>
      <c r="T438" s="59">
        <v>60</v>
      </c>
      <c r="U438" s="59">
        <v>60</v>
      </c>
      <c r="V438" s="59">
        <v>60</v>
      </c>
      <c r="W438" s="59">
        <v>91</v>
      </c>
      <c r="X438" s="59">
        <v>60</v>
      </c>
      <c r="Y438" s="59">
        <v>300</v>
      </c>
      <c r="Z438" s="59">
        <v>516</v>
      </c>
      <c r="AA438" s="59">
        <v>744</v>
      </c>
      <c r="AB438" s="59">
        <v>1294</v>
      </c>
      <c r="AC438" s="59">
        <f>VLOOKUP($A438,'[1]Flu Deaths Updated'!$A$2:$N$460,14,FALSE)</f>
        <v>60</v>
      </c>
      <c r="AD438" s="60">
        <f t="shared" si="6"/>
        <v>3365</v>
      </c>
      <c r="AE438" s="66">
        <f>Integrated[[#This Row],[Flu Deaths &lt;5 years old]]/Integrated[[#This Row],[Population &lt;5 years]]</f>
        <v>1.0902232413790597E-4</v>
      </c>
      <c r="AF438" s="67">
        <f>Integrated[[#This Row],[Flu Deaths 5 to 14 years]]/Integrated[[#This Row],[Population 5 to 14 years]]</f>
        <v>2.6359525475822383E-5</v>
      </c>
      <c r="AG438" s="67">
        <f>Integrated[[#This Row],[Flu Deaths 15 to 24 years]]/Integrated[[#This Row],[Population 15 to 24 years]]</f>
        <v>2.4184177018502105E-5</v>
      </c>
      <c r="AH438" s="67">
        <f>Integrated[[#This Row],[Flu Deaths 25 to 34 years]]/Integrated[[#This Row],[Population 25 to 34 years]]</f>
        <v>2.3179071461849953E-5</v>
      </c>
      <c r="AI438" s="67">
        <f>Integrated[[#This Row],[Flu Deaths 35 to 44 years]]/Integrated[[#This Row],[Population 35 to 44 years]]</f>
        <v>2.4465779510317423E-5</v>
      </c>
      <c r="AJ438" s="67">
        <f>Integrated[[#This Row],[Flu Deaths 45 to 54 years]]/Integrated[[#This Row],[Population 45 to 54 years]]</f>
        <v>3.3202529959810341E-5</v>
      </c>
      <c r="AK438" s="67">
        <f>Integrated[[#This Row],[Flu Deaths 55 to 64 years]]/Integrated[[#This Row],[Population 55 to 64 years]]</f>
        <v>1.1384909757512807E-4</v>
      </c>
      <c r="AL438" s="67">
        <f>Integrated[[#This Row],[Flu Deaths 65 to 74 years]]/Integrated[[#This Row],[Population 65 to 74 years]]</f>
        <v>2.3953318880878661E-4</v>
      </c>
      <c r="AM438" s="67">
        <f>Integrated[[#This Row],[Flu Deaths 75 to 84 years]]/Integrated[[#This Row],[Population 75 to 84 years]]</f>
        <v>6.0663729694161847E-4</v>
      </c>
      <c r="AN438" s="67">
        <f>Integrated[[#This Row],[Flu Deaths 85+ years]]/Integrated[[#This Row],[Population 85+ years]]</f>
        <v>2.485956459260284E-3</v>
      </c>
      <c r="AO438" s="68">
        <f>Integrated[[#This Row],[Total Flu Deaths]]/Integrated[[#This Row],[Total population]]</f>
        <v>1.6678431610847038E-4</v>
      </c>
    </row>
    <row r="439" spans="1:41" x14ac:dyDescent="0.3">
      <c r="A439" s="44" t="s">
        <v>388</v>
      </c>
      <c r="B439" t="s">
        <v>348</v>
      </c>
      <c r="C439" s="45">
        <v>2017</v>
      </c>
      <c r="D439" s="51">
        <v>12745947</v>
      </c>
      <c r="E439" s="2">
        <v>6233965</v>
      </c>
      <c r="F439" s="2">
        <v>6511982</v>
      </c>
      <c r="G439" s="78">
        <f>Integrated[[#This Row],[Female Total population]]/Integrated[[#This Row],[Total population]]</f>
        <v>0.51090609430589973</v>
      </c>
      <c r="H439" s="2">
        <v>709437</v>
      </c>
      <c r="I439" s="2">
        <v>1495828</v>
      </c>
      <c r="J439" s="2">
        <v>1688016</v>
      </c>
      <c r="K439" s="2">
        <v>1643032</v>
      </c>
      <c r="L439" s="2">
        <v>1495958</v>
      </c>
      <c r="M439" s="2">
        <v>1763460</v>
      </c>
      <c r="N439" s="2">
        <v>1777518</v>
      </c>
      <c r="O439" s="2">
        <v>1191747</v>
      </c>
      <c r="P439" s="2">
        <v>657132</v>
      </c>
      <c r="Q439" s="52">
        <v>323833</v>
      </c>
      <c r="R439" s="127">
        <f>Integrated[[#This Row],[Population 85+ years]]/Integrated[[#This Row],[Total population]]</f>
        <v>2.5406743021919045E-2</v>
      </c>
      <c r="S439" s="58">
        <v>120</v>
      </c>
      <c r="T439" s="59">
        <v>60</v>
      </c>
      <c r="U439" s="59">
        <v>60</v>
      </c>
      <c r="V439" s="59">
        <v>60</v>
      </c>
      <c r="W439" s="59">
        <v>75</v>
      </c>
      <c r="X439" s="59">
        <v>60</v>
      </c>
      <c r="Y439" s="59">
        <v>199</v>
      </c>
      <c r="Z439" s="59">
        <v>360</v>
      </c>
      <c r="AA439" s="59">
        <v>611</v>
      </c>
      <c r="AB439" s="59">
        <v>1422</v>
      </c>
      <c r="AC439" s="59">
        <f>VLOOKUP($A439,'[1]Flu Deaths Updated'!$A$2:$N$460,14,FALSE)</f>
        <v>60</v>
      </c>
      <c r="AD439" s="60">
        <f t="shared" si="6"/>
        <v>3087</v>
      </c>
      <c r="AE439" s="66">
        <f>Integrated[[#This Row],[Flu Deaths &lt;5 years old]]/Integrated[[#This Row],[Population &lt;5 years]]</f>
        <v>1.6914821189196503E-4</v>
      </c>
      <c r="AF439" s="67">
        <f>Integrated[[#This Row],[Flu Deaths 5 to 14 years]]/Integrated[[#This Row],[Population 5 to 14 years]]</f>
        <v>4.0111563628973384E-5</v>
      </c>
      <c r="AG439" s="67">
        <f>Integrated[[#This Row],[Flu Deaths 15 to 24 years]]/Integrated[[#This Row],[Population 15 to 24 years]]</f>
        <v>3.5544686780220093E-5</v>
      </c>
      <c r="AH439" s="67">
        <f>Integrated[[#This Row],[Flu Deaths 25 to 34 years]]/Integrated[[#This Row],[Population 25 to 34 years]]</f>
        <v>3.6517852360757431E-5</v>
      </c>
      <c r="AI439" s="67">
        <f>Integrated[[#This Row],[Flu Deaths 35 to 44 years]]/Integrated[[#This Row],[Population 35 to 44 years]]</f>
        <v>4.010807790058277E-5</v>
      </c>
      <c r="AJ439" s="67">
        <f>Integrated[[#This Row],[Flu Deaths 45 to 54 years]]/Integrated[[#This Row],[Population 45 to 54 years]]</f>
        <v>4.2530026198496139E-5</v>
      </c>
      <c r="AK439" s="67">
        <f>Integrated[[#This Row],[Flu Deaths 55 to 64 years]]/Integrated[[#This Row],[Population 55 to 64 years]]</f>
        <v>1.1195385925768402E-4</v>
      </c>
      <c r="AL439" s="67">
        <f>Integrated[[#This Row],[Flu Deaths 65 to 74 years]]/Integrated[[#This Row],[Population 65 to 74 years]]</f>
        <v>3.0207753826944815E-4</v>
      </c>
      <c r="AM439" s="67">
        <f>Integrated[[#This Row],[Flu Deaths 75 to 84 years]]/Integrated[[#This Row],[Population 75 to 84 years]]</f>
        <v>9.2979797057516603E-4</v>
      </c>
      <c r="AN439" s="67">
        <f>Integrated[[#This Row],[Flu Deaths 85+ years]]/Integrated[[#This Row],[Population 85+ years]]</f>
        <v>4.3911522296986409E-3</v>
      </c>
      <c r="AO439" s="68">
        <f>Integrated[[#This Row],[Total Flu Deaths]]/Integrated[[#This Row],[Total population]]</f>
        <v>2.4219463645973107E-4</v>
      </c>
    </row>
    <row r="440" spans="1:41" x14ac:dyDescent="0.3">
      <c r="A440" s="44" t="s">
        <v>372</v>
      </c>
      <c r="B440" t="s">
        <v>348</v>
      </c>
      <c r="C440" s="45">
        <v>2011</v>
      </c>
      <c r="D440" s="51">
        <v>12505573</v>
      </c>
      <c r="E440" s="2">
        <v>6091443</v>
      </c>
      <c r="F440" s="2">
        <v>6414130</v>
      </c>
      <c r="G440" s="78">
        <f>Integrated[[#This Row],[Female Total population]]/Integrated[[#This Row],[Total population]]</f>
        <v>0.51290172789363586</v>
      </c>
      <c r="H440" s="2">
        <v>719811</v>
      </c>
      <c r="I440" s="2">
        <v>1531181</v>
      </c>
      <c r="J440" s="2">
        <v>1752384</v>
      </c>
      <c r="K440" s="2">
        <v>1482636</v>
      </c>
      <c r="L440" s="2">
        <v>1633213</v>
      </c>
      <c r="M440" s="2">
        <v>1907467</v>
      </c>
      <c r="N440" s="2">
        <v>1557127</v>
      </c>
      <c r="O440" s="2">
        <v>947236</v>
      </c>
      <c r="P440" s="2">
        <v>677371</v>
      </c>
      <c r="Q440" s="52">
        <v>292628</v>
      </c>
      <c r="R440" s="127">
        <f>Integrated[[#This Row],[Population 85+ years]]/Integrated[[#This Row],[Total population]]</f>
        <v>2.3399807429855472E-2</v>
      </c>
      <c r="S440" s="58">
        <v>120</v>
      </c>
      <c r="T440" s="59">
        <v>60</v>
      </c>
      <c r="U440" s="59">
        <v>60</v>
      </c>
      <c r="V440" s="59">
        <v>60</v>
      </c>
      <c r="W440" s="59">
        <v>82</v>
      </c>
      <c r="X440" s="59">
        <v>60</v>
      </c>
      <c r="Y440" s="59">
        <v>175</v>
      </c>
      <c r="Z440" s="59">
        <v>312</v>
      </c>
      <c r="AA440" s="59">
        <v>691</v>
      </c>
      <c r="AB440" s="59">
        <v>1423</v>
      </c>
      <c r="AC440" s="59">
        <f>VLOOKUP($A440,'[1]Flu Deaths Updated'!$A$2:$N$460,14,FALSE)</f>
        <v>60</v>
      </c>
      <c r="AD440" s="60">
        <f t="shared" si="6"/>
        <v>3103</v>
      </c>
      <c r="AE440" s="66">
        <f>Integrated[[#This Row],[Flu Deaths &lt;5 years old]]/Integrated[[#This Row],[Population &lt;5 years]]</f>
        <v>1.6671042815405711E-4</v>
      </c>
      <c r="AF440" s="67">
        <f>Integrated[[#This Row],[Flu Deaths 5 to 14 years]]/Integrated[[#This Row],[Population 5 to 14 years]]</f>
        <v>3.9185439213260873E-5</v>
      </c>
      <c r="AG440" s="67">
        <f>Integrated[[#This Row],[Flu Deaths 15 to 24 years]]/Integrated[[#This Row],[Population 15 to 24 years]]</f>
        <v>3.4239070888572365E-5</v>
      </c>
      <c r="AH440" s="67">
        <f>Integrated[[#This Row],[Flu Deaths 25 to 34 years]]/Integrated[[#This Row],[Population 25 to 34 years]]</f>
        <v>4.0468462926841113E-5</v>
      </c>
      <c r="AI440" s="67">
        <f>Integrated[[#This Row],[Flu Deaths 35 to 44 years]]/Integrated[[#This Row],[Population 35 to 44 years]]</f>
        <v>3.6737400449298407E-5</v>
      </c>
      <c r="AJ440" s="67">
        <f>Integrated[[#This Row],[Flu Deaths 45 to 54 years]]/Integrated[[#This Row],[Population 45 to 54 years]]</f>
        <v>4.2988948170531912E-5</v>
      </c>
      <c r="AK440" s="67">
        <f>Integrated[[#This Row],[Flu Deaths 55 to 64 years]]/Integrated[[#This Row],[Population 55 to 64 years]]</f>
        <v>1.1238646558694314E-4</v>
      </c>
      <c r="AL440" s="67">
        <f>Integrated[[#This Row],[Flu Deaths 65 to 74 years]]/Integrated[[#This Row],[Population 65 to 74 years]]</f>
        <v>3.2937937325017207E-4</v>
      </c>
      <c r="AM440" s="67">
        <f>Integrated[[#This Row],[Flu Deaths 75 to 84 years]]/Integrated[[#This Row],[Population 75 to 84 years]]</f>
        <v>1.0201204362158994E-3</v>
      </c>
      <c r="AN440" s="67">
        <f>Integrated[[#This Row],[Flu Deaths 85+ years]]/Integrated[[#This Row],[Population 85+ years]]</f>
        <v>4.8628292576240141E-3</v>
      </c>
      <c r="AO440" s="68">
        <f>Integrated[[#This Row],[Total Flu Deaths]]/Integrated[[#This Row],[Total population]]</f>
        <v>2.4812937399989587E-4</v>
      </c>
    </row>
    <row r="441" spans="1:41" x14ac:dyDescent="0.3">
      <c r="A441" s="44" t="s">
        <v>347</v>
      </c>
      <c r="B441" t="s">
        <v>348</v>
      </c>
      <c r="C441" s="45">
        <v>2015</v>
      </c>
      <c r="D441" s="51">
        <v>12417301</v>
      </c>
      <c r="E441" s="2">
        <v>6064242</v>
      </c>
      <c r="F441" s="2">
        <v>6353063</v>
      </c>
      <c r="G441" s="78">
        <f>Integrated[[#This Row],[Female Total population]]/Integrated[[#This Row],[Total population]]</f>
        <v>0.5116299427709774</v>
      </c>
      <c r="H441" s="2">
        <v>700882</v>
      </c>
      <c r="I441" s="2">
        <v>1481221</v>
      </c>
      <c r="J441" s="2">
        <v>1694688</v>
      </c>
      <c r="K441" s="2">
        <v>1569384</v>
      </c>
      <c r="L441" s="2">
        <v>1491466</v>
      </c>
      <c r="M441" s="2">
        <v>1790011</v>
      </c>
      <c r="N441" s="2">
        <v>1685805</v>
      </c>
      <c r="O441" s="2">
        <v>1067871</v>
      </c>
      <c r="P441" s="2">
        <v>634514</v>
      </c>
      <c r="Q441" s="52">
        <v>309149</v>
      </c>
      <c r="R441" s="127">
        <f>Integrated[[#This Row],[Population 85+ years]]/Integrated[[#This Row],[Total population]]</f>
        <v>2.4896634139737774E-2</v>
      </c>
      <c r="S441" s="58">
        <v>120</v>
      </c>
      <c r="T441" s="59">
        <v>60</v>
      </c>
      <c r="U441" s="59">
        <v>60</v>
      </c>
      <c r="V441" s="59">
        <v>60</v>
      </c>
      <c r="W441" s="59">
        <v>83</v>
      </c>
      <c r="X441" s="59">
        <v>60</v>
      </c>
      <c r="Y441" s="59">
        <v>198</v>
      </c>
      <c r="Z441" s="59">
        <v>355</v>
      </c>
      <c r="AA441" s="59">
        <v>697</v>
      </c>
      <c r="AB441" s="59">
        <v>1508</v>
      </c>
      <c r="AC441" s="59">
        <f>VLOOKUP($A441,'[1]Flu Deaths Updated'!$A$2:$N$460,14,FALSE)</f>
        <v>60</v>
      </c>
      <c r="AD441" s="60">
        <f t="shared" si="6"/>
        <v>3261</v>
      </c>
      <c r="AE441" s="66">
        <f>Integrated[[#This Row],[Flu Deaths &lt;5 years old]]/Integrated[[#This Row],[Population &lt;5 years]]</f>
        <v>1.7121284324608137E-4</v>
      </c>
      <c r="AF441" s="67">
        <f>Integrated[[#This Row],[Flu Deaths 5 to 14 years]]/Integrated[[#This Row],[Population 5 to 14 years]]</f>
        <v>4.0507122164754621E-5</v>
      </c>
      <c r="AG441" s="67">
        <f>Integrated[[#This Row],[Flu Deaths 15 to 24 years]]/Integrated[[#This Row],[Population 15 to 24 years]]</f>
        <v>3.5404747068486942E-5</v>
      </c>
      <c r="AH441" s="67">
        <f>Integrated[[#This Row],[Flu Deaths 25 to 34 years]]/Integrated[[#This Row],[Population 25 to 34 years]]</f>
        <v>3.8231560918169165E-5</v>
      </c>
      <c r="AI441" s="67">
        <f>Integrated[[#This Row],[Flu Deaths 35 to 44 years]]/Integrated[[#This Row],[Population 35 to 44 years]]</f>
        <v>4.0228875482243642E-5</v>
      </c>
      <c r="AJ441" s="67">
        <f>Integrated[[#This Row],[Flu Deaths 45 to 54 years]]/Integrated[[#This Row],[Population 45 to 54 years]]</f>
        <v>4.6368430138138819E-5</v>
      </c>
      <c r="AK441" s="67">
        <f>Integrated[[#This Row],[Flu Deaths 55 to 64 years]]/Integrated[[#This Row],[Population 55 to 64 years]]</f>
        <v>1.1745130664578644E-4</v>
      </c>
      <c r="AL441" s="67">
        <f>Integrated[[#This Row],[Flu Deaths 65 to 74 years]]/Integrated[[#This Row],[Population 65 to 74 years]]</f>
        <v>3.3243715767166635E-4</v>
      </c>
      <c r="AM441" s="67">
        <f>Integrated[[#This Row],[Flu Deaths 75 to 84 years]]/Integrated[[#This Row],[Population 75 to 84 years]]</f>
        <v>1.0984785205684982E-3</v>
      </c>
      <c r="AN441" s="67">
        <f>Integrated[[#This Row],[Flu Deaths 85+ years]]/Integrated[[#This Row],[Population 85+ years]]</f>
        <v>4.8779067698747208E-3</v>
      </c>
      <c r="AO441" s="68">
        <f>Integrated[[#This Row],[Total Flu Deaths]]/Integrated[[#This Row],[Total population]]</f>
        <v>2.6261745608002898E-4</v>
      </c>
    </row>
    <row r="442" spans="1:41" x14ac:dyDescent="0.3">
      <c r="A442" s="44" t="s">
        <v>364</v>
      </c>
      <c r="B442" t="s">
        <v>348</v>
      </c>
      <c r="C442" s="45">
        <v>2013</v>
      </c>
      <c r="D442" s="51">
        <v>12582295</v>
      </c>
      <c r="E442" s="2">
        <v>6136016</v>
      </c>
      <c r="F442" s="2">
        <v>6446280</v>
      </c>
      <c r="G442" s="78">
        <f>Integrated[[#This Row],[Female Total population]]/Integrated[[#This Row],[Total population]]</f>
        <v>0.51232942797796432</v>
      </c>
      <c r="H442" s="2">
        <v>715037</v>
      </c>
      <c r="I442" s="2">
        <v>1518934</v>
      </c>
      <c r="J442" s="2">
        <v>1742611</v>
      </c>
      <c r="K442" s="2">
        <v>1536716</v>
      </c>
      <c r="L442" s="2">
        <v>1566534</v>
      </c>
      <c r="M442" s="2">
        <v>1879860</v>
      </c>
      <c r="N442" s="2">
        <v>1649596</v>
      </c>
      <c r="O442" s="2">
        <v>1009097</v>
      </c>
      <c r="P442" s="2">
        <v>658313</v>
      </c>
      <c r="Q442" s="52">
        <v>307542</v>
      </c>
      <c r="R442" s="127">
        <f>Integrated[[#This Row],[Population 85+ years]]/Integrated[[#This Row],[Total population]]</f>
        <v>2.4442440747097411E-2</v>
      </c>
      <c r="S442" s="58">
        <v>120</v>
      </c>
      <c r="T442" s="59">
        <v>60</v>
      </c>
      <c r="U442" s="59">
        <v>60</v>
      </c>
      <c r="V442" s="59">
        <v>60</v>
      </c>
      <c r="W442" s="59">
        <v>74</v>
      </c>
      <c r="X442" s="59">
        <v>60</v>
      </c>
      <c r="Y442" s="59">
        <v>186</v>
      </c>
      <c r="Z442" s="59">
        <v>302</v>
      </c>
      <c r="AA442" s="59">
        <v>708</v>
      </c>
      <c r="AB442" s="59">
        <v>1526</v>
      </c>
      <c r="AC442" s="59">
        <f>VLOOKUP($A442,'[1]Flu Deaths Updated'!$A$2:$N$460,14,FALSE)</f>
        <v>60</v>
      </c>
      <c r="AD442" s="60">
        <f t="shared" si="6"/>
        <v>3216</v>
      </c>
      <c r="AE442" s="66">
        <f>Integrated[[#This Row],[Flu Deaths &lt;5 years old]]/Integrated[[#This Row],[Population &lt;5 years]]</f>
        <v>1.6782348326030682E-4</v>
      </c>
      <c r="AF442" s="67">
        <f>Integrated[[#This Row],[Flu Deaths 5 to 14 years]]/Integrated[[#This Row],[Population 5 to 14 years]]</f>
        <v>3.9501387157045667E-5</v>
      </c>
      <c r="AG442" s="67">
        <f>Integrated[[#This Row],[Flu Deaths 15 to 24 years]]/Integrated[[#This Row],[Population 15 to 24 years]]</f>
        <v>3.4431092194414012E-5</v>
      </c>
      <c r="AH442" s="67">
        <f>Integrated[[#This Row],[Flu Deaths 25 to 34 years]]/Integrated[[#This Row],[Population 25 to 34 years]]</f>
        <v>3.9044299662396955E-5</v>
      </c>
      <c r="AI442" s="67">
        <f>Integrated[[#This Row],[Flu Deaths 35 to 44 years]]/Integrated[[#This Row],[Population 35 to 44 years]]</f>
        <v>3.8301115711500675E-5</v>
      </c>
      <c r="AJ442" s="67">
        <f>Integrated[[#This Row],[Flu Deaths 45 to 54 years]]/Integrated[[#This Row],[Population 45 to 54 years]]</f>
        <v>3.9364633536539952E-5</v>
      </c>
      <c r="AK442" s="67">
        <f>Integrated[[#This Row],[Flu Deaths 55 to 64 years]]/Integrated[[#This Row],[Population 55 to 64 years]]</f>
        <v>1.127548805889442E-4</v>
      </c>
      <c r="AL442" s="67">
        <f>Integrated[[#This Row],[Flu Deaths 65 to 74 years]]/Integrated[[#This Row],[Population 65 to 74 years]]</f>
        <v>2.9927747282966851E-4</v>
      </c>
      <c r="AM442" s="67">
        <f>Integrated[[#This Row],[Flu Deaths 75 to 84 years]]/Integrated[[#This Row],[Population 75 to 84 years]]</f>
        <v>1.0754762552159839E-3</v>
      </c>
      <c r="AN442" s="67">
        <f>Integrated[[#This Row],[Flu Deaths 85+ years]]/Integrated[[#This Row],[Population 85+ years]]</f>
        <v>4.9619238998250643E-3</v>
      </c>
      <c r="AO442" s="68">
        <f>Integrated[[#This Row],[Total Flu Deaths]]/Integrated[[#This Row],[Total population]]</f>
        <v>2.5559724994526038E-4</v>
      </c>
    </row>
    <row r="443" spans="1:41" x14ac:dyDescent="0.3">
      <c r="A443" s="44" t="s">
        <v>378</v>
      </c>
      <c r="B443" t="s">
        <v>334</v>
      </c>
      <c r="C443" s="45">
        <v>2016</v>
      </c>
      <c r="D443" s="51">
        <v>19650679</v>
      </c>
      <c r="E443" s="2">
        <v>9530584</v>
      </c>
      <c r="F443" s="2">
        <v>10120095</v>
      </c>
      <c r="G443" s="78">
        <f>Integrated[[#This Row],[Female Total population]]/Integrated[[#This Row],[Total population]]</f>
        <v>0.51499976158584648</v>
      </c>
      <c r="H443" s="2">
        <v>1168736</v>
      </c>
      <c r="I443" s="2">
        <v>2313885</v>
      </c>
      <c r="J443" s="2">
        <v>2692245</v>
      </c>
      <c r="K443" s="2">
        <v>2827206</v>
      </c>
      <c r="L443" s="2">
        <v>2499796</v>
      </c>
      <c r="M443" s="2">
        <v>2772310</v>
      </c>
      <c r="N443" s="2">
        <v>2491026</v>
      </c>
      <c r="O443" s="2">
        <v>1594689</v>
      </c>
      <c r="P443" s="2">
        <v>865941</v>
      </c>
      <c r="Q443" s="52">
        <v>424865</v>
      </c>
      <c r="R443" s="127">
        <f>Integrated[[#This Row],[Population 85+ years]]/Integrated[[#This Row],[Total population]]</f>
        <v>2.1620881395497834E-2</v>
      </c>
      <c r="S443" s="58">
        <v>120</v>
      </c>
      <c r="T443" s="59">
        <v>60</v>
      </c>
      <c r="U443" s="59">
        <v>60</v>
      </c>
      <c r="V443" s="59">
        <v>68</v>
      </c>
      <c r="W443" s="59">
        <v>115</v>
      </c>
      <c r="X443" s="59">
        <v>60</v>
      </c>
      <c r="Y443" s="59">
        <v>376</v>
      </c>
      <c r="Z443" s="59">
        <v>695</v>
      </c>
      <c r="AA443" s="59">
        <v>1127</v>
      </c>
      <c r="AB443" s="59">
        <v>2081</v>
      </c>
      <c r="AC443" s="59">
        <f>VLOOKUP($A443,'[1]Flu Deaths Updated'!$A$2:$N$460,14,FALSE)</f>
        <v>60</v>
      </c>
      <c r="AD443" s="60">
        <f t="shared" si="6"/>
        <v>4822</v>
      </c>
      <c r="AE443" s="66">
        <f>Integrated[[#This Row],[Flu Deaths &lt;5 years old]]/Integrated[[#This Row],[Population &lt;5 years]]</f>
        <v>1.0267502669550695E-4</v>
      </c>
      <c r="AF443" s="67">
        <f>Integrated[[#This Row],[Flu Deaths 5 to 14 years]]/Integrated[[#This Row],[Population 5 to 14 years]]</f>
        <v>2.593041572939018E-5</v>
      </c>
      <c r="AG443" s="67">
        <f>Integrated[[#This Row],[Flu Deaths 15 to 24 years]]/Integrated[[#This Row],[Population 15 to 24 years]]</f>
        <v>2.2286233236573938E-5</v>
      </c>
      <c r="AH443" s="67">
        <f>Integrated[[#This Row],[Flu Deaths 25 to 34 years]]/Integrated[[#This Row],[Population 25 to 34 years]]</f>
        <v>2.1222365826897652E-5</v>
      </c>
      <c r="AI443" s="67">
        <f>Integrated[[#This Row],[Flu Deaths 35 to 44 years]]/Integrated[[#This Row],[Population 35 to 44 years]]</f>
        <v>2.7202219701127613E-5</v>
      </c>
      <c r="AJ443" s="67">
        <f>Integrated[[#This Row],[Flu Deaths 45 to 54 years]]/Integrated[[#This Row],[Population 45 to 54 years]]</f>
        <v>4.1481652484750981E-5</v>
      </c>
      <c r="AK443" s="67">
        <f>Integrated[[#This Row],[Flu Deaths 55 to 64 years]]/Integrated[[#This Row],[Population 55 to 64 years]]</f>
        <v>1.5094182075979938E-4</v>
      </c>
      <c r="AL443" s="67">
        <f>Integrated[[#This Row],[Flu Deaths 65 to 74 years]]/Integrated[[#This Row],[Population 65 to 74 years]]</f>
        <v>4.3582165550775103E-4</v>
      </c>
      <c r="AM443" s="67">
        <f>Integrated[[#This Row],[Flu Deaths 75 to 84 years]]/Integrated[[#This Row],[Population 75 to 84 years]]</f>
        <v>1.301474349869102E-3</v>
      </c>
      <c r="AN443" s="67">
        <f>Integrated[[#This Row],[Flu Deaths 85+ years]]/Integrated[[#This Row],[Population 85+ years]]</f>
        <v>4.8980264319254353E-3</v>
      </c>
      <c r="AO443" s="68">
        <f>Integrated[[#This Row],[Total Flu Deaths]]/Integrated[[#This Row],[Total population]]</f>
        <v>2.4538592279686619E-4</v>
      </c>
    </row>
    <row r="444" spans="1:41" x14ac:dyDescent="0.3">
      <c r="A444" s="44" t="s">
        <v>373</v>
      </c>
      <c r="B444" t="s">
        <v>334</v>
      </c>
      <c r="C444" s="45">
        <v>2009</v>
      </c>
      <c r="D444" s="51">
        <v>19423896</v>
      </c>
      <c r="E444" s="2">
        <v>9425099</v>
      </c>
      <c r="F444" s="2">
        <v>9998797</v>
      </c>
      <c r="G444" s="78">
        <f>Integrated[[#This Row],[Female Total population]]/Integrated[[#This Row],[Total population]]</f>
        <v>0.514767840602112</v>
      </c>
      <c r="H444" s="2">
        <v>1218916</v>
      </c>
      <c r="I444" s="2">
        <v>2458948</v>
      </c>
      <c r="J444" s="2">
        <v>2697151</v>
      </c>
      <c r="K444" s="2">
        <v>2607195</v>
      </c>
      <c r="L444" s="2">
        <v>2835977</v>
      </c>
      <c r="M444" s="2">
        <v>2882277</v>
      </c>
      <c r="N444" s="2">
        <v>2162996</v>
      </c>
      <c r="O444" s="2">
        <v>1305053</v>
      </c>
      <c r="P444" s="2">
        <v>891546</v>
      </c>
      <c r="Q444" s="52">
        <v>365860</v>
      </c>
      <c r="R444" s="127">
        <f>Integrated[[#This Row],[Population 85+ years]]/Integrated[[#This Row],[Total population]]</f>
        <v>1.8835562134393635E-2</v>
      </c>
      <c r="S444" s="58">
        <v>120</v>
      </c>
      <c r="T444" s="59">
        <v>60</v>
      </c>
      <c r="U444" s="59">
        <v>65</v>
      </c>
      <c r="V444" s="59">
        <v>75</v>
      </c>
      <c r="W444" s="59">
        <v>195</v>
      </c>
      <c r="X444" s="59">
        <v>60</v>
      </c>
      <c r="Y444" s="59">
        <v>286</v>
      </c>
      <c r="Z444" s="59">
        <v>534</v>
      </c>
      <c r="AA444" s="59">
        <v>1254</v>
      </c>
      <c r="AB444" s="59">
        <v>2090</v>
      </c>
      <c r="AC444" s="59">
        <f>VLOOKUP($A444,'[1]Flu Deaths Updated'!$A$2:$N$460,14,FALSE)</f>
        <v>60</v>
      </c>
      <c r="AD444" s="60">
        <f t="shared" si="6"/>
        <v>4799</v>
      </c>
      <c r="AE444" s="66">
        <f>Integrated[[#This Row],[Flu Deaths &lt;5 years old]]/Integrated[[#This Row],[Population &lt;5 years]]</f>
        <v>9.8448129321462681E-5</v>
      </c>
      <c r="AF444" s="67">
        <f>Integrated[[#This Row],[Flu Deaths 5 to 14 years]]/Integrated[[#This Row],[Population 5 to 14 years]]</f>
        <v>2.4400678664209246E-5</v>
      </c>
      <c r="AG444" s="67">
        <f>Integrated[[#This Row],[Flu Deaths 15 to 24 years]]/Integrated[[#This Row],[Population 15 to 24 years]]</f>
        <v>2.2245695550601356E-5</v>
      </c>
      <c r="AH444" s="67">
        <f>Integrated[[#This Row],[Flu Deaths 25 to 34 years]]/Integrated[[#This Row],[Population 25 to 34 years]]</f>
        <v>2.4931008229150484E-5</v>
      </c>
      <c r="AI444" s="67">
        <f>Integrated[[#This Row],[Flu Deaths 35 to 44 years]]/Integrated[[#This Row],[Population 35 to 44 years]]</f>
        <v>2.6445912643156132E-5</v>
      </c>
      <c r="AJ444" s="67">
        <f>Integrated[[#This Row],[Flu Deaths 45 to 54 years]]/Integrated[[#This Row],[Population 45 to 54 years]]</f>
        <v>6.765484372251522E-5</v>
      </c>
      <c r="AK444" s="67">
        <f>Integrated[[#This Row],[Flu Deaths 55 to 64 years]]/Integrated[[#This Row],[Population 55 to 64 years]]</f>
        <v>1.3222400781138754E-4</v>
      </c>
      <c r="AL444" s="67">
        <f>Integrated[[#This Row],[Flu Deaths 65 to 74 years]]/Integrated[[#This Row],[Population 65 to 74 years]]</f>
        <v>4.0917878430990923E-4</v>
      </c>
      <c r="AM444" s="67">
        <f>Integrated[[#This Row],[Flu Deaths 75 to 84 years]]/Integrated[[#This Row],[Population 75 to 84 years]]</f>
        <v>1.4065454839122154E-3</v>
      </c>
      <c r="AN444" s="67">
        <f>Integrated[[#This Row],[Flu Deaths 85+ years]]/Integrated[[#This Row],[Population 85+ years]]</f>
        <v>5.7125676488274206E-3</v>
      </c>
      <c r="AO444" s="68">
        <f>Integrated[[#This Row],[Total Flu Deaths]]/Integrated[[#This Row],[Total population]]</f>
        <v>2.4706680884205724E-4</v>
      </c>
    </row>
    <row r="445" spans="1:41" x14ac:dyDescent="0.3">
      <c r="A445" s="44" t="s">
        <v>377</v>
      </c>
      <c r="B445" t="s">
        <v>334</v>
      </c>
      <c r="C445" s="45">
        <v>2017</v>
      </c>
      <c r="D445" s="51">
        <v>19682278</v>
      </c>
      <c r="E445" s="2">
        <v>9543928</v>
      </c>
      <c r="F445" s="2">
        <v>10138351</v>
      </c>
      <c r="G445" s="78">
        <f>Integrated[[#This Row],[Female Total population]]/Integrated[[#This Row],[Total population]]</f>
        <v>0.51510048786019591</v>
      </c>
      <c r="H445" s="2">
        <v>1173299</v>
      </c>
      <c r="I445" s="2">
        <v>2291980</v>
      </c>
      <c r="J445" s="2">
        <v>2650628</v>
      </c>
      <c r="K445" s="2">
        <v>2873004</v>
      </c>
      <c r="L445" s="2">
        <v>2475243</v>
      </c>
      <c r="M445" s="2">
        <v>2725651</v>
      </c>
      <c r="N445" s="2">
        <v>2515695</v>
      </c>
      <c r="O445" s="2">
        <v>1657217</v>
      </c>
      <c r="P445" s="2">
        <v>885773</v>
      </c>
      <c r="Q445" s="52">
        <v>433804</v>
      </c>
      <c r="R445" s="127">
        <f>Integrated[[#This Row],[Population 85+ years]]/Integrated[[#This Row],[Total population]]</f>
        <v>2.2040334965292126E-2</v>
      </c>
      <c r="S445" s="58">
        <v>120</v>
      </c>
      <c r="T445" s="59">
        <v>60</v>
      </c>
      <c r="U445" s="59">
        <v>60</v>
      </c>
      <c r="V445" s="59">
        <v>60</v>
      </c>
      <c r="W445" s="59">
        <v>124</v>
      </c>
      <c r="X445" s="59">
        <v>60</v>
      </c>
      <c r="Y445" s="59">
        <v>333</v>
      </c>
      <c r="Z445" s="59">
        <v>655</v>
      </c>
      <c r="AA445" s="59">
        <v>1134</v>
      </c>
      <c r="AB445" s="59">
        <v>2166</v>
      </c>
      <c r="AC445" s="59">
        <f>VLOOKUP($A445,'[1]Flu Deaths Updated'!$A$2:$N$460,14,FALSE)</f>
        <v>60</v>
      </c>
      <c r="AD445" s="60">
        <f t="shared" si="6"/>
        <v>4832</v>
      </c>
      <c r="AE445" s="66">
        <f>Integrated[[#This Row],[Flu Deaths &lt;5 years old]]/Integrated[[#This Row],[Population &lt;5 years]]</f>
        <v>1.0227571999976136E-4</v>
      </c>
      <c r="AF445" s="67">
        <f>Integrated[[#This Row],[Flu Deaths 5 to 14 years]]/Integrated[[#This Row],[Population 5 to 14 years]]</f>
        <v>2.6178238902608226E-5</v>
      </c>
      <c r="AG445" s="67">
        <f>Integrated[[#This Row],[Flu Deaths 15 to 24 years]]/Integrated[[#This Row],[Population 15 to 24 years]]</f>
        <v>2.2636145094671905E-5</v>
      </c>
      <c r="AH445" s="67">
        <f>Integrated[[#This Row],[Flu Deaths 25 to 34 years]]/Integrated[[#This Row],[Population 25 to 34 years]]</f>
        <v>2.0884064205966995E-5</v>
      </c>
      <c r="AI445" s="67">
        <f>Integrated[[#This Row],[Flu Deaths 35 to 44 years]]/Integrated[[#This Row],[Population 35 to 44 years]]</f>
        <v>2.4240044310801002E-5</v>
      </c>
      <c r="AJ445" s="67">
        <f>Integrated[[#This Row],[Flu Deaths 45 to 54 years]]/Integrated[[#This Row],[Population 45 to 54 years]]</f>
        <v>4.5493718748291691E-5</v>
      </c>
      <c r="AK445" s="67">
        <f>Integrated[[#This Row],[Flu Deaths 55 to 64 years]]/Integrated[[#This Row],[Population 55 to 64 years]]</f>
        <v>1.3236898749649699E-4</v>
      </c>
      <c r="AL445" s="67">
        <f>Integrated[[#This Row],[Flu Deaths 65 to 74 years]]/Integrated[[#This Row],[Population 65 to 74 years]]</f>
        <v>3.9524093706497096E-4</v>
      </c>
      <c r="AM445" s="67">
        <f>Integrated[[#This Row],[Flu Deaths 75 to 84 years]]/Integrated[[#This Row],[Population 75 to 84 years]]</f>
        <v>1.2802377132741685E-3</v>
      </c>
      <c r="AN445" s="67">
        <f>Integrated[[#This Row],[Flu Deaths 85+ years]]/Integrated[[#This Row],[Population 85+ years]]</f>
        <v>4.9930383306746829E-3</v>
      </c>
      <c r="AO445" s="68">
        <f>Integrated[[#This Row],[Total Flu Deaths]]/Integrated[[#This Row],[Total population]]</f>
        <v>2.4550003815615245E-4</v>
      </c>
    </row>
    <row r="446" spans="1:41" x14ac:dyDescent="0.3">
      <c r="A446" s="44" t="s">
        <v>374</v>
      </c>
      <c r="B446" t="s">
        <v>334</v>
      </c>
      <c r="C446" s="45">
        <v>2012</v>
      </c>
      <c r="D446" s="51">
        <v>19158210</v>
      </c>
      <c r="E446" s="2">
        <v>9269157</v>
      </c>
      <c r="F446" s="2">
        <v>9889056</v>
      </c>
      <c r="G446" s="78">
        <f>Integrated[[#This Row],[Female Total population]]/Integrated[[#This Row],[Total population]]</f>
        <v>0.51617849475499011</v>
      </c>
      <c r="H446" s="2">
        <v>1146690</v>
      </c>
      <c r="I446" s="2">
        <v>2340256</v>
      </c>
      <c r="J446" s="2">
        <v>2736492</v>
      </c>
      <c r="K446" s="2">
        <v>2646895</v>
      </c>
      <c r="L446" s="2">
        <v>2589511</v>
      </c>
      <c r="M446" s="2">
        <v>2814969</v>
      </c>
      <c r="N446" s="2">
        <v>2274954</v>
      </c>
      <c r="O446" s="2">
        <v>1357639</v>
      </c>
      <c r="P446" s="2">
        <v>856655</v>
      </c>
      <c r="Q446" s="52">
        <v>385210</v>
      </c>
      <c r="R446" s="127">
        <f>Integrated[[#This Row],[Population 85+ years]]/Integrated[[#This Row],[Total population]]</f>
        <v>2.0106784506485731E-2</v>
      </c>
      <c r="S446" s="58">
        <v>120</v>
      </c>
      <c r="T446" s="59">
        <v>60</v>
      </c>
      <c r="U446" s="59">
        <v>60</v>
      </c>
      <c r="V446" s="59">
        <v>60</v>
      </c>
      <c r="W446" s="59">
        <v>131</v>
      </c>
      <c r="X446" s="59">
        <v>60</v>
      </c>
      <c r="Y446" s="59">
        <v>307</v>
      </c>
      <c r="Z446" s="59">
        <v>509</v>
      </c>
      <c r="AA446" s="59">
        <v>1152</v>
      </c>
      <c r="AB446" s="59">
        <v>2208</v>
      </c>
      <c r="AC446" s="59">
        <f>VLOOKUP($A446,'[1]Flu Deaths Updated'!$A$2:$N$460,14,FALSE)</f>
        <v>60</v>
      </c>
      <c r="AD446" s="60">
        <f t="shared" si="6"/>
        <v>4727</v>
      </c>
      <c r="AE446" s="66">
        <f>Integrated[[#This Row],[Flu Deaths &lt;5 years old]]/Integrated[[#This Row],[Population &lt;5 years]]</f>
        <v>1.0464903330455485E-4</v>
      </c>
      <c r="AF446" s="67">
        <f>Integrated[[#This Row],[Flu Deaths 5 to 14 years]]/Integrated[[#This Row],[Population 5 to 14 years]]</f>
        <v>2.5638220775846746E-5</v>
      </c>
      <c r="AG446" s="67">
        <f>Integrated[[#This Row],[Flu Deaths 15 to 24 years]]/Integrated[[#This Row],[Population 15 to 24 years]]</f>
        <v>2.1925881749334549E-5</v>
      </c>
      <c r="AH446" s="67">
        <f>Integrated[[#This Row],[Flu Deaths 25 to 34 years]]/Integrated[[#This Row],[Population 25 to 34 years]]</f>
        <v>2.2668069568305507E-5</v>
      </c>
      <c r="AI446" s="67">
        <f>Integrated[[#This Row],[Flu Deaths 35 to 44 years]]/Integrated[[#This Row],[Population 35 to 44 years]]</f>
        <v>2.3170397808698245E-5</v>
      </c>
      <c r="AJ446" s="67">
        <f>Integrated[[#This Row],[Flu Deaths 45 to 54 years]]/Integrated[[#This Row],[Population 45 to 54 years]]</f>
        <v>4.6536924562934794E-5</v>
      </c>
      <c r="AK446" s="67">
        <f>Integrated[[#This Row],[Flu Deaths 55 to 64 years]]/Integrated[[#This Row],[Population 55 to 64 years]]</f>
        <v>1.3494778355957967E-4</v>
      </c>
      <c r="AL446" s="67">
        <f>Integrated[[#This Row],[Flu Deaths 65 to 74 years]]/Integrated[[#This Row],[Population 65 to 74 years]]</f>
        <v>3.7491557033939065E-4</v>
      </c>
      <c r="AM446" s="67">
        <f>Integrated[[#This Row],[Flu Deaths 75 to 84 years]]/Integrated[[#This Row],[Population 75 to 84 years]]</f>
        <v>1.3447653956376838E-3</v>
      </c>
      <c r="AN446" s="67">
        <f>Integrated[[#This Row],[Flu Deaths 85+ years]]/Integrated[[#This Row],[Population 85+ years]]</f>
        <v>5.7319384231977362E-3</v>
      </c>
      <c r="AO446" s="68">
        <f>Integrated[[#This Row],[Total Flu Deaths]]/Integrated[[#This Row],[Total population]]</f>
        <v>2.4673495070781664E-4</v>
      </c>
    </row>
    <row r="447" spans="1:41" x14ac:dyDescent="0.3">
      <c r="A447" s="44" t="s">
        <v>358</v>
      </c>
      <c r="B447" t="s">
        <v>334</v>
      </c>
      <c r="C447" s="45">
        <v>2014</v>
      </c>
      <c r="D447" s="51">
        <v>19502525</v>
      </c>
      <c r="E447" s="2">
        <v>9449729</v>
      </c>
      <c r="F447" s="2">
        <v>10052796</v>
      </c>
      <c r="G447" s="78">
        <f>Integrated[[#This Row],[Female Total population]]/Integrated[[#This Row],[Total population]]</f>
        <v>0.51546125437603596</v>
      </c>
      <c r="H447" s="2">
        <v>1165811</v>
      </c>
      <c r="I447" s="2">
        <v>2335676</v>
      </c>
      <c r="J447" s="2">
        <v>2730688</v>
      </c>
      <c r="K447" s="2">
        <v>2750813</v>
      </c>
      <c r="L447" s="2">
        <v>2542400</v>
      </c>
      <c r="M447" s="2">
        <v>2826833</v>
      </c>
      <c r="N447" s="2">
        <v>2403191</v>
      </c>
      <c r="O447" s="2">
        <v>1471707</v>
      </c>
      <c r="P447" s="2">
        <v>858055</v>
      </c>
      <c r="Q447" s="52">
        <v>410066</v>
      </c>
      <c r="R447" s="127">
        <f>Integrated[[#This Row],[Population 85+ years]]/Integrated[[#This Row],[Total population]]</f>
        <v>2.1026303004354565E-2</v>
      </c>
      <c r="S447" s="58">
        <v>120</v>
      </c>
      <c r="T447" s="59">
        <v>60</v>
      </c>
      <c r="U447" s="59">
        <v>60</v>
      </c>
      <c r="V447" s="59">
        <v>72</v>
      </c>
      <c r="W447" s="59">
        <v>165</v>
      </c>
      <c r="X447" s="59">
        <v>60</v>
      </c>
      <c r="Y447" s="59">
        <v>394</v>
      </c>
      <c r="Z447" s="59">
        <v>615</v>
      </c>
      <c r="AA447" s="59">
        <v>1171</v>
      </c>
      <c r="AB447" s="59">
        <v>2244</v>
      </c>
      <c r="AC447" s="59">
        <f>VLOOKUP($A447,'[1]Flu Deaths Updated'!$A$2:$N$460,14,FALSE)</f>
        <v>60</v>
      </c>
      <c r="AD447" s="60">
        <f t="shared" si="6"/>
        <v>5021</v>
      </c>
      <c r="AE447" s="66">
        <f>Integrated[[#This Row],[Flu Deaths &lt;5 years old]]/Integrated[[#This Row],[Population &lt;5 years]]</f>
        <v>1.0293263659375319E-4</v>
      </c>
      <c r="AF447" s="67">
        <f>Integrated[[#This Row],[Flu Deaths 5 to 14 years]]/Integrated[[#This Row],[Population 5 to 14 years]]</f>
        <v>2.5688494465842009E-5</v>
      </c>
      <c r="AG447" s="67">
        <f>Integrated[[#This Row],[Flu Deaths 15 to 24 years]]/Integrated[[#This Row],[Population 15 to 24 years]]</f>
        <v>2.1972484589964139E-5</v>
      </c>
      <c r="AH447" s="67">
        <f>Integrated[[#This Row],[Flu Deaths 25 to 34 years]]/Integrated[[#This Row],[Population 25 to 34 years]]</f>
        <v>2.1811733476612189E-5</v>
      </c>
      <c r="AI447" s="67">
        <f>Integrated[[#This Row],[Flu Deaths 35 to 44 years]]/Integrated[[#This Row],[Population 35 to 44 years]]</f>
        <v>2.8319697923222152E-5</v>
      </c>
      <c r="AJ447" s="67">
        <f>Integrated[[#This Row],[Flu Deaths 45 to 54 years]]/Integrated[[#This Row],[Population 45 to 54 years]]</f>
        <v>5.8369206812004814E-5</v>
      </c>
      <c r="AK447" s="67">
        <f>Integrated[[#This Row],[Flu Deaths 55 to 64 years]]/Integrated[[#This Row],[Population 55 to 64 years]]</f>
        <v>1.6394868322992221E-4</v>
      </c>
      <c r="AL447" s="67">
        <f>Integrated[[#This Row],[Flu Deaths 65 to 74 years]]/Integrated[[#This Row],[Population 65 to 74 years]]</f>
        <v>4.1788209201967509E-4</v>
      </c>
      <c r="AM447" s="67">
        <f>Integrated[[#This Row],[Flu Deaths 75 to 84 years]]/Integrated[[#This Row],[Population 75 to 84 years]]</f>
        <v>1.3647143831106397E-3</v>
      </c>
      <c r="AN447" s="67">
        <f>Integrated[[#This Row],[Flu Deaths 85+ years]]/Integrated[[#This Row],[Population 85+ years]]</f>
        <v>5.4722898265157317E-3</v>
      </c>
      <c r="AO447" s="68">
        <f>Integrated[[#This Row],[Total Flu Deaths]]/Integrated[[#This Row],[Total population]]</f>
        <v>2.5745384251526403E-4</v>
      </c>
    </row>
    <row r="448" spans="1:41" x14ac:dyDescent="0.3">
      <c r="A448" s="44" t="s">
        <v>357</v>
      </c>
      <c r="B448" t="s">
        <v>334</v>
      </c>
      <c r="C448" s="45">
        <v>2010</v>
      </c>
      <c r="D448" s="51">
        <v>19229752</v>
      </c>
      <c r="E448" s="2">
        <v>9300854</v>
      </c>
      <c r="F448" s="2">
        <v>9928898</v>
      </c>
      <c r="G448" s="78">
        <f>Integrated[[#This Row],[Female Total population]]/Integrated[[#This Row],[Total population]]</f>
        <v>0.51633000779209215</v>
      </c>
      <c r="H448" s="2">
        <v>1160372</v>
      </c>
      <c r="I448" s="2">
        <v>2408466</v>
      </c>
      <c r="J448" s="2">
        <v>2753032</v>
      </c>
      <c r="K448" s="2">
        <v>2606613</v>
      </c>
      <c r="L448" s="2">
        <v>2726584</v>
      </c>
      <c r="M448" s="2">
        <v>2837388</v>
      </c>
      <c r="N448" s="2">
        <v>2192272</v>
      </c>
      <c r="O448" s="2">
        <v>1306604</v>
      </c>
      <c r="P448" s="2">
        <v>883352</v>
      </c>
      <c r="Q448" s="52">
        <v>366737</v>
      </c>
      <c r="R448" s="127">
        <f>Integrated[[#This Row],[Population 85+ years]]/Integrated[[#This Row],[Total population]]</f>
        <v>1.9071332797219641E-2</v>
      </c>
      <c r="S448" s="58">
        <v>120</v>
      </c>
      <c r="T448" s="59">
        <v>60</v>
      </c>
      <c r="U448" s="59">
        <v>60</v>
      </c>
      <c r="V448" s="59">
        <v>60</v>
      </c>
      <c r="W448" s="59">
        <v>141</v>
      </c>
      <c r="X448" s="59">
        <v>60</v>
      </c>
      <c r="Y448" s="59">
        <v>326</v>
      </c>
      <c r="Z448" s="59">
        <v>523</v>
      </c>
      <c r="AA448" s="59">
        <v>1269</v>
      </c>
      <c r="AB448" s="59">
        <v>2273</v>
      </c>
      <c r="AC448" s="59">
        <f>VLOOKUP($A448,'[1]Flu Deaths Updated'!$A$2:$N$460,14,FALSE)</f>
        <v>60</v>
      </c>
      <c r="AD448" s="60">
        <f t="shared" si="6"/>
        <v>4952</v>
      </c>
      <c r="AE448" s="66">
        <f>Integrated[[#This Row],[Flu Deaths &lt;5 years old]]/Integrated[[#This Row],[Population &lt;5 years]]</f>
        <v>1.0341511170555649E-4</v>
      </c>
      <c r="AF448" s="67">
        <f>Integrated[[#This Row],[Flu Deaths 5 to 14 years]]/Integrated[[#This Row],[Population 5 to 14 years]]</f>
        <v>2.4912122487923848E-5</v>
      </c>
      <c r="AG448" s="67">
        <f>Integrated[[#This Row],[Flu Deaths 15 to 24 years]]/Integrated[[#This Row],[Population 15 to 24 years]]</f>
        <v>2.1794152774105058E-5</v>
      </c>
      <c r="AH448" s="67">
        <f>Integrated[[#This Row],[Flu Deaths 25 to 34 years]]/Integrated[[#This Row],[Population 25 to 34 years]]</f>
        <v>2.3018376721055256E-5</v>
      </c>
      <c r="AI448" s="67">
        <f>Integrated[[#This Row],[Flu Deaths 35 to 44 years]]/Integrated[[#This Row],[Population 35 to 44 years]]</f>
        <v>2.2005557136695587E-5</v>
      </c>
      <c r="AJ448" s="67">
        <f>Integrated[[#This Row],[Flu Deaths 45 to 54 years]]/Integrated[[#This Row],[Population 45 to 54 years]]</f>
        <v>4.9693591429864366E-5</v>
      </c>
      <c r="AK448" s="67">
        <f>Integrated[[#This Row],[Flu Deaths 55 to 64 years]]/Integrated[[#This Row],[Population 55 to 64 years]]</f>
        <v>1.4870417539429413E-4</v>
      </c>
      <c r="AL448" s="67">
        <f>Integrated[[#This Row],[Flu Deaths 65 to 74 years]]/Integrated[[#This Row],[Population 65 to 74 years]]</f>
        <v>4.002742988694356E-4</v>
      </c>
      <c r="AM448" s="67">
        <f>Integrated[[#This Row],[Flu Deaths 75 to 84 years]]/Integrated[[#This Row],[Population 75 to 84 years]]</f>
        <v>1.4365734158070622E-3</v>
      </c>
      <c r="AN448" s="67">
        <f>Integrated[[#This Row],[Flu Deaths 85+ years]]/Integrated[[#This Row],[Population 85+ years]]</f>
        <v>6.1979020387907414E-3</v>
      </c>
      <c r="AO448" s="68">
        <f>Integrated[[#This Row],[Total Flu Deaths]]/Integrated[[#This Row],[Total population]]</f>
        <v>2.575176216521149E-4</v>
      </c>
    </row>
    <row r="449" spans="1:41" x14ac:dyDescent="0.3">
      <c r="A449" s="44" t="s">
        <v>341</v>
      </c>
      <c r="B449" t="s">
        <v>334</v>
      </c>
      <c r="C449" s="45">
        <v>2013</v>
      </c>
      <c r="D449" s="51">
        <v>19427678</v>
      </c>
      <c r="E449" s="2">
        <v>9412134</v>
      </c>
      <c r="F449" s="2">
        <v>10015544</v>
      </c>
      <c r="G449" s="78">
        <f>Integrated[[#This Row],[Female Total population]]/Integrated[[#This Row],[Total population]]</f>
        <v>0.51552964795895839</v>
      </c>
      <c r="H449" s="2">
        <v>1164413</v>
      </c>
      <c r="I449" s="2">
        <v>2350196</v>
      </c>
      <c r="J449" s="2">
        <v>2747306</v>
      </c>
      <c r="K449" s="2">
        <v>2710636</v>
      </c>
      <c r="L449" s="2">
        <v>2567641</v>
      </c>
      <c r="M449" s="2">
        <v>2843168</v>
      </c>
      <c r="N449" s="2">
        <v>2359593</v>
      </c>
      <c r="O449" s="2">
        <v>1422130</v>
      </c>
      <c r="P449" s="2">
        <v>866741</v>
      </c>
      <c r="Q449" s="52">
        <v>400137</v>
      </c>
      <c r="R449" s="127">
        <f>Integrated[[#This Row],[Population 85+ years]]/Integrated[[#This Row],[Total population]]</f>
        <v>2.0596233888578966E-2</v>
      </c>
      <c r="S449" s="58">
        <v>120</v>
      </c>
      <c r="T449" s="59">
        <v>60</v>
      </c>
      <c r="U449" s="59">
        <v>60</v>
      </c>
      <c r="V449" s="59">
        <v>60</v>
      </c>
      <c r="W449" s="59">
        <v>150</v>
      </c>
      <c r="X449" s="59">
        <v>60</v>
      </c>
      <c r="Y449" s="59">
        <v>350</v>
      </c>
      <c r="Z449" s="59">
        <v>636</v>
      </c>
      <c r="AA449" s="59">
        <v>1216</v>
      </c>
      <c r="AB449" s="59">
        <v>2430</v>
      </c>
      <c r="AC449" s="59">
        <f>VLOOKUP($A449,'[1]Flu Deaths Updated'!$A$2:$N$460,14,FALSE)</f>
        <v>60</v>
      </c>
      <c r="AD449" s="60">
        <f t="shared" si="6"/>
        <v>5202</v>
      </c>
      <c r="AE449" s="66">
        <f>Integrated[[#This Row],[Flu Deaths &lt;5 years old]]/Integrated[[#This Row],[Population &lt;5 years]]</f>
        <v>1.0305621802573486E-4</v>
      </c>
      <c r="AF449" s="67">
        <f>Integrated[[#This Row],[Flu Deaths 5 to 14 years]]/Integrated[[#This Row],[Population 5 to 14 years]]</f>
        <v>2.5529785600860524E-5</v>
      </c>
      <c r="AG449" s="67">
        <f>Integrated[[#This Row],[Flu Deaths 15 to 24 years]]/Integrated[[#This Row],[Population 15 to 24 years]]</f>
        <v>2.1839576661645991E-5</v>
      </c>
      <c r="AH449" s="67">
        <f>Integrated[[#This Row],[Flu Deaths 25 to 34 years]]/Integrated[[#This Row],[Population 25 to 34 years]]</f>
        <v>2.2135026613680332E-5</v>
      </c>
      <c r="AI449" s="67">
        <f>Integrated[[#This Row],[Flu Deaths 35 to 44 years]]/Integrated[[#This Row],[Population 35 to 44 years]]</f>
        <v>2.3367752734903361E-5</v>
      </c>
      <c r="AJ449" s="67">
        <f>Integrated[[#This Row],[Flu Deaths 45 to 54 years]]/Integrated[[#This Row],[Population 45 to 54 years]]</f>
        <v>5.2758050175016037E-5</v>
      </c>
      <c r="AK449" s="67">
        <f>Integrated[[#This Row],[Flu Deaths 55 to 64 years]]/Integrated[[#This Row],[Population 55 to 64 years]]</f>
        <v>1.4833066550036384E-4</v>
      </c>
      <c r="AL449" s="67">
        <f>Integrated[[#This Row],[Flu Deaths 65 to 74 years]]/Integrated[[#This Row],[Population 65 to 74 years]]</f>
        <v>4.4721649919486964E-4</v>
      </c>
      <c r="AM449" s="67">
        <f>Integrated[[#This Row],[Flu Deaths 75 to 84 years]]/Integrated[[#This Row],[Population 75 to 84 years]]</f>
        <v>1.4029565925691757E-3</v>
      </c>
      <c r="AN449" s="67">
        <f>Integrated[[#This Row],[Flu Deaths 85+ years]]/Integrated[[#This Row],[Population 85+ years]]</f>
        <v>6.072920024891475E-3</v>
      </c>
      <c r="AO449" s="68">
        <f>Integrated[[#This Row],[Total Flu Deaths]]/Integrated[[#This Row],[Total population]]</f>
        <v>2.6776231312872282E-4</v>
      </c>
    </row>
    <row r="450" spans="1:41" x14ac:dyDescent="0.3">
      <c r="A450" s="44" t="s">
        <v>345</v>
      </c>
      <c r="B450" t="s">
        <v>334</v>
      </c>
      <c r="C450" s="45">
        <v>2015</v>
      </c>
      <c r="D450" s="51">
        <v>19540557</v>
      </c>
      <c r="E450" s="2">
        <v>9476276</v>
      </c>
      <c r="F450" s="2">
        <v>10064283</v>
      </c>
      <c r="G450" s="78">
        <f>Integrated[[#This Row],[Female Total population]]/Integrated[[#This Row],[Total population]]</f>
        <v>0.51504586077049896</v>
      </c>
      <c r="H450" s="2">
        <v>1171409</v>
      </c>
      <c r="I450" s="2">
        <v>2315519</v>
      </c>
      <c r="J450" s="2">
        <v>2709765</v>
      </c>
      <c r="K450" s="2">
        <v>2789789</v>
      </c>
      <c r="L450" s="2">
        <v>2519142</v>
      </c>
      <c r="M450" s="2">
        <v>2799426</v>
      </c>
      <c r="N450" s="2">
        <v>2444229</v>
      </c>
      <c r="O450" s="2">
        <v>1524671</v>
      </c>
      <c r="P450" s="2">
        <v>854108</v>
      </c>
      <c r="Q450" s="52">
        <v>414173</v>
      </c>
      <c r="R450" s="127">
        <f>Integrated[[#This Row],[Population 85+ years]]/Integrated[[#This Row],[Total population]]</f>
        <v>2.1195557526840204E-2</v>
      </c>
      <c r="S450" s="58">
        <v>120</v>
      </c>
      <c r="T450" s="59">
        <v>60</v>
      </c>
      <c r="U450" s="59">
        <v>60</v>
      </c>
      <c r="V450" s="59">
        <v>60</v>
      </c>
      <c r="W450" s="59">
        <v>141</v>
      </c>
      <c r="X450" s="59">
        <v>60</v>
      </c>
      <c r="Y450" s="59">
        <v>329</v>
      </c>
      <c r="Z450" s="59">
        <v>620</v>
      </c>
      <c r="AA450" s="59">
        <v>1214</v>
      </c>
      <c r="AB450" s="59">
        <v>2464</v>
      </c>
      <c r="AC450" s="59">
        <f>VLOOKUP($A450,'[1]Flu Deaths Updated'!$A$2:$N$460,14,FALSE)</f>
        <v>60</v>
      </c>
      <c r="AD450" s="60">
        <f t="shared" ref="AD450:AD513" si="7">SUM(S450:AC450)</f>
        <v>5188</v>
      </c>
      <c r="AE450" s="66">
        <f>Integrated[[#This Row],[Flu Deaths &lt;5 years old]]/Integrated[[#This Row],[Population &lt;5 years]]</f>
        <v>1.024407359000998E-4</v>
      </c>
      <c r="AF450" s="67">
        <f>Integrated[[#This Row],[Flu Deaths 5 to 14 years]]/Integrated[[#This Row],[Population 5 to 14 years]]</f>
        <v>2.5912117326612305E-5</v>
      </c>
      <c r="AG450" s="67">
        <f>Integrated[[#This Row],[Flu Deaths 15 to 24 years]]/Integrated[[#This Row],[Population 15 to 24 years]]</f>
        <v>2.214214147721297E-5</v>
      </c>
      <c r="AH450" s="67">
        <f>Integrated[[#This Row],[Flu Deaths 25 to 34 years]]/Integrated[[#This Row],[Population 25 to 34 years]]</f>
        <v>2.1507002859356031E-5</v>
      </c>
      <c r="AI450" s="67">
        <f>Integrated[[#This Row],[Flu Deaths 35 to 44 years]]/Integrated[[#This Row],[Population 35 to 44 years]]</f>
        <v>2.3817633146523697E-5</v>
      </c>
      <c r="AJ450" s="67">
        <f>Integrated[[#This Row],[Flu Deaths 45 to 54 years]]/Integrated[[#This Row],[Population 45 to 54 years]]</f>
        <v>5.0367468188121424E-5</v>
      </c>
      <c r="AK450" s="67">
        <f>Integrated[[#This Row],[Flu Deaths 55 to 64 years]]/Integrated[[#This Row],[Population 55 to 64 years]]</f>
        <v>1.3460277248981172E-4</v>
      </c>
      <c r="AL450" s="67">
        <f>Integrated[[#This Row],[Flu Deaths 65 to 74 years]]/Integrated[[#This Row],[Population 65 to 74 years]]</f>
        <v>4.0664510573100687E-4</v>
      </c>
      <c r="AM450" s="67">
        <f>Integrated[[#This Row],[Flu Deaths 75 to 84 years]]/Integrated[[#This Row],[Population 75 to 84 years]]</f>
        <v>1.4213659162541506E-3</v>
      </c>
      <c r="AN450" s="67">
        <f>Integrated[[#This Row],[Flu Deaths 85+ years]]/Integrated[[#This Row],[Population 85+ years]]</f>
        <v>5.9492048008923807E-3</v>
      </c>
      <c r="AO450" s="68">
        <f>Integrated[[#This Row],[Total Flu Deaths]]/Integrated[[#This Row],[Total population]]</f>
        <v>2.6549908480090923E-4</v>
      </c>
    </row>
    <row r="451" spans="1:41" x14ac:dyDescent="0.3">
      <c r="A451" s="44" t="s">
        <v>333</v>
      </c>
      <c r="B451" t="s">
        <v>334</v>
      </c>
      <c r="C451" s="45">
        <v>2011</v>
      </c>
      <c r="D451" s="51">
        <v>19219350</v>
      </c>
      <c r="E451" s="2">
        <v>9298802</v>
      </c>
      <c r="F451" s="2">
        <v>9920549</v>
      </c>
      <c r="G451" s="78">
        <f>Integrated[[#This Row],[Female Total population]]/Integrated[[#This Row],[Total population]]</f>
        <v>0.51617505274632081</v>
      </c>
      <c r="H451" s="2">
        <v>1153778</v>
      </c>
      <c r="I451" s="2">
        <v>2374444</v>
      </c>
      <c r="J451" s="2">
        <v>2740419</v>
      </c>
      <c r="K451" s="2">
        <v>2623093</v>
      </c>
      <c r="L451" s="2">
        <v>2659911</v>
      </c>
      <c r="M451" s="2">
        <v>2834699</v>
      </c>
      <c r="N451" s="2">
        <v>2245012</v>
      </c>
      <c r="O451" s="2">
        <v>1331135</v>
      </c>
      <c r="P451" s="2">
        <v>873117</v>
      </c>
      <c r="Q451" s="52">
        <v>376007</v>
      </c>
      <c r="R451" s="127">
        <f>Integrated[[#This Row],[Population 85+ years]]/Integrated[[#This Row],[Total population]]</f>
        <v>1.9563981091972413E-2</v>
      </c>
      <c r="S451" s="58">
        <v>120</v>
      </c>
      <c r="T451" s="59">
        <v>60</v>
      </c>
      <c r="U451" s="59">
        <v>60</v>
      </c>
      <c r="V451" s="59">
        <v>65</v>
      </c>
      <c r="W451" s="59">
        <v>158</v>
      </c>
      <c r="X451" s="59">
        <v>60</v>
      </c>
      <c r="Y451" s="59">
        <v>333</v>
      </c>
      <c r="Z451" s="59">
        <v>530</v>
      </c>
      <c r="AA451" s="59">
        <v>1268</v>
      </c>
      <c r="AB451" s="59">
        <v>2498</v>
      </c>
      <c r="AC451" s="59">
        <f>VLOOKUP($A451,'[1]Flu Deaths Updated'!$A$2:$N$460,14,FALSE)</f>
        <v>60</v>
      </c>
      <c r="AD451" s="60">
        <f t="shared" si="7"/>
        <v>5212</v>
      </c>
      <c r="AE451" s="66">
        <f>Integrated[[#This Row],[Flu Deaths &lt;5 years old]]/Integrated[[#This Row],[Population &lt;5 years]]</f>
        <v>1.0400614329619736E-4</v>
      </c>
      <c r="AF451" s="67">
        <f>Integrated[[#This Row],[Flu Deaths 5 to 14 years]]/Integrated[[#This Row],[Population 5 to 14 years]]</f>
        <v>2.5269073517842494E-5</v>
      </c>
      <c r="AG451" s="67">
        <f>Integrated[[#This Row],[Flu Deaths 15 to 24 years]]/Integrated[[#This Row],[Population 15 to 24 years]]</f>
        <v>2.1894462124222611E-5</v>
      </c>
      <c r="AH451" s="67">
        <f>Integrated[[#This Row],[Flu Deaths 25 to 34 years]]/Integrated[[#This Row],[Population 25 to 34 years]]</f>
        <v>2.2873760099241621E-5</v>
      </c>
      <c r="AI451" s="67">
        <f>Integrated[[#This Row],[Flu Deaths 35 to 44 years]]/Integrated[[#This Row],[Population 35 to 44 years]]</f>
        <v>2.4436907851428112E-5</v>
      </c>
      <c r="AJ451" s="67">
        <f>Integrated[[#This Row],[Flu Deaths 45 to 54 years]]/Integrated[[#This Row],[Population 45 to 54 years]]</f>
        <v>5.5737840243355645E-5</v>
      </c>
      <c r="AK451" s="67">
        <f>Integrated[[#This Row],[Flu Deaths 55 to 64 years]]/Integrated[[#This Row],[Population 55 to 64 years]]</f>
        <v>1.4832882853187422E-4</v>
      </c>
      <c r="AL451" s="67">
        <f>Integrated[[#This Row],[Flu Deaths 65 to 74 years]]/Integrated[[#This Row],[Population 65 to 74 years]]</f>
        <v>3.9815646046419031E-4</v>
      </c>
      <c r="AM451" s="67">
        <f>Integrated[[#This Row],[Flu Deaths 75 to 84 years]]/Integrated[[#This Row],[Population 75 to 84 years]]</f>
        <v>1.4522681381762123E-3</v>
      </c>
      <c r="AN451" s="67">
        <f>Integrated[[#This Row],[Flu Deaths 85+ years]]/Integrated[[#This Row],[Population 85+ years]]</f>
        <v>6.643493339219749E-3</v>
      </c>
      <c r="AO451" s="68">
        <f>Integrated[[#This Row],[Total Flu Deaths]]/Integrated[[#This Row],[Total population]]</f>
        <v>2.7118502967061841E-4</v>
      </c>
    </row>
    <row r="452" spans="1:41" x14ac:dyDescent="0.3">
      <c r="A452" s="44" t="s">
        <v>527</v>
      </c>
      <c r="B452" t="s">
        <v>506</v>
      </c>
      <c r="C452" s="45">
        <v>2014</v>
      </c>
      <c r="D452" s="51">
        <v>38025622</v>
      </c>
      <c r="E452" s="2">
        <v>18889198</v>
      </c>
      <c r="F452" s="2">
        <v>19136425</v>
      </c>
      <c r="G452" s="78">
        <f>Integrated[[#This Row],[Female Total population]]/Integrated[[#This Row],[Total population]]</f>
        <v>0.50325080809986489</v>
      </c>
      <c r="H452" s="2">
        <v>2526012</v>
      </c>
      <c r="I452" s="2">
        <v>5073421</v>
      </c>
      <c r="J452" s="2">
        <v>5594719</v>
      </c>
      <c r="K452" s="2">
        <v>5512122</v>
      </c>
      <c r="L452" s="2">
        <v>5166946</v>
      </c>
      <c r="M452" s="2">
        <v>5237330</v>
      </c>
      <c r="N452" s="2">
        <v>4302697</v>
      </c>
      <c r="O452" s="2">
        <v>2543722</v>
      </c>
      <c r="P452" s="2">
        <v>1412700</v>
      </c>
      <c r="Q452" s="52">
        <v>650707</v>
      </c>
      <c r="R452" s="127">
        <f>Integrated[[#This Row],[Population 85+ years]]/Integrated[[#This Row],[Total population]]</f>
        <v>1.7112330207248155E-2</v>
      </c>
      <c r="S452" s="58">
        <v>120</v>
      </c>
      <c r="T452" s="59">
        <v>60</v>
      </c>
      <c r="U452" s="59">
        <v>82</v>
      </c>
      <c r="V452" s="59">
        <v>134</v>
      </c>
      <c r="W452" s="59">
        <v>258</v>
      </c>
      <c r="X452" s="59">
        <v>60</v>
      </c>
      <c r="Y452" s="59">
        <v>589</v>
      </c>
      <c r="Z452" s="59">
        <v>800</v>
      </c>
      <c r="AA452" s="59">
        <v>1450</v>
      </c>
      <c r="AB452" s="59">
        <v>2638</v>
      </c>
      <c r="AC452" s="59">
        <f>VLOOKUP($A452,'[1]Flu Deaths Updated'!$A$2:$N$460,14,FALSE)</f>
        <v>60</v>
      </c>
      <c r="AD452" s="60">
        <f t="shared" si="7"/>
        <v>6251</v>
      </c>
      <c r="AE452" s="66">
        <f>Integrated[[#This Row],[Flu Deaths &lt;5 years old]]/Integrated[[#This Row],[Population &lt;5 years]]</f>
        <v>4.750571256193557E-5</v>
      </c>
      <c r="AF452" s="67">
        <f>Integrated[[#This Row],[Flu Deaths 5 to 14 years]]/Integrated[[#This Row],[Population 5 to 14 years]]</f>
        <v>1.182633966311883E-5</v>
      </c>
      <c r="AG452" s="67">
        <f>Integrated[[#This Row],[Flu Deaths 15 to 24 years]]/Integrated[[#This Row],[Population 15 to 24 years]]</f>
        <v>1.0724399205750995E-5</v>
      </c>
      <c r="AH452" s="67">
        <f>Integrated[[#This Row],[Flu Deaths 25 to 34 years]]/Integrated[[#This Row],[Population 25 to 34 years]]</f>
        <v>1.4876303536097351E-5</v>
      </c>
      <c r="AI452" s="67">
        <f>Integrated[[#This Row],[Flu Deaths 35 to 44 years]]/Integrated[[#This Row],[Population 35 to 44 years]]</f>
        <v>2.5934081757386278E-5</v>
      </c>
      <c r="AJ452" s="67">
        <f>Integrated[[#This Row],[Flu Deaths 45 to 54 years]]/Integrated[[#This Row],[Population 45 to 54 years]]</f>
        <v>4.9261742147239146E-5</v>
      </c>
      <c r="AK452" s="67">
        <f>Integrated[[#This Row],[Flu Deaths 55 to 64 years]]/Integrated[[#This Row],[Population 55 to 64 years]]</f>
        <v>1.3689088494960253E-4</v>
      </c>
      <c r="AL452" s="67">
        <f>Integrated[[#This Row],[Flu Deaths 65 to 74 years]]/Integrated[[#This Row],[Population 65 to 74 years]]</f>
        <v>3.1449977631203412E-4</v>
      </c>
      <c r="AM452" s="67">
        <f>Integrated[[#This Row],[Flu Deaths 75 to 84 years]]/Integrated[[#This Row],[Population 75 to 84 years]]</f>
        <v>1.0264033411198415E-3</v>
      </c>
      <c r="AN452" s="67">
        <f>Integrated[[#This Row],[Flu Deaths 85+ years]]/Integrated[[#This Row],[Population 85+ years]]</f>
        <v>4.0540519773108324E-3</v>
      </c>
      <c r="AO452" s="68">
        <f>Integrated[[#This Row],[Total Flu Deaths]]/Integrated[[#This Row],[Total population]]</f>
        <v>1.6438915844690192E-4</v>
      </c>
    </row>
    <row r="453" spans="1:41" x14ac:dyDescent="0.3">
      <c r="A453" s="44" t="s">
        <v>529</v>
      </c>
      <c r="B453" t="s">
        <v>506</v>
      </c>
      <c r="C453" s="45">
        <v>2016</v>
      </c>
      <c r="D453" s="51">
        <v>38563005</v>
      </c>
      <c r="E453" s="2">
        <v>19149385</v>
      </c>
      <c r="F453" s="2">
        <v>19413621</v>
      </c>
      <c r="G453" s="78">
        <f>Integrated[[#This Row],[Female Total population]]/Integrated[[#This Row],[Total population]]</f>
        <v>0.50342604265409296</v>
      </c>
      <c r="H453" s="2">
        <v>2493507</v>
      </c>
      <c r="I453" s="2">
        <v>5066056</v>
      </c>
      <c r="J453" s="2">
        <v>5503793</v>
      </c>
      <c r="K453" s="2">
        <v>5695671</v>
      </c>
      <c r="L453" s="2">
        <v>5150703</v>
      </c>
      <c r="M453" s="2">
        <v>5198365</v>
      </c>
      <c r="N453" s="2">
        <v>4496596</v>
      </c>
      <c r="O453" s="2">
        <v>2813478</v>
      </c>
      <c r="P453" s="2">
        <v>1475789</v>
      </c>
      <c r="Q453" s="52">
        <v>673571</v>
      </c>
      <c r="R453" s="127">
        <f>Integrated[[#This Row],[Population 85+ years]]/Integrated[[#This Row],[Total population]]</f>
        <v>1.7466766399558332E-2</v>
      </c>
      <c r="S453" s="58">
        <v>120</v>
      </c>
      <c r="T453" s="59">
        <v>60</v>
      </c>
      <c r="U453" s="59">
        <v>60</v>
      </c>
      <c r="V453" s="59">
        <v>89</v>
      </c>
      <c r="W453" s="59">
        <v>188</v>
      </c>
      <c r="X453" s="59">
        <v>60</v>
      </c>
      <c r="Y453" s="59">
        <v>511</v>
      </c>
      <c r="Z453" s="59">
        <v>921</v>
      </c>
      <c r="AA453" s="59">
        <v>1439</v>
      </c>
      <c r="AB453" s="59">
        <v>2725</v>
      </c>
      <c r="AC453" s="59">
        <f>VLOOKUP($A453,'[1]Flu Deaths Updated'!$A$2:$N$460,14,FALSE)</f>
        <v>60</v>
      </c>
      <c r="AD453" s="60">
        <f t="shared" si="7"/>
        <v>6233</v>
      </c>
      <c r="AE453" s="66">
        <f>Integrated[[#This Row],[Flu Deaths &lt;5 years old]]/Integrated[[#This Row],[Population &lt;5 years]]</f>
        <v>4.8124990224611362E-5</v>
      </c>
      <c r="AF453" s="67">
        <f>Integrated[[#This Row],[Flu Deaths 5 to 14 years]]/Integrated[[#This Row],[Population 5 to 14 years]]</f>
        <v>1.1843532720522631E-5</v>
      </c>
      <c r="AG453" s="67">
        <f>Integrated[[#This Row],[Flu Deaths 15 to 24 years]]/Integrated[[#This Row],[Population 15 to 24 years]]</f>
        <v>1.0901572788075423E-5</v>
      </c>
      <c r="AH453" s="67">
        <f>Integrated[[#This Row],[Flu Deaths 25 to 34 years]]/Integrated[[#This Row],[Population 25 to 34 years]]</f>
        <v>1.0534316325504054E-5</v>
      </c>
      <c r="AI453" s="67">
        <f>Integrated[[#This Row],[Flu Deaths 35 to 44 years]]/Integrated[[#This Row],[Population 35 to 44 years]]</f>
        <v>1.7279194704101557E-5</v>
      </c>
      <c r="AJ453" s="67">
        <f>Integrated[[#This Row],[Flu Deaths 45 to 54 years]]/Integrated[[#This Row],[Population 45 to 54 years]]</f>
        <v>3.6165217332757514E-5</v>
      </c>
      <c r="AK453" s="67">
        <f>Integrated[[#This Row],[Flu Deaths 55 to 64 years]]/Integrated[[#This Row],[Population 55 to 64 years]]</f>
        <v>1.1364151905130014E-4</v>
      </c>
      <c r="AL453" s="67">
        <f>Integrated[[#This Row],[Flu Deaths 65 to 74 years]]/Integrated[[#This Row],[Population 65 to 74 years]]</f>
        <v>3.2735283517411546E-4</v>
      </c>
      <c r="AM453" s="67">
        <f>Integrated[[#This Row],[Flu Deaths 75 to 84 years]]/Integrated[[#This Row],[Population 75 to 84 years]]</f>
        <v>9.7507163964496275E-4</v>
      </c>
      <c r="AN453" s="67">
        <f>Integrated[[#This Row],[Flu Deaths 85+ years]]/Integrated[[#This Row],[Population 85+ years]]</f>
        <v>4.0456017257275035E-3</v>
      </c>
      <c r="AO453" s="68">
        <f>Integrated[[#This Row],[Total Flu Deaths]]/Integrated[[#This Row],[Total population]]</f>
        <v>1.616315948407029E-4</v>
      </c>
    </row>
    <row r="454" spans="1:41" x14ac:dyDescent="0.3">
      <c r="A454" s="44" t="s">
        <v>505</v>
      </c>
      <c r="B454" t="s">
        <v>506</v>
      </c>
      <c r="C454" s="45">
        <v>2009</v>
      </c>
      <c r="D454" s="51">
        <v>36308527</v>
      </c>
      <c r="E454" s="2">
        <v>18158602</v>
      </c>
      <c r="F454" s="2">
        <v>18149925</v>
      </c>
      <c r="G454" s="78">
        <f>Integrated[[#This Row],[Female Total population]]/Integrated[[#This Row],[Total population]]</f>
        <v>0.49988051016225471</v>
      </c>
      <c r="H454" s="2">
        <v>2705840</v>
      </c>
      <c r="I454" s="2">
        <v>5120872</v>
      </c>
      <c r="J454" s="2">
        <v>5279508</v>
      </c>
      <c r="K454" s="2">
        <v>5289549</v>
      </c>
      <c r="L454" s="2">
        <v>5351072</v>
      </c>
      <c r="M454" s="2">
        <v>5064319</v>
      </c>
      <c r="N454" s="2">
        <v>3562235</v>
      </c>
      <c r="O454" s="2">
        <v>2052850</v>
      </c>
      <c r="P454" s="2">
        <v>1375656</v>
      </c>
      <c r="Q454" s="52">
        <v>543486</v>
      </c>
      <c r="R454" s="127">
        <f>Integrated[[#This Row],[Population 85+ years]]/Integrated[[#This Row],[Total population]]</f>
        <v>1.4968549949712915E-2</v>
      </c>
      <c r="S454" s="58">
        <v>120</v>
      </c>
      <c r="T454" s="59">
        <v>66</v>
      </c>
      <c r="U454" s="59">
        <v>123</v>
      </c>
      <c r="V454" s="59">
        <v>183</v>
      </c>
      <c r="W454" s="59">
        <v>346</v>
      </c>
      <c r="X454" s="59">
        <v>65</v>
      </c>
      <c r="Y454" s="59">
        <v>436</v>
      </c>
      <c r="Z454" s="59">
        <v>708</v>
      </c>
      <c r="AA454" s="59">
        <v>1633</v>
      </c>
      <c r="AB454" s="59">
        <v>2856</v>
      </c>
      <c r="AC454" s="59">
        <f>VLOOKUP($A454,'[1]Flu Deaths Updated'!$A$2:$N$460,14,FALSE)</f>
        <v>60</v>
      </c>
      <c r="AD454" s="60">
        <f t="shared" si="7"/>
        <v>6596</v>
      </c>
      <c r="AE454" s="66">
        <f>Integrated[[#This Row],[Flu Deaths &lt;5 years old]]/Integrated[[#This Row],[Population &lt;5 years]]</f>
        <v>4.4348520237708066E-5</v>
      </c>
      <c r="AF454" s="67">
        <f>Integrated[[#This Row],[Flu Deaths 5 to 14 years]]/Integrated[[#This Row],[Population 5 to 14 years]]</f>
        <v>1.2693150697771785E-5</v>
      </c>
      <c r="AG454" s="67">
        <f>Integrated[[#This Row],[Flu Deaths 15 to 24 years]]/Integrated[[#This Row],[Population 15 to 24 years]]</f>
        <v>1.2501164881273027E-5</v>
      </c>
      <c r="AH454" s="67">
        <f>Integrated[[#This Row],[Flu Deaths 25 to 34 years]]/Integrated[[#This Row],[Population 25 to 34 years]]</f>
        <v>2.3253400242629383E-5</v>
      </c>
      <c r="AI454" s="67">
        <f>Integrated[[#This Row],[Flu Deaths 35 to 44 years]]/Integrated[[#This Row],[Population 35 to 44 years]]</f>
        <v>3.4198754941066015E-5</v>
      </c>
      <c r="AJ454" s="67">
        <f>Integrated[[#This Row],[Flu Deaths 45 to 54 years]]/Integrated[[#This Row],[Population 45 to 54 years]]</f>
        <v>6.8321130639677324E-5</v>
      </c>
      <c r="AK454" s="67">
        <f>Integrated[[#This Row],[Flu Deaths 55 to 64 years]]/Integrated[[#This Row],[Population 55 to 64 years]]</f>
        <v>1.2239506938761761E-4</v>
      </c>
      <c r="AL454" s="67">
        <f>Integrated[[#This Row],[Flu Deaths 65 to 74 years]]/Integrated[[#This Row],[Population 65 to 74 years]]</f>
        <v>3.448863774752174E-4</v>
      </c>
      <c r="AM454" s="67">
        <f>Integrated[[#This Row],[Flu Deaths 75 to 84 years]]/Integrated[[#This Row],[Population 75 to 84 years]]</f>
        <v>1.1870700233197835E-3</v>
      </c>
      <c r="AN454" s="67">
        <f>Integrated[[#This Row],[Flu Deaths 85+ years]]/Integrated[[#This Row],[Population 85+ years]]</f>
        <v>5.254965169295989E-3</v>
      </c>
      <c r="AO454" s="68">
        <f>Integrated[[#This Row],[Total Flu Deaths]]/Integrated[[#This Row],[Total population]]</f>
        <v>1.8166531514759605E-4</v>
      </c>
    </row>
    <row r="455" spans="1:41" x14ac:dyDescent="0.3">
      <c r="A455" s="44" t="s">
        <v>528</v>
      </c>
      <c r="B455" t="s">
        <v>506</v>
      </c>
      <c r="C455" s="45">
        <v>2012</v>
      </c>
      <c r="D455" s="51">
        <v>37285733</v>
      </c>
      <c r="E455" s="2">
        <v>18539359</v>
      </c>
      <c r="F455" s="2">
        <v>18746376</v>
      </c>
      <c r="G455" s="78">
        <f>Integrated[[#This Row],[Female Total population]]/Integrated[[#This Row],[Total population]]</f>
        <v>0.50277611546486156</v>
      </c>
      <c r="H455" s="2">
        <v>2537458</v>
      </c>
      <c r="I455" s="2">
        <v>5079468</v>
      </c>
      <c r="J455" s="2">
        <v>5586236</v>
      </c>
      <c r="K455" s="2">
        <v>5336406</v>
      </c>
      <c r="L455" s="2">
        <v>5194326</v>
      </c>
      <c r="M455" s="2">
        <v>5214099</v>
      </c>
      <c r="N455" s="2">
        <v>4042760</v>
      </c>
      <c r="O455" s="2">
        <v>2302224</v>
      </c>
      <c r="P455" s="2">
        <v>1390778</v>
      </c>
      <c r="Q455" s="52">
        <v>613671</v>
      </c>
      <c r="R455" s="127">
        <f>Integrated[[#This Row],[Population 85+ years]]/Integrated[[#This Row],[Total population]]</f>
        <v>1.6458600934571944E-2</v>
      </c>
      <c r="S455" s="58">
        <v>120</v>
      </c>
      <c r="T455" s="59">
        <v>60</v>
      </c>
      <c r="U455" s="59">
        <v>60</v>
      </c>
      <c r="V455" s="59">
        <v>60</v>
      </c>
      <c r="W455" s="59">
        <v>166</v>
      </c>
      <c r="X455" s="59">
        <v>60</v>
      </c>
      <c r="Y455" s="59">
        <v>412</v>
      </c>
      <c r="Z455" s="59">
        <v>738</v>
      </c>
      <c r="AA455" s="59">
        <v>1443</v>
      </c>
      <c r="AB455" s="59">
        <v>2938</v>
      </c>
      <c r="AC455" s="59">
        <f>VLOOKUP($A455,'[1]Flu Deaths Updated'!$A$2:$N$460,14,FALSE)</f>
        <v>60</v>
      </c>
      <c r="AD455" s="60">
        <f t="shared" si="7"/>
        <v>6117</v>
      </c>
      <c r="AE455" s="66">
        <f>Integrated[[#This Row],[Flu Deaths &lt;5 years old]]/Integrated[[#This Row],[Population &lt;5 years]]</f>
        <v>4.729142314867872E-5</v>
      </c>
      <c r="AF455" s="67">
        <f>Integrated[[#This Row],[Flu Deaths 5 to 14 years]]/Integrated[[#This Row],[Population 5 to 14 years]]</f>
        <v>1.1812260654068497E-5</v>
      </c>
      <c r="AG455" s="67">
        <f>Integrated[[#This Row],[Flu Deaths 15 to 24 years]]/Integrated[[#This Row],[Population 15 to 24 years]]</f>
        <v>1.0740684783099031E-5</v>
      </c>
      <c r="AH455" s="67">
        <f>Integrated[[#This Row],[Flu Deaths 25 to 34 years]]/Integrated[[#This Row],[Population 25 to 34 years]]</f>
        <v>1.1243522325700106E-5</v>
      </c>
      <c r="AI455" s="67">
        <f>Integrated[[#This Row],[Flu Deaths 35 to 44 years]]/Integrated[[#This Row],[Population 35 to 44 years]]</f>
        <v>1.1551065528039634E-5</v>
      </c>
      <c r="AJ455" s="67">
        <f>Integrated[[#This Row],[Flu Deaths 45 to 54 years]]/Integrated[[#This Row],[Population 45 to 54 years]]</f>
        <v>3.1836756455909256E-5</v>
      </c>
      <c r="AK455" s="67">
        <f>Integrated[[#This Row],[Flu Deaths 55 to 64 years]]/Integrated[[#This Row],[Population 55 to 64 years]]</f>
        <v>1.0191057594316754E-4</v>
      </c>
      <c r="AL455" s="67">
        <f>Integrated[[#This Row],[Flu Deaths 65 to 74 years]]/Integrated[[#This Row],[Population 65 to 74 years]]</f>
        <v>3.2055959802347643E-4</v>
      </c>
      <c r="AM455" s="67">
        <f>Integrated[[#This Row],[Flu Deaths 75 to 84 years]]/Integrated[[#This Row],[Population 75 to 84 years]]</f>
        <v>1.0375487676681685E-3</v>
      </c>
      <c r="AN455" s="67">
        <f>Integrated[[#This Row],[Flu Deaths 85+ years]]/Integrated[[#This Row],[Population 85+ years]]</f>
        <v>4.7875816194671086E-3</v>
      </c>
      <c r="AO455" s="68">
        <f>Integrated[[#This Row],[Total Flu Deaths]]/Integrated[[#This Row],[Total population]]</f>
        <v>1.6405738892138718E-4</v>
      </c>
    </row>
    <row r="456" spans="1:41" x14ac:dyDescent="0.3">
      <c r="A456" s="44" t="s">
        <v>521</v>
      </c>
      <c r="B456" t="s">
        <v>506</v>
      </c>
      <c r="C456" s="45">
        <v>2010</v>
      </c>
      <c r="D456" s="51">
        <v>36388689</v>
      </c>
      <c r="E456" s="2">
        <v>18100624</v>
      </c>
      <c r="F456" s="2">
        <v>18288065</v>
      </c>
      <c r="G456" s="78">
        <f>Integrated[[#This Row],[Female Total population]]/Integrated[[#This Row],[Total population]]</f>
        <v>0.50257553933861154</v>
      </c>
      <c r="H456" s="2">
        <v>2535663</v>
      </c>
      <c r="I456" s="2">
        <v>5069438</v>
      </c>
      <c r="J456" s="2">
        <v>5478791</v>
      </c>
      <c r="K456" s="2">
        <v>5214255</v>
      </c>
      <c r="L456" s="2">
        <v>5246853</v>
      </c>
      <c r="M456" s="2">
        <v>5104374</v>
      </c>
      <c r="N456" s="2">
        <v>3730710</v>
      </c>
      <c r="O456" s="2">
        <v>2113304</v>
      </c>
      <c r="P456" s="2">
        <v>1351996</v>
      </c>
      <c r="Q456" s="52">
        <v>555581</v>
      </c>
      <c r="R456" s="127">
        <f>Integrated[[#This Row],[Population 85+ years]]/Integrated[[#This Row],[Total population]]</f>
        <v>1.5267958678038662E-2</v>
      </c>
      <c r="S456" s="58">
        <v>120</v>
      </c>
      <c r="T456" s="59">
        <v>60</v>
      </c>
      <c r="U456" s="59">
        <v>60</v>
      </c>
      <c r="V456" s="59">
        <v>77</v>
      </c>
      <c r="W456" s="59">
        <v>145</v>
      </c>
      <c r="X456" s="59">
        <v>60</v>
      </c>
      <c r="Y456" s="59">
        <v>351</v>
      </c>
      <c r="Z456" s="59">
        <v>695</v>
      </c>
      <c r="AA456" s="59">
        <v>1579</v>
      </c>
      <c r="AB456" s="59">
        <v>2955</v>
      </c>
      <c r="AC456" s="59">
        <f>VLOOKUP($A456,'[1]Flu Deaths Updated'!$A$2:$N$460,14,FALSE)</f>
        <v>60</v>
      </c>
      <c r="AD456" s="60">
        <f t="shared" si="7"/>
        <v>6162</v>
      </c>
      <c r="AE456" s="66">
        <f>Integrated[[#This Row],[Flu Deaths &lt;5 years old]]/Integrated[[#This Row],[Population &lt;5 years]]</f>
        <v>4.7324900824754712E-5</v>
      </c>
      <c r="AF456" s="67">
        <f>Integrated[[#This Row],[Flu Deaths 5 to 14 years]]/Integrated[[#This Row],[Population 5 to 14 years]]</f>
        <v>1.1835631484200024E-5</v>
      </c>
      <c r="AG456" s="67">
        <f>Integrated[[#This Row],[Flu Deaths 15 to 24 years]]/Integrated[[#This Row],[Population 15 to 24 years]]</f>
        <v>1.0951321194767239E-5</v>
      </c>
      <c r="AH456" s="67">
        <f>Integrated[[#This Row],[Flu Deaths 25 to 34 years]]/Integrated[[#This Row],[Population 25 to 34 years]]</f>
        <v>1.1506917095539057E-5</v>
      </c>
      <c r="AI456" s="67">
        <f>Integrated[[#This Row],[Flu Deaths 35 to 44 years]]/Integrated[[#This Row],[Population 35 to 44 years]]</f>
        <v>1.4675463558822785E-5</v>
      </c>
      <c r="AJ456" s="67">
        <f>Integrated[[#This Row],[Flu Deaths 45 to 54 years]]/Integrated[[#This Row],[Population 45 to 54 years]]</f>
        <v>2.840700936099118E-5</v>
      </c>
      <c r="AK456" s="67">
        <f>Integrated[[#This Row],[Flu Deaths 55 to 64 years]]/Integrated[[#This Row],[Population 55 to 64 years]]</f>
        <v>9.4083967931037256E-5</v>
      </c>
      <c r="AL456" s="67">
        <f>Integrated[[#This Row],[Flu Deaths 65 to 74 years]]/Integrated[[#This Row],[Population 65 to 74 years]]</f>
        <v>3.2886891805438307E-4</v>
      </c>
      <c r="AM456" s="67">
        <f>Integrated[[#This Row],[Flu Deaths 75 to 84 years]]/Integrated[[#This Row],[Population 75 to 84 years]]</f>
        <v>1.1679028636179397E-3</v>
      </c>
      <c r="AN456" s="67">
        <f>Integrated[[#This Row],[Flu Deaths 85+ years]]/Integrated[[#This Row],[Population 85+ years]]</f>
        <v>5.3187564009568363E-3</v>
      </c>
      <c r="AO456" s="68">
        <f>Integrated[[#This Row],[Total Flu Deaths]]/Integrated[[#This Row],[Total population]]</f>
        <v>1.6933833477760082E-4</v>
      </c>
    </row>
    <row r="457" spans="1:41" x14ac:dyDescent="0.3">
      <c r="A457" s="44" t="s">
        <v>520</v>
      </c>
      <c r="B457" t="s">
        <v>506</v>
      </c>
      <c r="C457" s="45">
        <v>2017</v>
      </c>
      <c r="D457" s="51">
        <v>38522413</v>
      </c>
      <c r="E457" s="2">
        <v>19133362</v>
      </c>
      <c r="F457" s="2">
        <v>19389051</v>
      </c>
      <c r="G457" s="78">
        <f>Integrated[[#This Row],[Female Total population]]/Integrated[[#This Row],[Total population]]</f>
        <v>0.50331870436049786</v>
      </c>
      <c r="H457" s="2">
        <v>2465634</v>
      </c>
      <c r="I457" s="2">
        <v>5016388</v>
      </c>
      <c r="J457" s="2">
        <v>5380742</v>
      </c>
      <c r="K457" s="2">
        <v>5762273</v>
      </c>
      <c r="L457" s="2">
        <v>5129195</v>
      </c>
      <c r="M457" s="2">
        <v>5149012</v>
      </c>
      <c r="N457" s="2">
        <v>4542599</v>
      </c>
      <c r="O457" s="2">
        <v>2908251</v>
      </c>
      <c r="P457" s="2">
        <v>1487343</v>
      </c>
      <c r="Q457" s="52">
        <v>680993</v>
      </c>
      <c r="R457" s="127">
        <f>Integrated[[#This Row],[Population 85+ years]]/Integrated[[#This Row],[Total population]]</f>
        <v>1.7677838613069229E-2</v>
      </c>
      <c r="S457" s="58">
        <v>120</v>
      </c>
      <c r="T457" s="59">
        <v>60</v>
      </c>
      <c r="U457" s="59">
        <v>60</v>
      </c>
      <c r="V457" s="59">
        <v>76</v>
      </c>
      <c r="W457" s="59">
        <v>168</v>
      </c>
      <c r="X457" s="59">
        <v>60</v>
      </c>
      <c r="Y457" s="59">
        <v>503</v>
      </c>
      <c r="Z457" s="59">
        <v>930</v>
      </c>
      <c r="AA457" s="59">
        <v>1595</v>
      </c>
      <c r="AB457" s="59">
        <v>2985</v>
      </c>
      <c r="AC457" s="59">
        <f>VLOOKUP($A457,'[1]Flu Deaths Updated'!$A$2:$N$460,14,FALSE)</f>
        <v>60</v>
      </c>
      <c r="AD457" s="60">
        <f t="shared" si="7"/>
        <v>6617</v>
      </c>
      <c r="AE457" s="66">
        <f>Integrated[[#This Row],[Flu Deaths &lt;5 years old]]/Integrated[[#This Row],[Population &lt;5 years]]</f>
        <v>4.8669023869722758E-5</v>
      </c>
      <c r="AF457" s="67">
        <f>Integrated[[#This Row],[Flu Deaths 5 to 14 years]]/Integrated[[#This Row],[Population 5 to 14 years]]</f>
        <v>1.1960797290799675E-5</v>
      </c>
      <c r="AG457" s="67">
        <f>Integrated[[#This Row],[Flu Deaths 15 to 24 years]]/Integrated[[#This Row],[Population 15 to 24 years]]</f>
        <v>1.1150878447619306E-5</v>
      </c>
      <c r="AH457" s="67">
        <f>Integrated[[#This Row],[Flu Deaths 25 to 34 years]]/Integrated[[#This Row],[Population 25 to 34 years]]</f>
        <v>1.0412557683400283E-5</v>
      </c>
      <c r="AI457" s="67">
        <f>Integrated[[#This Row],[Flu Deaths 35 to 44 years]]/Integrated[[#This Row],[Population 35 to 44 years]]</f>
        <v>1.481713992156664E-5</v>
      </c>
      <c r="AJ457" s="67">
        <f>Integrated[[#This Row],[Flu Deaths 45 to 54 years]]/Integrated[[#This Row],[Population 45 to 54 years]]</f>
        <v>3.2627618657715305E-5</v>
      </c>
      <c r="AK457" s="67">
        <f>Integrated[[#This Row],[Flu Deaths 55 to 64 years]]/Integrated[[#This Row],[Population 55 to 64 years]]</f>
        <v>1.1072956252576995E-4</v>
      </c>
      <c r="AL457" s="67">
        <f>Integrated[[#This Row],[Flu Deaths 65 to 74 years]]/Integrated[[#This Row],[Population 65 to 74 years]]</f>
        <v>3.1977982643176261E-4</v>
      </c>
      <c r="AM457" s="67">
        <f>Integrated[[#This Row],[Flu Deaths 75 to 84 years]]/Integrated[[#This Row],[Population 75 to 84 years]]</f>
        <v>1.0723820934377612E-3</v>
      </c>
      <c r="AN457" s="67">
        <f>Integrated[[#This Row],[Flu Deaths 85+ years]]/Integrated[[#This Row],[Population 85+ years]]</f>
        <v>4.3833049678924747E-3</v>
      </c>
      <c r="AO457" s="68">
        <f>Integrated[[#This Row],[Total Flu Deaths]]/Integrated[[#This Row],[Total population]]</f>
        <v>1.7177013288342035E-4</v>
      </c>
    </row>
    <row r="458" spans="1:41" x14ac:dyDescent="0.3">
      <c r="A458" s="44" t="s">
        <v>522</v>
      </c>
      <c r="B458" t="s">
        <v>506</v>
      </c>
      <c r="C458" s="45">
        <v>2015</v>
      </c>
      <c r="D458" s="51">
        <v>38395332</v>
      </c>
      <c r="E458" s="2">
        <v>19072017</v>
      </c>
      <c r="F458" s="2">
        <v>19323318</v>
      </c>
      <c r="G458" s="78">
        <f>Integrated[[#This Row],[Female Total population]]/Integrated[[#This Row],[Total population]]</f>
        <v>0.50327258532365338</v>
      </c>
      <c r="H458" s="2">
        <v>2512239</v>
      </c>
      <c r="I458" s="2">
        <v>5067523</v>
      </c>
      <c r="J458" s="2">
        <v>5572036</v>
      </c>
      <c r="K458" s="2">
        <v>5613958</v>
      </c>
      <c r="L458" s="2">
        <v>5174845</v>
      </c>
      <c r="M458" s="2">
        <v>5241600</v>
      </c>
      <c r="N458" s="2">
        <v>4411549</v>
      </c>
      <c r="O458" s="2">
        <v>2676094</v>
      </c>
      <c r="P458" s="2">
        <v>1440099</v>
      </c>
      <c r="Q458" s="52">
        <v>659321</v>
      </c>
      <c r="R458" s="127">
        <f>Integrated[[#This Row],[Population 85+ years]]/Integrated[[#This Row],[Total population]]</f>
        <v>1.7171905168055324E-2</v>
      </c>
      <c r="S458" s="58">
        <v>120</v>
      </c>
      <c r="T458" s="59">
        <v>60</v>
      </c>
      <c r="U458" s="59">
        <v>60</v>
      </c>
      <c r="V458" s="59">
        <v>69</v>
      </c>
      <c r="W458" s="59">
        <v>170</v>
      </c>
      <c r="X458" s="59">
        <v>60</v>
      </c>
      <c r="Y458" s="59">
        <v>441</v>
      </c>
      <c r="Z458" s="59">
        <v>869</v>
      </c>
      <c r="AA458" s="59">
        <v>1537</v>
      </c>
      <c r="AB458" s="59">
        <v>3017</v>
      </c>
      <c r="AC458" s="59">
        <f>VLOOKUP($A458,'[1]Flu Deaths Updated'!$A$2:$N$460,14,FALSE)</f>
        <v>60</v>
      </c>
      <c r="AD458" s="60">
        <f t="shared" si="7"/>
        <v>6463</v>
      </c>
      <c r="AE458" s="66">
        <f>Integrated[[#This Row],[Flu Deaths &lt;5 years old]]/Integrated[[#This Row],[Population &lt;5 years]]</f>
        <v>4.7766156006653826E-5</v>
      </c>
      <c r="AF458" s="67">
        <f>Integrated[[#This Row],[Flu Deaths 5 to 14 years]]/Integrated[[#This Row],[Population 5 to 14 years]]</f>
        <v>1.184010412976912E-5</v>
      </c>
      <c r="AG458" s="67">
        <f>Integrated[[#This Row],[Flu Deaths 15 to 24 years]]/Integrated[[#This Row],[Population 15 to 24 years]]</f>
        <v>1.0768056774938281E-5</v>
      </c>
      <c r="AH458" s="67">
        <f>Integrated[[#This Row],[Flu Deaths 25 to 34 years]]/Integrated[[#This Row],[Population 25 to 34 years]]</f>
        <v>1.06876467547495E-5</v>
      </c>
      <c r="AI458" s="67">
        <f>Integrated[[#This Row],[Flu Deaths 35 to 44 years]]/Integrated[[#This Row],[Population 35 to 44 years]]</f>
        <v>1.3333732701172693E-5</v>
      </c>
      <c r="AJ458" s="67">
        <f>Integrated[[#This Row],[Flu Deaths 45 to 54 years]]/Integrated[[#This Row],[Population 45 to 54 years]]</f>
        <v>3.2432844932844933E-5</v>
      </c>
      <c r="AK458" s="67">
        <f>Integrated[[#This Row],[Flu Deaths 55 to 64 years]]/Integrated[[#This Row],[Population 55 to 64 years]]</f>
        <v>9.9964887616571871E-5</v>
      </c>
      <c r="AL458" s="67">
        <f>Integrated[[#This Row],[Flu Deaths 65 to 74 years]]/Integrated[[#This Row],[Population 65 to 74 years]]</f>
        <v>3.2472700884199134E-4</v>
      </c>
      <c r="AM458" s="67">
        <f>Integrated[[#This Row],[Flu Deaths 75 to 84 years]]/Integrated[[#This Row],[Population 75 to 84 years]]</f>
        <v>1.0672877350793243E-3</v>
      </c>
      <c r="AN458" s="67">
        <f>Integrated[[#This Row],[Flu Deaths 85+ years]]/Integrated[[#This Row],[Population 85+ years]]</f>
        <v>4.5759197720078686E-3</v>
      </c>
      <c r="AO458" s="68">
        <f>Integrated[[#This Row],[Total Flu Deaths]]/Integrated[[#This Row],[Total population]]</f>
        <v>1.6832775400926341E-4</v>
      </c>
    </row>
    <row r="459" spans="1:41" x14ac:dyDescent="0.3">
      <c r="A459" s="44" t="s">
        <v>514</v>
      </c>
      <c r="B459" t="s">
        <v>506</v>
      </c>
      <c r="C459" s="45">
        <v>2011</v>
      </c>
      <c r="D459" s="51">
        <v>36968289</v>
      </c>
      <c r="E459" s="2">
        <v>18386710</v>
      </c>
      <c r="F459" s="2">
        <v>18581580</v>
      </c>
      <c r="G459" s="78">
        <f>Integrated[[#This Row],[Female Total population]]/Integrated[[#This Row],[Total population]]</f>
        <v>0.50263565078708405</v>
      </c>
      <c r="H459" s="2">
        <v>2549768</v>
      </c>
      <c r="I459" s="2">
        <v>5079950</v>
      </c>
      <c r="J459" s="2">
        <v>5556734</v>
      </c>
      <c r="K459" s="2">
        <v>5285951</v>
      </c>
      <c r="L459" s="2">
        <v>5239646</v>
      </c>
      <c r="M459" s="2">
        <v>5200397</v>
      </c>
      <c r="N459" s="2">
        <v>3911009</v>
      </c>
      <c r="O459" s="2">
        <v>2219908</v>
      </c>
      <c r="P459" s="2">
        <v>1380470</v>
      </c>
      <c r="Q459" s="52">
        <v>581946</v>
      </c>
      <c r="R459" s="127">
        <f>Integrated[[#This Row],[Population 85+ years]]/Integrated[[#This Row],[Total population]]</f>
        <v>1.5741761811048381E-2</v>
      </c>
      <c r="S459" s="58">
        <v>120</v>
      </c>
      <c r="T459" s="59">
        <v>60</v>
      </c>
      <c r="U459" s="59">
        <v>68</v>
      </c>
      <c r="V459" s="59">
        <v>85</v>
      </c>
      <c r="W459" s="59">
        <v>216</v>
      </c>
      <c r="X459" s="59">
        <v>60</v>
      </c>
      <c r="Y459" s="59">
        <v>444</v>
      </c>
      <c r="Z459" s="59">
        <v>671</v>
      </c>
      <c r="AA459" s="59">
        <v>1617</v>
      </c>
      <c r="AB459" s="59">
        <v>3050</v>
      </c>
      <c r="AC459" s="59">
        <f>VLOOKUP($A459,'[1]Flu Deaths Updated'!$A$2:$N$460,14,FALSE)</f>
        <v>60</v>
      </c>
      <c r="AD459" s="60">
        <f t="shared" si="7"/>
        <v>6451</v>
      </c>
      <c r="AE459" s="66">
        <f>Integrated[[#This Row],[Flu Deaths &lt;5 years old]]/Integrated[[#This Row],[Population &lt;5 years]]</f>
        <v>4.7063105349192552E-5</v>
      </c>
      <c r="AF459" s="67">
        <f>Integrated[[#This Row],[Flu Deaths 5 to 14 years]]/Integrated[[#This Row],[Population 5 to 14 years]]</f>
        <v>1.1811139873423951E-5</v>
      </c>
      <c r="AG459" s="67">
        <f>Integrated[[#This Row],[Flu Deaths 15 to 24 years]]/Integrated[[#This Row],[Population 15 to 24 years]]</f>
        <v>1.0797709589841802E-5</v>
      </c>
      <c r="AH459" s="67">
        <f>Integrated[[#This Row],[Flu Deaths 25 to 34 years]]/Integrated[[#This Row],[Population 25 to 34 years]]</f>
        <v>1.2864288753338803E-5</v>
      </c>
      <c r="AI459" s="67">
        <f>Integrated[[#This Row],[Flu Deaths 35 to 44 years]]/Integrated[[#This Row],[Population 35 to 44 years]]</f>
        <v>1.6222469991293305E-5</v>
      </c>
      <c r="AJ459" s="67">
        <f>Integrated[[#This Row],[Flu Deaths 45 to 54 years]]/Integrated[[#This Row],[Population 45 to 54 years]]</f>
        <v>4.1535290478784602E-5</v>
      </c>
      <c r="AK459" s="67">
        <f>Integrated[[#This Row],[Flu Deaths 55 to 64 years]]/Integrated[[#This Row],[Population 55 to 64 years]]</f>
        <v>1.1352569119631277E-4</v>
      </c>
      <c r="AL459" s="67">
        <f>Integrated[[#This Row],[Flu Deaths 65 to 74 years]]/Integrated[[#This Row],[Population 65 to 74 years]]</f>
        <v>3.0226477854037193E-4</v>
      </c>
      <c r="AM459" s="67">
        <f>Integrated[[#This Row],[Flu Deaths 75 to 84 years]]/Integrated[[#This Row],[Population 75 to 84 years]]</f>
        <v>1.1713401957304395E-3</v>
      </c>
      <c r="AN459" s="67">
        <f>Integrated[[#This Row],[Flu Deaths 85+ years]]/Integrated[[#This Row],[Population 85+ years]]</f>
        <v>5.2410361098796108E-3</v>
      </c>
      <c r="AO459" s="68">
        <f>Integrated[[#This Row],[Total Flu Deaths]]/Integrated[[#This Row],[Total population]]</f>
        <v>1.7450090806204205E-4</v>
      </c>
    </row>
    <row r="460" spans="1:41" ht="15" thickBot="1" x14ac:dyDescent="0.35">
      <c r="A460" s="46" t="s">
        <v>508</v>
      </c>
      <c r="B460" s="47" t="s">
        <v>506</v>
      </c>
      <c r="C460" s="48">
        <v>2013</v>
      </c>
      <c r="D460" s="53">
        <v>37571998</v>
      </c>
      <c r="E460" s="54">
        <v>18682616</v>
      </c>
      <c r="F460" s="54">
        <v>18889383</v>
      </c>
      <c r="G460" s="79">
        <f>Integrated[[#This Row],[Female Total population]]/Integrated[[#This Row],[Total population]]</f>
        <v>0.50275162369592374</v>
      </c>
      <c r="H460" s="54">
        <v>2520277</v>
      </c>
      <c r="I460" s="54">
        <v>5074157</v>
      </c>
      <c r="J460" s="54">
        <v>5593870</v>
      </c>
      <c r="K460" s="54">
        <v>5414010</v>
      </c>
      <c r="L460" s="54">
        <v>5164124</v>
      </c>
      <c r="M460" s="54">
        <v>5226244</v>
      </c>
      <c r="N460" s="54">
        <v>4171196</v>
      </c>
      <c r="O460" s="54">
        <v>2418552</v>
      </c>
      <c r="P460" s="54">
        <v>1390879</v>
      </c>
      <c r="Q460" s="55">
        <v>626696</v>
      </c>
      <c r="R460" s="128">
        <f>Integrated[[#This Row],[Population 85+ years]]/Integrated[[#This Row],[Total population]]</f>
        <v>1.6679868874686941E-2</v>
      </c>
      <c r="S460" s="61">
        <v>120</v>
      </c>
      <c r="T460" s="62">
        <v>60</v>
      </c>
      <c r="U460" s="62">
        <v>66</v>
      </c>
      <c r="V460" s="62">
        <v>72</v>
      </c>
      <c r="W460" s="62">
        <v>179</v>
      </c>
      <c r="X460" s="62">
        <v>60</v>
      </c>
      <c r="Y460" s="62">
        <v>501</v>
      </c>
      <c r="Z460" s="62">
        <v>828</v>
      </c>
      <c r="AA460" s="62">
        <v>1602</v>
      </c>
      <c r="AB460" s="62">
        <v>3264</v>
      </c>
      <c r="AC460" s="62">
        <f>VLOOKUP($A460,'[1]Flu Deaths Updated'!$A$2:$N$460,14,FALSE)</f>
        <v>60</v>
      </c>
      <c r="AD460" s="63">
        <f t="shared" si="7"/>
        <v>6812</v>
      </c>
      <c r="AE460" s="69">
        <f>Integrated[[#This Row],[Flu Deaths &lt;5 years old]]/Integrated[[#This Row],[Population &lt;5 years]]</f>
        <v>4.7613813878395112E-5</v>
      </c>
      <c r="AF460" s="70">
        <f>Integrated[[#This Row],[Flu Deaths 5 to 14 years]]/Integrated[[#This Row],[Population 5 to 14 years]]</f>
        <v>1.1824624267636969E-5</v>
      </c>
      <c r="AG460" s="70">
        <f>Integrated[[#This Row],[Flu Deaths 15 to 24 years]]/Integrated[[#This Row],[Population 15 to 24 years]]</f>
        <v>1.0726026882998711E-5</v>
      </c>
      <c r="AH460" s="70">
        <f>Integrated[[#This Row],[Flu Deaths 25 to 34 years]]/Integrated[[#This Row],[Population 25 to 34 years]]</f>
        <v>1.2190594402300697E-5</v>
      </c>
      <c r="AI460" s="70">
        <f>Integrated[[#This Row],[Flu Deaths 35 to 44 years]]/Integrated[[#This Row],[Population 35 to 44 years]]</f>
        <v>1.3942345303869543E-5</v>
      </c>
      <c r="AJ460" s="70">
        <f>Integrated[[#This Row],[Flu Deaths 45 to 54 years]]/Integrated[[#This Row],[Population 45 to 54 years]]</f>
        <v>3.4250218703910497E-5</v>
      </c>
      <c r="AK460" s="70">
        <f>Integrated[[#This Row],[Flu Deaths 55 to 64 years]]/Integrated[[#This Row],[Population 55 to 64 years]]</f>
        <v>1.2010943623843138E-4</v>
      </c>
      <c r="AL460" s="70">
        <f>Integrated[[#This Row],[Flu Deaths 65 to 74 years]]/Integrated[[#This Row],[Population 65 to 74 years]]</f>
        <v>3.4235360662082106E-4</v>
      </c>
      <c r="AM460" s="70">
        <f>Integrated[[#This Row],[Flu Deaths 75 to 84 years]]/Integrated[[#This Row],[Population 75 to 84 years]]</f>
        <v>1.1517896236840157E-3</v>
      </c>
      <c r="AN460" s="70">
        <f>Integrated[[#This Row],[Flu Deaths 85+ years]]/Integrated[[#This Row],[Population 85+ years]]</f>
        <v>5.2082668470837534E-3</v>
      </c>
      <c r="AO460" s="71">
        <f>Integrated[[#This Row],[Total Flu Deaths]]/Integrated[[#This Row],[Total population]]</f>
        <v>1.813052369480058E-4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A6679-6DC3-4BF4-8750-EB8838C920F1}">
  <sheetPr>
    <tabColor rgb="FFFFC000"/>
  </sheetPr>
  <dimension ref="A1:G20"/>
  <sheetViews>
    <sheetView tabSelected="1" workbookViewId="0">
      <selection activeCell="H17" sqref="H17"/>
    </sheetView>
  </sheetViews>
  <sheetFormatPr defaultRowHeight="14.4" x14ac:dyDescent="0.3"/>
  <cols>
    <col min="1" max="1" width="87.88671875" customWidth="1"/>
    <col min="3" max="3" width="23.21875" style="1" bestFit="1" customWidth="1"/>
    <col min="4" max="5" width="17.21875" bestFit="1" customWidth="1"/>
    <col min="6" max="6" width="17.44140625" bestFit="1" customWidth="1"/>
    <col min="7" max="7" width="16.21875" customWidth="1"/>
  </cols>
  <sheetData>
    <row r="1" spans="1:7" ht="27.6" customHeight="1" x14ac:dyDescent="0.3">
      <c r="A1" s="72" t="s">
        <v>605</v>
      </c>
      <c r="C1" s="178" t="s">
        <v>590</v>
      </c>
      <c r="D1" s="179"/>
      <c r="E1" s="179"/>
      <c r="F1" s="179"/>
    </row>
    <row r="2" spans="1:7" x14ac:dyDescent="0.3">
      <c r="A2" s="4"/>
      <c r="C2" s="134"/>
      <c r="D2" s="85" t="s">
        <v>602</v>
      </c>
      <c r="E2" s="86" t="s">
        <v>603</v>
      </c>
      <c r="F2" s="101" t="s">
        <v>610</v>
      </c>
    </row>
    <row r="3" spans="1:7" ht="14.4" customHeight="1" x14ac:dyDescent="0.3">
      <c r="A3" s="138" t="s">
        <v>606</v>
      </c>
      <c r="C3" s="134" t="s">
        <v>591</v>
      </c>
      <c r="D3" s="6" t="s">
        <v>604</v>
      </c>
      <c r="E3" s="6" t="s">
        <v>604</v>
      </c>
      <c r="F3" s="6" t="s">
        <v>609</v>
      </c>
    </row>
    <row r="4" spans="1:7" x14ac:dyDescent="0.3">
      <c r="A4" s="138"/>
      <c r="C4" s="134" t="s">
        <v>592</v>
      </c>
      <c r="D4" s="6" t="s">
        <v>601</v>
      </c>
      <c r="E4" s="6" t="s">
        <v>601</v>
      </c>
      <c r="F4" s="6" t="s">
        <v>549</v>
      </c>
    </row>
    <row r="5" spans="1:7" x14ac:dyDescent="0.3">
      <c r="A5" s="138"/>
      <c r="C5" s="134" t="s">
        <v>593</v>
      </c>
      <c r="D5" s="171" t="s">
        <v>640</v>
      </c>
      <c r="E5" s="171" t="s">
        <v>640</v>
      </c>
      <c r="F5" s="171" t="s">
        <v>640</v>
      </c>
    </row>
    <row r="6" spans="1:7" x14ac:dyDescent="0.3">
      <c r="A6" s="138"/>
      <c r="C6" s="134" t="s">
        <v>557</v>
      </c>
      <c r="D6" s="7">
        <f>('Flu Deaths 85+'!D6)</f>
        <v>293325.70269524597</v>
      </c>
      <c r="E6" s="7">
        <f>('Population 85+'!A4)</f>
        <v>14972925984.367935</v>
      </c>
      <c r="F6" s="7">
        <f>('Total Population'!A6)</f>
        <v>46231613588616.039</v>
      </c>
    </row>
    <row r="7" spans="1:7" x14ac:dyDescent="0.3">
      <c r="A7" s="138"/>
      <c r="C7" s="134" t="s">
        <v>558</v>
      </c>
      <c r="D7" s="7">
        <f>('Flu Deaths 85+'!D7)</f>
        <v>541.59551576360559</v>
      </c>
      <c r="E7" s="7">
        <f>('Population 85+'!A5)</f>
        <v>122363.90801362931</v>
      </c>
      <c r="F7" s="7">
        <f>('Total Population'!A7)</f>
        <v>6799383.3241416859</v>
      </c>
    </row>
    <row r="8" spans="1:7" x14ac:dyDescent="0.3">
      <c r="A8" s="138" t="s">
        <v>641</v>
      </c>
      <c r="C8" s="134" t="s">
        <v>551</v>
      </c>
      <c r="D8" s="7">
        <f>('Flu Deaths 85+'!I5)</f>
        <v>476.54466230936816</v>
      </c>
      <c r="E8" s="7">
        <f>('Population 85+'!F3)</f>
        <v>107962.0871459695</v>
      </c>
      <c r="F8" s="7">
        <f>('Total Population'!F5)</f>
        <v>5973990.8213507626</v>
      </c>
    </row>
    <row r="9" spans="1:7" x14ac:dyDescent="0.3">
      <c r="A9" s="138"/>
      <c r="C9" s="134" t="s">
        <v>617</v>
      </c>
      <c r="D9" s="172">
        <f>'Flu Deaths 85+'!D13</f>
        <v>-606.64636921784302</v>
      </c>
      <c r="E9" s="172">
        <f>'Population 85+'!A11</f>
        <v>-136765.72888128911</v>
      </c>
      <c r="F9" s="172">
        <f>'Total Population'!A13</f>
        <v>-7624775.8269326091</v>
      </c>
    </row>
    <row r="10" spans="1:7" x14ac:dyDescent="0.3">
      <c r="A10" s="73" t="s">
        <v>627</v>
      </c>
      <c r="C10" s="134" t="s">
        <v>618</v>
      </c>
      <c r="D10" s="172">
        <f>'Flu Deaths 85+'!D14</f>
        <v>1559.7356938365792</v>
      </c>
      <c r="E10" s="172">
        <f>'Population 85+'!A12</f>
        <v>352689.90317322814</v>
      </c>
      <c r="F10" s="172">
        <f>'Total Population'!A14</f>
        <v>19572757.469634134</v>
      </c>
    </row>
    <row r="11" spans="1:7" x14ac:dyDescent="0.3">
      <c r="A11" s="177" t="s">
        <v>643</v>
      </c>
      <c r="C11" s="134" t="s">
        <v>619</v>
      </c>
      <c r="D11" s="171">
        <f>COUNTIF(StudyDataS[Flu Deaths 85+ years],_xlfn.CONCAT("&gt;",D10))</f>
        <v>18</v>
      </c>
      <c r="E11" s="171">
        <f>COUNTIF(StudyDataS[Population 85+ years],_xlfn.CONCAT("&gt;",E10))</f>
        <v>27</v>
      </c>
      <c r="F11" s="171">
        <f>COUNTIF(StudyDataS[Total population],_xlfn.CONCAT("&gt;",F10))</f>
        <v>22</v>
      </c>
    </row>
    <row r="12" spans="1:7" x14ac:dyDescent="0.3">
      <c r="A12" s="73"/>
      <c r="C12" s="134" t="s">
        <v>594</v>
      </c>
      <c r="D12" s="173">
        <f>D11/459</f>
        <v>3.9215686274509803E-2</v>
      </c>
      <c r="E12" s="173">
        <f t="shared" ref="E12:F12" si="0">E11/459</f>
        <v>5.8823529411764705E-2</v>
      </c>
      <c r="F12" s="173">
        <f t="shared" si="0"/>
        <v>4.793028322440087E-2</v>
      </c>
    </row>
    <row r="13" spans="1:7" x14ac:dyDescent="0.3">
      <c r="A13" s="74"/>
    </row>
    <row r="14" spans="1:7" x14ac:dyDescent="0.3">
      <c r="A14" s="74"/>
    </row>
    <row r="15" spans="1:7" x14ac:dyDescent="0.3">
      <c r="A15" t="s">
        <v>635</v>
      </c>
      <c r="C15" s="180" t="s">
        <v>595</v>
      </c>
      <c r="D15" s="180"/>
      <c r="E15" s="180"/>
      <c r="F15" s="180"/>
      <c r="G15" s="180"/>
    </row>
    <row r="16" spans="1:7" x14ac:dyDescent="0.3">
      <c r="A16" t="s">
        <v>632</v>
      </c>
      <c r="C16" s="134" t="s">
        <v>596</v>
      </c>
      <c r="D16" s="139" t="s">
        <v>629</v>
      </c>
      <c r="E16" s="139"/>
      <c r="F16" s="140" t="s">
        <v>630</v>
      </c>
      <c r="G16" s="140"/>
    </row>
    <row r="17" spans="3:7" ht="43.8" customHeight="1" x14ac:dyDescent="0.3">
      <c r="C17" s="135" t="s">
        <v>597</v>
      </c>
      <c r="D17" s="136" t="s">
        <v>628</v>
      </c>
      <c r="E17" s="136"/>
      <c r="F17" s="136" t="s">
        <v>631</v>
      </c>
      <c r="G17" s="136"/>
    </row>
    <row r="18" spans="3:7" x14ac:dyDescent="0.3">
      <c r="C18" s="135" t="s">
        <v>598</v>
      </c>
      <c r="D18" s="137">
        <f>CORREL('Integrated Data Set'!Q2:Q460,'Integrated Data Set'!AB2:AB460)</f>
        <v>0.9406536455863217</v>
      </c>
      <c r="E18" s="137"/>
      <c r="F18" s="137">
        <f>CORREL('Integrated Data Set'!D2:D460,'Integrated Data Set'!AD2:AD460)</f>
        <v>0.95447340672158176</v>
      </c>
      <c r="G18" s="137"/>
    </row>
    <row r="19" spans="3:7" x14ac:dyDescent="0.3">
      <c r="C19" s="135" t="s">
        <v>599</v>
      </c>
      <c r="D19" s="174" t="s">
        <v>645</v>
      </c>
      <c r="E19" s="174"/>
      <c r="F19" s="174" t="s">
        <v>645</v>
      </c>
      <c r="G19" s="174"/>
    </row>
    <row r="20" spans="3:7" ht="42" customHeight="1" x14ac:dyDescent="0.3">
      <c r="C20" s="135" t="s">
        <v>600</v>
      </c>
      <c r="D20" s="136" t="s">
        <v>646</v>
      </c>
      <c r="E20" s="136"/>
      <c r="F20" s="136" t="s">
        <v>633</v>
      </c>
      <c r="G20" s="136"/>
    </row>
  </sheetData>
  <mergeCells count="14">
    <mergeCell ref="D16:E16"/>
    <mergeCell ref="F16:G16"/>
    <mergeCell ref="C15:G15"/>
    <mergeCell ref="C1:F1"/>
    <mergeCell ref="A3:A7"/>
    <mergeCell ref="A8:A9"/>
    <mergeCell ref="F17:G17"/>
    <mergeCell ref="F18:G18"/>
    <mergeCell ref="F19:G19"/>
    <mergeCell ref="F20:G20"/>
    <mergeCell ref="D17:E17"/>
    <mergeCell ref="D18:E18"/>
    <mergeCell ref="D19:E19"/>
    <mergeCell ref="D20:E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A38B4-DAE7-42F4-A0A7-C870E7F21BE3}">
  <dimension ref="A1:W460"/>
  <sheetViews>
    <sheetView topLeftCell="G436" workbookViewId="0">
      <selection activeCell="I2" sqref="I2:I460"/>
    </sheetView>
  </sheetViews>
  <sheetFormatPr defaultRowHeight="14.4" x14ac:dyDescent="0.3"/>
  <cols>
    <col min="1" max="1" width="23.21875" bestFit="1" customWidth="1"/>
    <col min="2" max="2" width="18.21875" bestFit="1" customWidth="1"/>
    <col min="4" max="4" width="17.44140625" style="93" bestFit="1" customWidth="1"/>
    <col min="5" max="5" width="22.21875" bestFit="1" customWidth="1"/>
    <col min="6" max="6" width="22.21875" style="5" customWidth="1"/>
    <col min="7" max="7" width="24.5546875" bestFit="1" customWidth="1"/>
    <col min="8" max="8" width="24.5546875" style="5" customWidth="1"/>
    <col min="9" max="9" width="21.33203125" bestFit="1" customWidth="1"/>
    <col min="10" max="10" width="21.33203125" style="84" customWidth="1"/>
    <col min="11" max="11" width="21.21875" bestFit="1" customWidth="1"/>
    <col min="12" max="12" width="22.44140625" bestFit="1" customWidth="1"/>
    <col min="13" max="13" width="17.33203125" bestFit="1" customWidth="1"/>
    <col min="14" max="14" width="16.77734375" bestFit="1" customWidth="1"/>
    <col min="15" max="15" width="20.5546875" bestFit="1" customWidth="1"/>
    <col min="16" max="17" width="21.5546875" bestFit="1" customWidth="1"/>
    <col min="18" max="19" width="21.88671875" bestFit="1" customWidth="1"/>
    <col min="20" max="20" width="21.5546875" bestFit="1" customWidth="1"/>
    <col min="21" max="21" width="21.88671875" bestFit="1" customWidth="1"/>
    <col min="22" max="22" width="21.5546875" bestFit="1" customWidth="1"/>
    <col min="23" max="23" width="17.77734375" bestFit="1" customWidth="1"/>
    <col min="24" max="24" width="13.88671875" bestFit="1" customWidth="1"/>
  </cols>
  <sheetData>
    <row r="1" spans="1:23" x14ac:dyDescent="0.3">
      <c r="A1" s="41" t="s">
        <v>0</v>
      </c>
      <c r="B1" s="42" t="s">
        <v>1</v>
      </c>
      <c r="C1" s="43" t="s">
        <v>2</v>
      </c>
      <c r="D1" s="94" t="s">
        <v>3</v>
      </c>
      <c r="E1" s="75" t="s">
        <v>4</v>
      </c>
      <c r="F1" s="80" t="s">
        <v>616</v>
      </c>
      <c r="G1" s="75" t="s">
        <v>5</v>
      </c>
      <c r="H1" s="80" t="s">
        <v>608</v>
      </c>
      <c r="I1" s="50" t="s">
        <v>15</v>
      </c>
      <c r="J1" s="81" t="s">
        <v>607</v>
      </c>
      <c r="K1" s="57" t="s">
        <v>25</v>
      </c>
      <c r="L1" s="76" t="s">
        <v>27</v>
      </c>
      <c r="M1" s="64" t="s">
        <v>28</v>
      </c>
      <c r="N1" s="65" t="s">
        <v>29</v>
      </c>
      <c r="O1" s="65" t="s">
        <v>30</v>
      </c>
      <c r="P1" s="65" t="s">
        <v>31</v>
      </c>
      <c r="Q1" s="65" t="s">
        <v>32</v>
      </c>
      <c r="R1" s="65" t="s">
        <v>33</v>
      </c>
      <c r="S1" s="65" t="s">
        <v>34</v>
      </c>
      <c r="T1" s="65" t="s">
        <v>35</v>
      </c>
      <c r="U1" s="65" t="s">
        <v>36</v>
      </c>
      <c r="V1" s="65" t="s">
        <v>37</v>
      </c>
      <c r="W1" s="77" t="s">
        <v>38</v>
      </c>
    </row>
    <row r="2" spans="1:23" x14ac:dyDescent="0.3">
      <c r="A2" s="44" t="s">
        <v>39</v>
      </c>
      <c r="B2" t="s">
        <v>40</v>
      </c>
      <c r="C2" s="45">
        <v>2016</v>
      </c>
      <c r="D2" s="91">
        <v>490521</v>
      </c>
      <c r="E2" s="2">
        <v>248736</v>
      </c>
      <c r="F2" s="78">
        <v>0.50708532356412872</v>
      </c>
      <c r="G2" s="2">
        <v>241786</v>
      </c>
      <c r="H2" s="78">
        <v>0.49291671508457335</v>
      </c>
      <c r="I2" s="52">
        <v>8313</v>
      </c>
      <c r="J2" s="82">
        <v>1.6947286660509948E-2</v>
      </c>
      <c r="K2" s="59">
        <v>60</v>
      </c>
      <c r="L2" s="60">
        <v>720</v>
      </c>
      <c r="M2" s="66">
        <v>3.6899234340887427E-3</v>
      </c>
      <c r="N2" s="67">
        <v>8.8461651873912659E-4</v>
      </c>
      <c r="O2" s="67">
        <v>9.4768764215314631E-4</v>
      </c>
      <c r="P2" s="67">
        <v>9.0338316997154347E-4</v>
      </c>
      <c r="Q2" s="67">
        <v>1.0084881082443903E-3</v>
      </c>
      <c r="R2" s="67">
        <v>9.5852770145057192E-4</v>
      </c>
      <c r="S2" s="67">
        <v>8.8363941620889241E-4</v>
      </c>
      <c r="T2" s="67">
        <v>1.4452955629426219E-3</v>
      </c>
      <c r="U2" s="67">
        <v>2.8601391934407476E-3</v>
      </c>
      <c r="V2" s="67">
        <v>7.2176109707686757E-3</v>
      </c>
      <c r="W2" s="68">
        <v>1.4678270655078987E-3</v>
      </c>
    </row>
    <row r="3" spans="1:23" x14ac:dyDescent="0.3">
      <c r="A3" s="44" t="s">
        <v>41</v>
      </c>
      <c r="B3" t="s">
        <v>40</v>
      </c>
      <c r="C3" s="45">
        <v>2013</v>
      </c>
      <c r="D3" s="91">
        <v>500216</v>
      </c>
      <c r="E3" s="2">
        <v>254360</v>
      </c>
      <c r="F3" s="5">
        <v>0.50850032785836519</v>
      </c>
      <c r="G3" s="2">
        <v>245856</v>
      </c>
      <c r="H3" s="78">
        <v>0.49149967214163481</v>
      </c>
      <c r="I3" s="52">
        <v>7753</v>
      </c>
      <c r="J3" s="82">
        <v>1.5499304300542166E-2</v>
      </c>
      <c r="K3" s="59">
        <v>67</v>
      </c>
      <c r="L3" s="60">
        <v>727</v>
      </c>
      <c r="M3" s="66">
        <v>3.470213996529786E-3</v>
      </c>
      <c r="N3" s="67">
        <v>9.0152357484148214E-4</v>
      </c>
      <c r="O3" s="67">
        <v>8.4371572404871051E-4</v>
      </c>
      <c r="P3" s="67">
        <v>8.6898589346232947E-4</v>
      </c>
      <c r="Q3" s="67">
        <v>1.0037809080871282E-3</v>
      </c>
      <c r="R3" s="67">
        <v>8.5490788367553392E-4</v>
      </c>
      <c r="S3" s="67">
        <v>9.0195724722648147E-4</v>
      </c>
      <c r="T3" s="67">
        <v>1.6784625283240552E-3</v>
      </c>
      <c r="U3" s="67">
        <v>3.0610683128411815E-3</v>
      </c>
      <c r="V3" s="67">
        <v>8.6418160711982453E-3</v>
      </c>
      <c r="W3" s="68">
        <v>1.4533721432341228E-3</v>
      </c>
    </row>
    <row r="4" spans="1:23" x14ac:dyDescent="0.3">
      <c r="A4" s="44" t="s">
        <v>42</v>
      </c>
      <c r="B4" t="s">
        <v>43</v>
      </c>
      <c r="C4" s="45">
        <v>2014</v>
      </c>
      <c r="D4" s="91">
        <v>501580</v>
      </c>
      <c r="E4" s="2">
        <v>247115</v>
      </c>
      <c r="F4" s="5">
        <v>0.49267315283703494</v>
      </c>
      <c r="G4" s="2">
        <v>254465</v>
      </c>
      <c r="H4" s="78">
        <v>0.50732684716296506</v>
      </c>
      <c r="I4" s="52">
        <v>9991</v>
      </c>
      <c r="J4" s="82">
        <v>1.9919055783723435E-2</v>
      </c>
      <c r="K4" s="59">
        <v>60</v>
      </c>
      <c r="L4" s="60">
        <v>720</v>
      </c>
      <c r="M4" s="66">
        <v>4.7677698756406692E-3</v>
      </c>
      <c r="N4" s="67">
        <v>1.0454418734318371E-3</v>
      </c>
      <c r="O4" s="67">
        <v>8.3923126416202761E-4</v>
      </c>
      <c r="P4" s="67">
        <v>1.0221639210208011E-3</v>
      </c>
      <c r="Q4" s="67">
        <v>9.8809347364260669E-4</v>
      </c>
      <c r="R4" s="67">
        <v>7.7795786061588326E-4</v>
      </c>
      <c r="S4" s="67">
        <v>8.0508815715320823E-4</v>
      </c>
      <c r="T4" s="67">
        <v>1.3802622498274672E-3</v>
      </c>
      <c r="U4" s="67">
        <v>2.5452848597972257E-3</v>
      </c>
      <c r="V4" s="67">
        <v>6.0054048643779405E-3</v>
      </c>
      <c r="W4" s="68">
        <v>1.435463933968659E-3</v>
      </c>
    </row>
    <row r="5" spans="1:23" x14ac:dyDescent="0.3">
      <c r="A5" s="44" t="s">
        <v>44</v>
      </c>
      <c r="B5" t="s">
        <v>43</v>
      </c>
      <c r="C5" s="45">
        <v>2016</v>
      </c>
      <c r="D5" s="91">
        <v>501971</v>
      </c>
      <c r="E5" s="2">
        <v>246339</v>
      </c>
      <c r="F5" s="5">
        <v>0.49074348916570876</v>
      </c>
      <c r="G5" s="2">
        <v>255633</v>
      </c>
      <c r="H5" s="78">
        <v>0.50925850298124797</v>
      </c>
      <c r="I5" s="52">
        <v>11398</v>
      </c>
      <c r="J5" s="82">
        <v>2.2706491012429005E-2</v>
      </c>
      <c r="K5" s="59">
        <v>60</v>
      </c>
      <c r="L5" s="60">
        <v>720</v>
      </c>
      <c r="M5" s="66">
        <v>4.9513120977058922E-3</v>
      </c>
      <c r="N5" s="67">
        <v>1.1086884215972504E-3</v>
      </c>
      <c r="O5" s="67">
        <v>8.0386929085330728E-4</v>
      </c>
      <c r="P5" s="67">
        <v>1.024555172296028E-3</v>
      </c>
      <c r="Q5" s="67">
        <v>1.0543518372080763E-3</v>
      </c>
      <c r="R5" s="67">
        <v>8.2233460795197563E-4</v>
      </c>
      <c r="S5" s="67">
        <v>7.9288517701161577E-4</v>
      </c>
      <c r="T5" s="67">
        <v>1.2186452726718798E-3</v>
      </c>
      <c r="U5" s="67">
        <v>2.4646730200460071E-3</v>
      </c>
      <c r="V5" s="67">
        <v>5.2640814177925951E-3</v>
      </c>
      <c r="W5" s="68">
        <v>1.4343458088216252E-3</v>
      </c>
    </row>
    <row r="6" spans="1:23" x14ac:dyDescent="0.3">
      <c r="A6" s="44" t="s">
        <v>45</v>
      </c>
      <c r="B6" t="s">
        <v>40</v>
      </c>
      <c r="C6" s="45">
        <v>2015</v>
      </c>
      <c r="D6" s="91">
        <v>511039</v>
      </c>
      <c r="E6" s="2">
        <v>260462</v>
      </c>
      <c r="F6" s="5">
        <v>0.50967147321437312</v>
      </c>
      <c r="G6" s="2">
        <v>250579</v>
      </c>
      <c r="H6" s="78">
        <v>0.4903324403812625</v>
      </c>
      <c r="I6" s="52">
        <v>8173</v>
      </c>
      <c r="J6" s="82">
        <v>1.5992908564708367E-2</v>
      </c>
      <c r="K6" s="59">
        <v>60</v>
      </c>
      <c r="L6" s="60">
        <v>720</v>
      </c>
      <c r="M6" s="66">
        <v>3.5535550356836153E-3</v>
      </c>
      <c r="N6" s="67">
        <v>8.782072861931178E-4</v>
      </c>
      <c r="O6" s="67">
        <v>8.3305564811729429E-4</v>
      </c>
      <c r="P6" s="67">
        <v>8.4916074612924222E-4</v>
      </c>
      <c r="Q6" s="67">
        <v>9.8069662150013898E-4</v>
      </c>
      <c r="R6" s="67">
        <v>8.9808259366253051E-4</v>
      </c>
      <c r="S6" s="67">
        <v>8.5455477696120326E-4</v>
      </c>
      <c r="T6" s="67">
        <v>1.5007879136546688E-3</v>
      </c>
      <c r="U6" s="67">
        <v>2.9463759575721863E-3</v>
      </c>
      <c r="V6" s="67">
        <v>7.3412455646641381E-3</v>
      </c>
      <c r="W6" s="68">
        <v>1.4088944288009331E-3</v>
      </c>
    </row>
    <row r="7" spans="1:23" x14ac:dyDescent="0.3">
      <c r="A7" s="44" t="s">
        <v>46</v>
      </c>
      <c r="B7" t="s">
        <v>40</v>
      </c>
      <c r="C7" s="45">
        <v>2009</v>
      </c>
      <c r="D7" s="91">
        <v>519426</v>
      </c>
      <c r="E7" s="2">
        <v>264260</v>
      </c>
      <c r="F7" s="5">
        <v>0.50875389372114599</v>
      </c>
      <c r="G7" s="2">
        <v>255166</v>
      </c>
      <c r="H7" s="78">
        <v>0.49124610627885396</v>
      </c>
      <c r="I7" s="52">
        <v>7891</v>
      </c>
      <c r="J7" s="82">
        <v>1.5191769376196032E-2</v>
      </c>
      <c r="K7" s="59">
        <v>65</v>
      </c>
      <c r="L7" s="60">
        <v>725</v>
      </c>
      <c r="M7" s="66">
        <v>3.3582402820921836E-3</v>
      </c>
      <c r="N7" s="67">
        <v>8.9485458612975394E-4</v>
      </c>
      <c r="O7" s="67">
        <v>7.4596247808735223E-4</v>
      </c>
      <c r="P7" s="67">
        <v>8.9442771533347252E-4</v>
      </c>
      <c r="Q7" s="67">
        <v>9.3529329238827138E-4</v>
      </c>
      <c r="R7" s="67">
        <v>7.3834340351697572E-4</v>
      </c>
      <c r="S7" s="67">
        <v>9.7516577818229102E-4</v>
      </c>
      <c r="T7" s="67">
        <v>1.7995860951981043E-3</v>
      </c>
      <c r="U7" s="67">
        <v>2.8171659310733403E-3</v>
      </c>
      <c r="V7" s="67">
        <v>8.2372322899505763E-3</v>
      </c>
      <c r="W7" s="68">
        <v>1.3957714862174785E-3</v>
      </c>
    </row>
    <row r="8" spans="1:23" x14ac:dyDescent="0.3">
      <c r="A8" s="44" t="s">
        <v>47</v>
      </c>
      <c r="B8" t="s">
        <v>40</v>
      </c>
      <c r="C8" s="45">
        <v>2011</v>
      </c>
      <c r="D8" s="91">
        <v>532428</v>
      </c>
      <c r="E8" s="2">
        <v>271072</v>
      </c>
      <c r="F8" s="5">
        <v>0.50912423839467491</v>
      </c>
      <c r="G8" s="2">
        <v>261356</v>
      </c>
      <c r="H8" s="78">
        <v>0.49087576160532503</v>
      </c>
      <c r="I8" s="52">
        <v>7875</v>
      </c>
      <c r="J8" s="82">
        <v>1.4790732268024973E-2</v>
      </c>
      <c r="K8" s="59">
        <v>72</v>
      </c>
      <c r="L8" s="60">
        <v>732</v>
      </c>
      <c r="M8" s="66">
        <v>3.144818910844384E-3</v>
      </c>
      <c r="N8" s="67">
        <v>8.4703889320251287E-4</v>
      </c>
      <c r="O8" s="67">
        <v>7.776049766718507E-4</v>
      </c>
      <c r="P8" s="67">
        <v>8.3645843498626814E-4</v>
      </c>
      <c r="Q8" s="67">
        <v>9.4045361212558194E-4</v>
      </c>
      <c r="R8" s="67">
        <v>7.5515392554182292E-4</v>
      </c>
      <c r="S8" s="67">
        <v>8.9424108739716225E-4</v>
      </c>
      <c r="T8" s="67">
        <v>1.6606238410229444E-3</v>
      </c>
      <c r="U8" s="67">
        <v>2.8837835239834664E-3</v>
      </c>
      <c r="V8" s="67">
        <v>9.1428571428571435E-3</v>
      </c>
      <c r="W8" s="68">
        <v>1.3748337803421308E-3</v>
      </c>
    </row>
    <row r="9" spans="1:23" x14ac:dyDescent="0.3">
      <c r="A9" s="44" t="s">
        <v>50</v>
      </c>
      <c r="B9" t="s">
        <v>43</v>
      </c>
      <c r="C9" s="45">
        <v>2013</v>
      </c>
      <c r="D9" s="91">
        <v>532969</v>
      </c>
      <c r="E9" s="2">
        <v>262885</v>
      </c>
      <c r="F9" s="5">
        <v>0.49324632389501077</v>
      </c>
      <c r="G9" s="2">
        <v>270084</v>
      </c>
      <c r="H9" s="78">
        <v>0.50675367610498923</v>
      </c>
      <c r="I9" s="52">
        <v>10489</v>
      </c>
      <c r="J9" s="82">
        <v>1.9680319117997482E-2</v>
      </c>
      <c r="K9" s="59">
        <v>60</v>
      </c>
      <c r="L9" s="60">
        <v>720</v>
      </c>
      <c r="M9" s="66">
        <v>4.4513687959047404E-3</v>
      </c>
      <c r="N9" s="67">
        <v>9.846557807499795E-4</v>
      </c>
      <c r="O9" s="67">
        <v>7.674498919174736E-4</v>
      </c>
      <c r="P9" s="67">
        <v>9.8934801965504726E-4</v>
      </c>
      <c r="Q9" s="67">
        <v>9.1311692462219787E-4</v>
      </c>
      <c r="R9" s="67">
        <v>7.1366550497781688E-4</v>
      </c>
      <c r="S9" s="67">
        <v>7.769504694075753E-4</v>
      </c>
      <c r="T9" s="67">
        <v>1.3583265417006249E-3</v>
      </c>
      <c r="U9" s="67">
        <v>2.4118663826024037E-3</v>
      </c>
      <c r="V9" s="67">
        <v>5.7202783868814952E-3</v>
      </c>
      <c r="W9" s="68">
        <v>1.3509228491713401E-3</v>
      </c>
    </row>
    <row r="10" spans="1:23" x14ac:dyDescent="0.3">
      <c r="A10" s="44" t="s">
        <v>52</v>
      </c>
      <c r="B10" t="s">
        <v>40</v>
      </c>
      <c r="C10" s="45">
        <v>2010</v>
      </c>
      <c r="D10" s="91">
        <v>539266</v>
      </c>
      <c r="E10" s="2">
        <v>273830</v>
      </c>
      <c r="F10" s="5">
        <v>0.50778280106663498</v>
      </c>
      <c r="G10" s="2">
        <v>265437</v>
      </c>
      <c r="H10" s="78">
        <v>0.49221905330578974</v>
      </c>
      <c r="I10" s="52">
        <v>8427</v>
      </c>
      <c r="J10" s="82">
        <v>1.5626796423286467E-2</v>
      </c>
      <c r="K10" s="59">
        <v>65</v>
      </c>
      <c r="L10" s="60">
        <v>725</v>
      </c>
      <c r="M10" s="66">
        <v>3.2969750254141826E-3</v>
      </c>
      <c r="N10" s="67">
        <v>8.6234154474115385E-4</v>
      </c>
      <c r="O10" s="67">
        <v>7.5427105987655092E-4</v>
      </c>
      <c r="P10" s="67">
        <v>8.5879911257425031E-4</v>
      </c>
      <c r="Q10" s="67">
        <v>9.1317251350734338E-4</v>
      </c>
      <c r="R10" s="67">
        <v>7.1858008575055685E-4</v>
      </c>
      <c r="S10" s="67">
        <v>8.8944231966556968E-4</v>
      </c>
      <c r="T10" s="67">
        <v>1.6260162601626016E-3</v>
      </c>
      <c r="U10" s="67">
        <v>2.7296301351166915E-3</v>
      </c>
      <c r="V10" s="67">
        <v>7.7133024801234133E-3</v>
      </c>
      <c r="W10" s="68">
        <v>1.344420007936714E-3</v>
      </c>
    </row>
    <row r="11" spans="1:23" x14ac:dyDescent="0.3">
      <c r="A11" s="44" t="s">
        <v>53</v>
      </c>
      <c r="B11" t="s">
        <v>40</v>
      </c>
      <c r="C11" s="45">
        <v>2014</v>
      </c>
      <c r="D11" s="91">
        <v>541920</v>
      </c>
      <c r="E11" s="2">
        <v>275971</v>
      </c>
      <c r="F11" s="5">
        <v>0.50924675228816063</v>
      </c>
      <c r="G11" s="2">
        <v>265950</v>
      </c>
      <c r="H11" s="78">
        <v>0.49075509300265724</v>
      </c>
      <c r="I11" s="52">
        <v>8443</v>
      </c>
      <c r="J11" s="82">
        <v>1.5579790374963095E-2</v>
      </c>
      <c r="K11" s="59">
        <v>60</v>
      </c>
      <c r="L11" s="60">
        <v>720</v>
      </c>
      <c r="M11" s="66">
        <v>3.2963410614218216E-3</v>
      </c>
      <c r="N11" s="67">
        <v>8.4060691819493679E-4</v>
      </c>
      <c r="O11" s="67">
        <v>7.8652421839155802E-4</v>
      </c>
      <c r="P11" s="67">
        <v>7.7780658542909E-4</v>
      </c>
      <c r="Q11" s="67">
        <v>9.2219728873997109E-4</v>
      </c>
      <c r="R11" s="67">
        <v>8.2414186228589484E-4</v>
      </c>
      <c r="S11" s="67">
        <v>8.281230590865803E-4</v>
      </c>
      <c r="T11" s="67">
        <v>1.4830560842375856E-3</v>
      </c>
      <c r="U11" s="67">
        <v>2.7800945232137894E-3</v>
      </c>
      <c r="V11" s="67">
        <v>7.1064787397844371E-3</v>
      </c>
      <c r="W11" s="68">
        <v>1.3286093888396811E-3</v>
      </c>
    </row>
    <row r="12" spans="1:23" x14ac:dyDescent="0.3">
      <c r="A12" s="44" t="s">
        <v>51</v>
      </c>
      <c r="B12" t="s">
        <v>40</v>
      </c>
      <c r="C12" s="45">
        <v>2017</v>
      </c>
      <c r="D12" s="91">
        <v>542494</v>
      </c>
      <c r="E12" s="2">
        <v>276381</v>
      </c>
      <c r="F12" s="78">
        <v>0.5094636991376863</v>
      </c>
      <c r="G12" s="2">
        <v>266113</v>
      </c>
      <c r="H12" s="78">
        <v>0.4905363008623137</v>
      </c>
      <c r="I12" s="52">
        <v>9074</v>
      </c>
      <c r="J12" s="82">
        <v>1.6726452274126533E-2</v>
      </c>
      <c r="K12" s="59">
        <v>72</v>
      </c>
      <c r="L12" s="60">
        <v>732</v>
      </c>
      <c r="M12" s="66">
        <v>3.4701136462219136E-3</v>
      </c>
      <c r="N12" s="67">
        <v>8.2882086418388772E-4</v>
      </c>
      <c r="O12" s="67">
        <v>8.0145330198760423E-4</v>
      </c>
      <c r="P12" s="67">
        <v>7.800920508620017E-4</v>
      </c>
      <c r="Q12" s="67">
        <v>9.1256140777806511E-4</v>
      </c>
      <c r="R12" s="67">
        <v>9.0681014418281291E-4</v>
      </c>
      <c r="S12" s="67">
        <v>8.0092907773016695E-4</v>
      </c>
      <c r="T12" s="67">
        <v>1.3085865084730976E-3</v>
      </c>
      <c r="U12" s="67">
        <v>2.7260336210813267E-3</v>
      </c>
      <c r="V12" s="67">
        <v>7.9347586510910301E-3</v>
      </c>
      <c r="W12" s="68">
        <v>1.3493236791558985E-3</v>
      </c>
    </row>
    <row r="13" spans="1:23" x14ac:dyDescent="0.3">
      <c r="A13" s="44" t="s">
        <v>56</v>
      </c>
      <c r="B13" t="s">
        <v>43</v>
      </c>
      <c r="C13" s="45">
        <v>2012</v>
      </c>
      <c r="D13" s="91">
        <v>556597</v>
      </c>
      <c r="E13" s="2">
        <v>274147</v>
      </c>
      <c r="F13" s="5">
        <v>0.49254128211255183</v>
      </c>
      <c r="G13" s="2">
        <v>282450</v>
      </c>
      <c r="H13" s="78">
        <v>0.50745871788744823</v>
      </c>
      <c r="I13" s="52">
        <v>11293</v>
      </c>
      <c r="J13" s="82">
        <v>2.028936555532998E-2</v>
      </c>
      <c r="K13" s="59">
        <v>60</v>
      </c>
      <c r="L13" s="60">
        <v>720</v>
      </c>
      <c r="M13" s="66">
        <v>4.1580041580041582E-3</v>
      </c>
      <c r="N13" s="67">
        <v>9.251977610214183E-4</v>
      </c>
      <c r="O13" s="67">
        <v>7.3732718894009217E-4</v>
      </c>
      <c r="P13" s="67">
        <v>9.5767094426355101E-4</v>
      </c>
      <c r="Q13" s="67">
        <v>8.6325966850828726E-4</v>
      </c>
      <c r="R13" s="67">
        <v>6.7550832001080812E-4</v>
      </c>
      <c r="S13" s="67">
        <v>7.6073588517959706E-4</v>
      </c>
      <c r="T13" s="67">
        <v>1.3541267011216683E-3</v>
      </c>
      <c r="U13" s="67">
        <v>2.2574212724331237E-3</v>
      </c>
      <c r="V13" s="67">
        <v>5.3130257681749758E-3</v>
      </c>
      <c r="W13" s="68">
        <v>1.2935750641846794E-3</v>
      </c>
    </row>
    <row r="14" spans="1:23" x14ac:dyDescent="0.3">
      <c r="A14" s="44" t="s">
        <v>54</v>
      </c>
      <c r="B14" t="s">
        <v>55</v>
      </c>
      <c r="C14" s="45">
        <v>2010</v>
      </c>
      <c r="D14" s="91">
        <v>557784</v>
      </c>
      <c r="E14" s="2">
        <v>280656</v>
      </c>
      <c r="F14" s="5">
        <v>0.50316251452175031</v>
      </c>
      <c r="G14" s="2">
        <v>277129</v>
      </c>
      <c r="H14" s="78">
        <v>0.49683927828693547</v>
      </c>
      <c r="I14" s="52">
        <v>13751</v>
      </c>
      <c r="J14" s="82">
        <v>2.4652912238429213E-2</v>
      </c>
      <c r="K14" s="59">
        <v>65</v>
      </c>
      <c r="L14" s="60">
        <v>725</v>
      </c>
      <c r="M14" s="66">
        <v>3.3456005352960855E-3</v>
      </c>
      <c r="N14" s="67">
        <v>8.7814302022656094E-4</v>
      </c>
      <c r="O14" s="67">
        <v>6.9038523496110825E-4</v>
      </c>
      <c r="P14" s="67">
        <v>8.4549912631756946E-4</v>
      </c>
      <c r="Q14" s="67">
        <v>9.032743695897629E-4</v>
      </c>
      <c r="R14" s="67">
        <v>7.2585620788521792E-4</v>
      </c>
      <c r="S14" s="67">
        <v>9.2816038611472063E-4</v>
      </c>
      <c r="T14" s="67">
        <v>1.5339383868081299E-3</v>
      </c>
      <c r="U14" s="67">
        <v>2.0483408439164277E-3</v>
      </c>
      <c r="V14" s="67">
        <v>4.7269289506217732E-3</v>
      </c>
      <c r="W14" s="68">
        <v>1.2997862972046526E-3</v>
      </c>
    </row>
    <row r="15" spans="1:23" x14ac:dyDescent="0.3">
      <c r="A15" s="44" t="s">
        <v>57</v>
      </c>
      <c r="B15" t="s">
        <v>40</v>
      </c>
      <c r="C15" s="45">
        <v>2012</v>
      </c>
      <c r="D15" s="91">
        <v>560719</v>
      </c>
      <c r="E15" s="2">
        <v>285617</v>
      </c>
      <c r="F15" s="5">
        <v>0.50937635428797667</v>
      </c>
      <c r="G15" s="2">
        <v>275104</v>
      </c>
      <c r="H15" s="78">
        <v>0.49062721256101544</v>
      </c>
      <c r="I15" s="52">
        <v>8723</v>
      </c>
      <c r="J15" s="82">
        <v>1.5556811879033884E-2</v>
      </c>
      <c r="K15" s="59">
        <v>60</v>
      </c>
      <c r="L15" s="60">
        <v>720</v>
      </c>
      <c r="M15" s="66">
        <v>3.0946977511863006E-3</v>
      </c>
      <c r="N15" s="67">
        <v>8.1700458884244071E-4</v>
      </c>
      <c r="O15" s="67">
        <v>7.5416677141205155E-4</v>
      </c>
      <c r="P15" s="67">
        <v>7.8244200148663975E-4</v>
      </c>
      <c r="Q15" s="67">
        <v>8.7982989955275308E-4</v>
      </c>
      <c r="R15" s="67">
        <v>7.3084278353654825E-4</v>
      </c>
      <c r="S15" s="67">
        <v>8.3035788424811092E-4</v>
      </c>
      <c r="T15" s="67">
        <v>1.5316281206922959E-3</v>
      </c>
      <c r="U15" s="67">
        <v>2.7776491829081987E-3</v>
      </c>
      <c r="V15" s="67">
        <v>6.878367534105239E-3</v>
      </c>
      <c r="W15" s="68">
        <v>1.2840656371551527E-3</v>
      </c>
    </row>
    <row r="16" spans="1:23" x14ac:dyDescent="0.3">
      <c r="A16" s="44" t="s">
        <v>48</v>
      </c>
      <c r="B16" t="s">
        <v>49</v>
      </c>
      <c r="C16" s="45">
        <v>2015</v>
      </c>
      <c r="D16" s="91">
        <v>566849</v>
      </c>
      <c r="E16" s="2">
        <v>286547</v>
      </c>
      <c r="F16" s="5">
        <v>0.5055085216697921</v>
      </c>
      <c r="G16" s="2">
        <v>280306</v>
      </c>
      <c r="H16" s="78">
        <v>0.49449853488318757</v>
      </c>
      <c r="I16" s="52">
        <v>13115</v>
      </c>
      <c r="J16" s="82">
        <v>2.3136673082249419E-2</v>
      </c>
      <c r="K16" s="59">
        <v>117</v>
      </c>
      <c r="L16" s="60">
        <v>777</v>
      </c>
      <c r="M16" s="66">
        <v>3.0259474998108782E-3</v>
      </c>
      <c r="N16" s="67">
        <v>7.7465334262917344E-4</v>
      </c>
      <c r="O16" s="67">
        <v>7.2272612293571351E-4</v>
      </c>
      <c r="P16" s="67">
        <v>8.2349711776008789E-4</v>
      </c>
      <c r="Q16" s="67">
        <v>9.3170595360104352E-4</v>
      </c>
      <c r="R16" s="67">
        <v>8.3259325044404968E-4</v>
      </c>
      <c r="S16" s="67">
        <v>8.2943957532693742E-4</v>
      </c>
      <c r="T16" s="67">
        <v>1.3412017167381974E-3</v>
      </c>
      <c r="U16" s="67">
        <v>2.1655958998050965E-3</v>
      </c>
      <c r="V16" s="67">
        <v>8.9210827296988173E-3</v>
      </c>
      <c r="W16" s="68">
        <v>1.3707354163101637E-3</v>
      </c>
    </row>
    <row r="17" spans="1:23" x14ac:dyDescent="0.3">
      <c r="A17" s="44" t="s">
        <v>59</v>
      </c>
      <c r="B17" t="s">
        <v>55</v>
      </c>
      <c r="C17" s="45">
        <v>2016</v>
      </c>
      <c r="D17" s="91">
        <v>568000</v>
      </c>
      <c r="E17" s="2">
        <v>289710</v>
      </c>
      <c r="F17" s="5">
        <v>0.51005281690140847</v>
      </c>
      <c r="G17" s="2">
        <v>278291</v>
      </c>
      <c r="H17" s="78">
        <v>0.48994894366197184</v>
      </c>
      <c r="I17" s="52">
        <v>13538</v>
      </c>
      <c r="J17" s="82">
        <v>2.3834507042253521E-2</v>
      </c>
      <c r="K17" s="59">
        <v>60</v>
      </c>
      <c r="L17" s="60">
        <v>720</v>
      </c>
      <c r="M17" s="66">
        <v>3.0669358754824034E-3</v>
      </c>
      <c r="N17" s="67">
        <v>8.5206697246403569E-4</v>
      </c>
      <c r="O17" s="67">
        <v>6.9184202940328625E-4</v>
      </c>
      <c r="P17" s="67">
        <v>7.187005893344833E-4</v>
      </c>
      <c r="Q17" s="67">
        <v>9.2112131167674778E-4</v>
      </c>
      <c r="R17" s="67">
        <v>8.4916074612924222E-4</v>
      </c>
      <c r="S17" s="67">
        <v>8.3834008662847558E-4</v>
      </c>
      <c r="T17" s="67">
        <v>1.404658784970151E-3</v>
      </c>
      <c r="U17" s="67">
        <v>2.3731360993552979E-3</v>
      </c>
      <c r="V17" s="67">
        <v>4.4319692716797161E-3</v>
      </c>
      <c r="W17" s="68">
        <v>1.2676056338028169E-3</v>
      </c>
    </row>
    <row r="18" spans="1:23" x14ac:dyDescent="0.3">
      <c r="A18" s="44" t="s">
        <v>60</v>
      </c>
      <c r="B18" t="s">
        <v>43</v>
      </c>
      <c r="C18" s="45">
        <v>2010</v>
      </c>
      <c r="D18" s="91">
        <v>572962</v>
      </c>
      <c r="E18" s="2">
        <v>281968</v>
      </c>
      <c r="F18" s="5">
        <v>0.49212338689127727</v>
      </c>
      <c r="G18" s="2">
        <v>290994</v>
      </c>
      <c r="H18" s="78">
        <v>0.50787661310872279</v>
      </c>
      <c r="I18" s="52">
        <v>10517</v>
      </c>
      <c r="J18" s="82">
        <v>1.8355493034442075E-2</v>
      </c>
      <c r="K18" s="59">
        <v>60</v>
      </c>
      <c r="L18" s="60">
        <v>720</v>
      </c>
      <c r="M18" s="66">
        <v>4.0853845368195281E-3</v>
      </c>
      <c r="N18" s="67">
        <v>8.8656412075003329E-4</v>
      </c>
      <c r="O18" s="67">
        <v>7.0613157585030009E-4</v>
      </c>
      <c r="P18" s="67">
        <v>9.6030729833546731E-4</v>
      </c>
      <c r="Q18" s="67">
        <v>7.8004134219113608E-4</v>
      </c>
      <c r="R18" s="67">
        <v>6.3270449536543952E-4</v>
      </c>
      <c r="S18" s="67">
        <v>7.7859385948976154E-4</v>
      </c>
      <c r="T18" s="67">
        <v>1.4273819436184131E-3</v>
      </c>
      <c r="U18" s="67">
        <v>2.1835650338452579E-3</v>
      </c>
      <c r="V18" s="67">
        <v>5.7050489683369782E-3</v>
      </c>
      <c r="W18" s="68">
        <v>1.2566278391935241E-3</v>
      </c>
    </row>
    <row r="19" spans="1:23" x14ac:dyDescent="0.3">
      <c r="A19" s="44" t="s">
        <v>61</v>
      </c>
      <c r="B19" t="s">
        <v>62</v>
      </c>
      <c r="C19" s="45">
        <v>2010</v>
      </c>
      <c r="D19" s="91">
        <v>584400</v>
      </c>
      <c r="E19" s="2">
        <v>276101</v>
      </c>
      <c r="F19" s="5">
        <v>0.4724520876112252</v>
      </c>
      <c r="G19" s="2">
        <v>308299</v>
      </c>
      <c r="H19" s="78">
        <v>0.52754791238877485</v>
      </c>
      <c r="I19" s="52">
        <v>9351</v>
      </c>
      <c r="J19" s="82">
        <v>1.6001026694045174E-2</v>
      </c>
      <c r="K19" s="59">
        <v>60</v>
      </c>
      <c r="L19" s="60">
        <v>720</v>
      </c>
      <c r="M19" s="66">
        <v>3.7334328915437746E-3</v>
      </c>
      <c r="N19" s="67">
        <v>1.1282224854741354E-3</v>
      </c>
      <c r="O19" s="67">
        <v>6.004022695205788E-4</v>
      </c>
      <c r="P19" s="67">
        <v>5.2650514658780789E-4</v>
      </c>
      <c r="Q19" s="67">
        <v>7.3334392607893231E-4</v>
      </c>
      <c r="R19" s="67">
        <v>7.9587207682818453E-4</v>
      </c>
      <c r="S19" s="67">
        <v>9.6855427132433653E-4</v>
      </c>
      <c r="T19" s="67">
        <v>1.6830766641420516E-3</v>
      </c>
      <c r="U19" s="67">
        <v>2.7017291066282422E-3</v>
      </c>
      <c r="V19" s="67">
        <v>6.416426050689766E-3</v>
      </c>
      <c r="W19" s="68">
        <v>1.2320328542094457E-3</v>
      </c>
    </row>
    <row r="20" spans="1:23" x14ac:dyDescent="0.3">
      <c r="A20" s="44" t="s">
        <v>63</v>
      </c>
      <c r="B20" t="s">
        <v>62</v>
      </c>
      <c r="C20" s="45">
        <v>2009</v>
      </c>
      <c r="D20" s="91">
        <v>588433</v>
      </c>
      <c r="E20" s="2">
        <v>277522</v>
      </c>
      <c r="F20" s="5">
        <v>0.47162888553157284</v>
      </c>
      <c r="G20" s="2">
        <v>310911</v>
      </c>
      <c r="H20" s="78">
        <v>0.52837111446842722</v>
      </c>
      <c r="I20" s="52">
        <v>10004</v>
      </c>
      <c r="J20" s="82">
        <v>1.700108593501724E-2</v>
      </c>
      <c r="K20" s="59">
        <v>60</v>
      </c>
      <c r="L20" s="60">
        <v>720</v>
      </c>
      <c r="M20" s="66">
        <v>3.3430839949853742E-3</v>
      </c>
      <c r="N20" s="67">
        <v>1.0095401544596436E-3</v>
      </c>
      <c r="O20" s="67">
        <v>6.7081828650649019E-4</v>
      </c>
      <c r="P20" s="67">
        <v>5.6647060489619424E-4</v>
      </c>
      <c r="Q20" s="67">
        <v>6.9364161849710981E-4</v>
      </c>
      <c r="R20" s="67">
        <v>7.6664579686441868E-4</v>
      </c>
      <c r="S20" s="67">
        <v>9.3545369504209543E-4</v>
      </c>
      <c r="T20" s="67">
        <v>1.644556517925666E-3</v>
      </c>
      <c r="U20" s="67">
        <v>2.5490695895997962E-3</v>
      </c>
      <c r="V20" s="67">
        <v>5.9976009596161535E-3</v>
      </c>
      <c r="W20" s="68">
        <v>1.223588751820513E-3</v>
      </c>
    </row>
    <row r="21" spans="1:23" x14ac:dyDescent="0.3">
      <c r="A21" s="44" t="s">
        <v>64</v>
      </c>
      <c r="B21" t="s">
        <v>43</v>
      </c>
      <c r="C21" s="45">
        <v>2017</v>
      </c>
      <c r="D21" s="91">
        <v>588763</v>
      </c>
      <c r="E21" s="2">
        <v>290546</v>
      </c>
      <c r="F21" s="5">
        <v>0.49348549416318621</v>
      </c>
      <c r="G21" s="2">
        <v>298218</v>
      </c>
      <c r="H21" s="78">
        <v>0.50651620431311073</v>
      </c>
      <c r="I21" s="52">
        <v>12397</v>
      </c>
      <c r="J21" s="82">
        <v>2.1056010652843335E-2</v>
      </c>
      <c r="K21" s="59">
        <v>60</v>
      </c>
      <c r="L21" s="60">
        <v>720</v>
      </c>
      <c r="M21" s="66">
        <v>4.213779057518084E-3</v>
      </c>
      <c r="N21" s="67">
        <v>9.347104734308548E-4</v>
      </c>
      <c r="O21" s="67">
        <v>7.0937917499201946E-4</v>
      </c>
      <c r="P21" s="67">
        <v>8.8416026878472174E-4</v>
      </c>
      <c r="Q21" s="67">
        <v>8.9404121530002535E-4</v>
      </c>
      <c r="R21" s="67">
        <v>7.1695723350102163E-4</v>
      </c>
      <c r="S21" s="67">
        <v>6.6299807730557582E-4</v>
      </c>
      <c r="T21" s="67">
        <v>9.7928805758213788E-4</v>
      </c>
      <c r="U21" s="67">
        <v>2.0908108861553473E-3</v>
      </c>
      <c r="V21" s="67">
        <v>4.8398806162781322E-3</v>
      </c>
      <c r="W21" s="68">
        <v>1.2229029337781077E-3</v>
      </c>
    </row>
    <row r="22" spans="1:23" x14ac:dyDescent="0.3">
      <c r="A22" s="44" t="s">
        <v>65</v>
      </c>
      <c r="B22" t="s">
        <v>62</v>
      </c>
      <c r="C22" s="45">
        <v>2011</v>
      </c>
      <c r="D22" s="91">
        <v>593955</v>
      </c>
      <c r="E22" s="2">
        <v>280675</v>
      </c>
      <c r="F22" s="5">
        <v>0.47255263445883949</v>
      </c>
      <c r="G22" s="2">
        <v>313280</v>
      </c>
      <c r="H22" s="78">
        <v>0.52744736554116056</v>
      </c>
      <c r="I22" s="52">
        <v>10098</v>
      </c>
      <c r="J22" s="82">
        <v>1.7001287976361846E-2</v>
      </c>
      <c r="K22" s="59">
        <v>60</v>
      </c>
      <c r="L22" s="60">
        <v>720</v>
      </c>
      <c r="M22" s="66">
        <v>3.6077205219169021E-3</v>
      </c>
      <c r="N22" s="67">
        <v>1.1478859766596518E-3</v>
      </c>
      <c r="O22" s="67">
        <v>5.9421825636556309E-4</v>
      </c>
      <c r="P22" s="67">
        <v>5.0257149079456552E-4</v>
      </c>
      <c r="Q22" s="67">
        <v>7.3200190320494836E-4</v>
      </c>
      <c r="R22" s="67">
        <v>7.9539730095182541E-4</v>
      </c>
      <c r="S22" s="67">
        <v>9.4407905088586086E-4</v>
      </c>
      <c r="T22" s="67">
        <v>1.683596161400752E-3</v>
      </c>
      <c r="U22" s="67">
        <v>2.8058361391694723E-3</v>
      </c>
      <c r="V22" s="67">
        <v>5.9417706476530005E-3</v>
      </c>
      <c r="W22" s="68">
        <v>1.2122130464429124E-3</v>
      </c>
    </row>
    <row r="23" spans="1:23" x14ac:dyDescent="0.3">
      <c r="A23" s="44" t="s">
        <v>58</v>
      </c>
      <c r="B23" t="s">
        <v>49</v>
      </c>
      <c r="C23" s="45">
        <v>2014</v>
      </c>
      <c r="D23" s="91">
        <v>597394</v>
      </c>
      <c r="E23" s="2">
        <v>300158</v>
      </c>
      <c r="F23" s="5">
        <v>0.50244562215221444</v>
      </c>
      <c r="G23" s="2">
        <v>297245</v>
      </c>
      <c r="H23" s="78">
        <v>0.4975694432819881</v>
      </c>
      <c r="I23" s="52">
        <v>13957</v>
      </c>
      <c r="J23" s="82">
        <v>2.3363140573892608E-2</v>
      </c>
      <c r="K23" s="59">
        <v>99</v>
      </c>
      <c r="L23" s="60">
        <v>759</v>
      </c>
      <c r="M23" s="66">
        <v>2.8701267639320736E-3</v>
      </c>
      <c r="N23" s="67">
        <v>7.4730037738669059E-4</v>
      </c>
      <c r="O23" s="67">
        <v>7.2111051018568597E-4</v>
      </c>
      <c r="P23" s="67">
        <v>7.5359843251526033E-4</v>
      </c>
      <c r="Q23" s="67">
        <v>8.642793350810982E-4</v>
      </c>
      <c r="R23" s="67">
        <v>7.3803461382338832E-4</v>
      </c>
      <c r="S23" s="67">
        <v>7.9986135736472344E-4</v>
      </c>
      <c r="T23" s="67">
        <v>1.3322083573870953E-3</v>
      </c>
      <c r="U23" s="67">
        <v>2.1308331557639039E-3</v>
      </c>
      <c r="V23" s="67">
        <v>7.0932148742566458E-3</v>
      </c>
      <c r="W23" s="68">
        <v>1.2705182844153105E-3</v>
      </c>
    </row>
    <row r="24" spans="1:23" x14ac:dyDescent="0.3">
      <c r="A24" s="44" t="s">
        <v>68</v>
      </c>
      <c r="B24" t="s">
        <v>62</v>
      </c>
      <c r="C24" s="45">
        <v>2012</v>
      </c>
      <c r="D24" s="91">
        <v>605759</v>
      </c>
      <c r="E24" s="2">
        <v>286427</v>
      </c>
      <c r="F24" s="5">
        <v>0.47283985875570977</v>
      </c>
      <c r="G24" s="2">
        <v>319332</v>
      </c>
      <c r="H24" s="78">
        <v>0.52716014124429023</v>
      </c>
      <c r="I24" s="52">
        <v>10298</v>
      </c>
      <c r="J24" s="82">
        <v>1.7000160129688538E-2</v>
      </c>
      <c r="K24" s="59">
        <v>60</v>
      </c>
      <c r="L24" s="60">
        <v>720</v>
      </c>
      <c r="M24" s="66">
        <v>3.4753395696371166E-3</v>
      </c>
      <c r="N24" s="67">
        <v>1.1517199017199017E-3</v>
      </c>
      <c r="O24" s="67">
        <v>5.931022211678183E-4</v>
      </c>
      <c r="P24" s="67">
        <v>4.7849560980278005E-4</v>
      </c>
      <c r="Q24" s="67">
        <v>7.2829675665177706E-4</v>
      </c>
      <c r="R24" s="67">
        <v>7.9877521134260796E-4</v>
      </c>
      <c r="S24" s="67">
        <v>9.2568307697054784E-4</v>
      </c>
      <c r="T24" s="67">
        <v>1.5975291549070771E-3</v>
      </c>
      <c r="U24" s="67">
        <v>2.7511577788986198E-3</v>
      </c>
      <c r="V24" s="67">
        <v>5.8263740532142165E-3</v>
      </c>
      <c r="W24" s="68">
        <v>1.1885915025612497E-3</v>
      </c>
    </row>
    <row r="25" spans="1:23" x14ac:dyDescent="0.3">
      <c r="A25" s="44" t="s">
        <v>67</v>
      </c>
      <c r="B25" t="s">
        <v>55</v>
      </c>
      <c r="C25" s="45">
        <v>2009</v>
      </c>
      <c r="D25" s="91">
        <v>614109</v>
      </c>
      <c r="E25" s="2">
        <v>308413</v>
      </c>
      <c r="F25" s="5">
        <v>0.50221214800629854</v>
      </c>
      <c r="G25" s="2">
        <v>305698</v>
      </c>
      <c r="H25" s="78">
        <v>0.49779110874453886</v>
      </c>
      <c r="I25" s="52">
        <v>15286</v>
      </c>
      <c r="J25" s="82">
        <v>2.4891346650187506E-2</v>
      </c>
      <c r="K25" s="59">
        <v>71</v>
      </c>
      <c r="L25" s="60">
        <v>731</v>
      </c>
      <c r="M25" s="66">
        <v>3.0691322028696386E-3</v>
      </c>
      <c r="N25" s="67">
        <v>8.171826266973564E-4</v>
      </c>
      <c r="O25" s="67">
        <v>5.4266230124993219E-4</v>
      </c>
      <c r="P25" s="67">
        <v>7.945546521174881E-4</v>
      </c>
      <c r="Q25" s="67">
        <v>8.2306784822628882E-4</v>
      </c>
      <c r="R25" s="67">
        <v>6.7743028113356665E-4</v>
      </c>
      <c r="S25" s="67">
        <v>9.1645028257217049E-4</v>
      </c>
      <c r="T25" s="67">
        <v>1.4608848092327921E-3</v>
      </c>
      <c r="U25" s="67">
        <v>1.8387986515476554E-3</v>
      </c>
      <c r="V25" s="67">
        <v>4.6447729948972914E-3</v>
      </c>
      <c r="W25" s="68">
        <v>1.1903424310667975E-3</v>
      </c>
    </row>
    <row r="26" spans="1:23" x14ac:dyDescent="0.3">
      <c r="A26" s="44" t="s">
        <v>70</v>
      </c>
      <c r="B26" t="s">
        <v>62</v>
      </c>
      <c r="C26" s="45">
        <v>2013</v>
      </c>
      <c r="D26" s="91">
        <v>619371</v>
      </c>
      <c r="E26" s="2">
        <v>293104</v>
      </c>
      <c r="F26" s="5">
        <v>0.47322848502755216</v>
      </c>
      <c r="G26" s="2">
        <v>326267</v>
      </c>
      <c r="H26" s="78">
        <v>0.5267715149724479</v>
      </c>
      <c r="I26" s="52">
        <v>9910</v>
      </c>
      <c r="J26" s="82">
        <v>1.6000103330637051E-2</v>
      </c>
      <c r="K26" s="59">
        <v>60</v>
      </c>
      <c r="L26" s="60">
        <v>720</v>
      </c>
      <c r="M26" s="66">
        <v>3.2838026434611279E-3</v>
      </c>
      <c r="N26" s="67">
        <v>1.1532251864380717E-3</v>
      </c>
      <c r="O26" s="67">
        <v>6.0168471720818293E-4</v>
      </c>
      <c r="P26" s="67">
        <v>4.5056545965186311E-4</v>
      </c>
      <c r="Q26" s="67">
        <v>7.1228453392848659E-4</v>
      </c>
      <c r="R26" s="67">
        <v>7.8756694319017122E-4</v>
      </c>
      <c r="S26" s="67">
        <v>9.1388186553751488E-4</v>
      </c>
      <c r="T26" s="67">
        <v>1.5624186240299983E-3</v>
      </c>
      <c r="U26" s="67">
        <v>2.7676553346556577E-3</v>
      </c>
      <c r="V26" s="67">
        <v>6.0544904137235112E-3</v>
      </c>
      <c r="W26" s="68">
        <v>1.1624696668071318E-3</v>
      </c>
    </row>
    <row r="27" spans="1:23" x14ac:dyDescent="0.3">
      <c r="A27" s="44" t="s">
        <v>71</v>
      </c>
      <c r="B27" t="s">
        <v>43</v>
      </c>
      <c r="C27" s="45">
        <v>2009</v>
      </c>
      <c r="D27" s="91">
        <v>620414</v>
      </c>
      <c r="E27" s="2">
        <v>305039</v>
      </c>
      <c r="F27" s="5">
        <v>0.49167007836702586</v>
      </c>
      <c r="G27" s="2">
        <v>315375</v>
      </c>
      <c r="H27" s="78">
        <v>0.50832992163297408</v>
      </c>
      <c r="I27" s="52">
        <v>10734</v>
      </c>
      <c r="J27" s="82">
        <v>1.7301350388611476E-2</v>
      </c>
      <c r="K27" s="59">
        <v>60</v>
      </c>
      <c r="L27" s="60">
        <v>720</v>
      </c>
      <c r="M27" s="66">
        <v>3.6903773410831256E-3</v>
      </c>
      <c r="N27" s="67">
        <v>8.3020852070678415E-4</v>
      </c>
      <c r="O27" s="67">
        <v>6.3326543320632838E-4</v>
      </c>
      <c r="P27" s="67">
        <v>8.8859927134859746E-4</v>
      </c>
      <c r="Q27" s="67">
        <v>7.0200070200070197E-4</v>
      </c>
      <c r="R27" s="67">
        <v>5.8570870753611867E-4</v>
      </c>
      <c r="S27" s="67">
        <v>7.4579557743222578E-4</v>
      </c>
      <c r="T27" s="67">
        <v>1.3458950201884253E-3</v>
      </c>
      <c r="U27" s="67">
        <v>1.9856372240791608E-3</v>
      </c>
      <c r="V27" s="67">
        <v>5.5897149245388482E-3</v>
      </c>
      <c r="W27" s="68">
        <v>1.1605153977827709E-3</v>
      </c>
    </row>
    <row r="28" spans="1:23" x14ac:dyDescent="0.3">
      <c r="A28" s="44" t="s">
        <v>69</v>
      </c>
      <c r="B28" t="s">
        <v>43</v>
      </c>
      <c r="C28" s="45">
        <v>2015</v>
      </c>
      <c r="D28" s="91">
        <v>620738</v>
      </c>
      <c r="E28" s="2">
        <v>306015</v>
      </c>
      <c r="F28" s="5">
        <v>0.49298576855291604</v>
      </c>
      <c r="G28" s="2">
        <v>314724</v>
      </c>
      <c r="H28" s="78">
        <v>0.50701584243271713</v>
      </c>
      <c r="I28" s="52">
        <v>12843</v>
      </c>
      <c r="J28" s="82">
        <v>2.0689888487574467E-2</v>
      </c>
      <c r="K28" s="59">
        <v>75</v>
      </c>
      <c r="L28" s="60">
        <v>735</v>
      </c>
      <c r="M28" s="66">
        <v>3.9026928580720697E-3</v>
      </c>
      <c r="N28" s="67">
        <v>8.5304822565969061E-4</v>
      </c>
      <c r="O28" s="67">
        <v>6.6368744745807704E-4</v>
      </c>
      <c r="P28" s="67">
        <v>8.4376318379974688E-4</v>
      </c>
      <c r="Q28" s="67">
        <v>8.1378000813780006E-4</v>
      </c>
      <c r="R28" s="67">
        <v>6.4408089656060798E-4</v>
      </c>
      <c r="S28" s="67">
        <v>6.5148701912114398E-4</v>
      </c>
      <c r="T28" s="67">
        <v>1.0490610903241598E-3</v>
      </c>
      <c r="U28" s="67">
        <v>2.0524749427017412E-3</v>
      </c>
      <c r="V28" s="67">
        <v>5.8397570661060496E-3</v>
      </c>
      <c r="W28" s="68">
        <v>1.1840744404241403E-3</v>
      </c>
    </row>
    <row r="29" spans="1:23" x14ac:dyDescent="0.3">
      <c r="A29" s="44" t="s">
        <v>73</v>
      </c>
      <c r="B29" t="s">
        <v>43</v>
      </c>
      <c r="C29" s="45">
        <v>2011</v>
      </c>
      <c r="D29" s="91">
        <v>624954</v>
      </c>
      <c r="E29" s="2">
        <v>309064</v>
      </c>
      <c r="F29" s="5">
        <v>0.49453879805553691</v>
      </c>
      <c r="G29" s="2">
        <v>315890</v>
      </c>
      <c r="H29" s="78">
        <v>0.50546120194446309</v>
      </c>
      <c r="I29" s="52">
        <v>11704</v>
      </c>
      <c r="J29" s="82">
        <v>1.8727778364487625E-2</v>
      </c>
      <c r="K29" s="59">
        <v>60</v>
      </c>
      <c r="L29" s="60">
        <v>720</v>
      </c>
      <c r="M29" s="66">
        <v>3.739249657235448E-3</v>
      </c>
      <c r="N29" s="67">
        <v>8.2324853873384373E-4</v>
      </c>
      <c r="O29" s="67">
        <v>6.6167469866231432E-4</v>
      </c>
      <c r="P29" s="67">
        <v>8.5584686046843354E-4</v>
      </c>
      <c r="Q29" s="67">
        <v>7.3759911488106215E-4</v>
      </c>
      <c r="R29" s="67">
        <v>5.8849492423127849E-4</v>
      </c>
      <c r="S29" s="67">
        <v>6.9122831271168869E-4</v>
      </c>
      <c r="T29" s="67">
        <v>1.2575189151803493E-3</v>
      </c>
      <c r="U29" s="67">
        <v>2.0279862096937739E-3</v>
      </c>
      <c r="V29" s="67">
        <v>5.1264524948735476E-3</v>
      </c>
      <c r="W29" s="68">
        <v>1.1520847934407973E-3</v>
      </c>
    </row>
    <row r="30" spans="1:23" x14ac:dyDescent="0.3">
      <c r="A30" s="44" t="s">
        <v>66</v>
      </c>
      <c r="B30" t="s">
        <v>55</v>
      </c>
      <c r="C30" s="45">
        <v>2014</v>
      </c>
      <c r="D30" s="91">
        <v>627037</v>
      </c>
      <c r="E30" s="2">
        <v>317632</v>
      </c>
      <c r="F30" s="5">
        <v>0.5065602189344488</v>
      </c>
      <c r="G30" s="2">
        <v>309408</v>
      </c>
      <c r="H30" s="78">
        <v>0.49344456547221294</v>
      </c>
      <c r="I30" s="52">
        <v>13683</v>
      </c>
      <c r="J30" s="82">
        <v>2.1821678784505541E-2</v>
      </c>
      <c r="K30" s="59">
        <v>93</v>
      </c>
      <c r="L30" s="60">
        <v>759</v>
      </c>
      <c r="M30" s="66">
        <v>2.8483942177597379E-3</v>
      </c>
      <c r="N30" s="67">
        <v>7.770812827021707E-4</v>
      </c>
      <c r="O30" s="67">
        <v>5.7639102367045805E-4</v>
      </c>
      <c r="P30" s="67">
        <v>6.6994941881887919E-4</v>
      </c>
      <c r="Q30" s="67">
        <v>8.4713456732601975E-4</v>
      </c>
      <c r="R30" s="67">
        <v>7.4187645284138682E-4</v>
      </c>
      <c r="S30" s="67">
        <v>7.8867463228045266E-4</v>
      </c>
      <c r="T30" s="67">
        <v>1.3565760021705215E-3</v>
      </c>
      <c r="U30" s="67">
        <v>2.3189627911879415E-3</v>
      </c>
      <c r="V30" s="67">
        <v>6.7967550975663229E-3</v>
      </c>
      <c r="W30" s="68">
        <v>1.2104548854373824E-3</v>
      </c>
    </row>
    <row r="31" spans="1:23" x14ac:dyDescent="0.3">
      <c r="A31" s="44" t="s">
        <v>75</v>
      </c>
      <c r="B31" t="s">
        <v>76</v>
      </c>
      <c r="C31" s="45">
        <v>2014</v>
      </c>
      <c r="D31" s="91">
        <v>627310</v>
      </c>
      <c r="E31" s="2">
        <v>325965</v>
      </c>
      <c r="F31" s="5">
        <v>0.51962347164878608</v>
      </c>
      <c r="G31" s="2">
        <v>301347</v>
      </c>
      <c r="H31" s="78">
        <v>0.48037971656756628</v>
      </c>
      <c r="I31" s="52">
        <v>5102</v>
      </c>
      <c r="J31" s="82">
        <v>8.1331399148746233E-3</v>
      </c>
      <c r="K31" s="59">
        <v>60</v>
      </c>
      <c r="L31" s="60">
        <v>720</v>
      </c>
      <c r="M31" s="66">
        <v>2.5950995869466493E-3</v>
      </c>
      <c r="N31" s="67">
        <v>6.8812074225290732E-4</v>
      </c>
      <c r="O31" s="67">
        <v>6.2581486310299872E-4</v>
      </c>
      <c r="P31" s="67">
        <v>6.1401803166286312E-4</v>
      </c>
      <c r="Q31" s="67">
        <v>7.4710496824803888E-4</v>
      </c>
      <c r="R31" s="67">
        <v>6.7293996253967546E-4</v>
      </c>
      <c r="S31" s="67">
        <v>7.8310579759325487E-4</v>
      </c>
      <c r="T31" s="67">
        <v>1.7027073046143367E-3</v>
      </c>
      <c r="U31" s="67">
        <v>4.1672454507570497E-3</v>
      </c>
      <c r="V31" s="67">
        <v>1.1760094080752646E-2</v>
      </c>
      <c r="W31" s="68">
        <v>1.1477578868502017E-3</v>
      </c>
    </row>
    <row r="32" spans="1:23" x14ac:dyDescent="0.3">
      <c r="A32" s="44" t="s">
        <v>77</v>
      </c>
      <c r="B32" t="s">
        <v>62</v>
      </c>
      <c r="C32" s="45">
        <v>2014</v>
      </c>
      <c r="D32" s="91">
        <v>633736</v>
      </c>
      <c r="E32" s="2">
        <v>300030</v>
      </c>
      <c r="F32" s="5">
        <v>0.47343057677013772</v>
      </c>
      <c r="G32" s="2">
        <v>333706</v>
      </c>
      <c r="H32" s="78">
        <v>0.52656942322986233</v>
      </c>
      <c r="I32" s="52">
        <v>10140</v>
      </c>
      <c r="J32" s="82">
        <v>1.6000353459484706E-2</v>
      </c>
      <c r="K32" s="59">
        <v>60</v>
      </c>
      <c r="L32" s="60">
        <v>720</v>
      </c>
      <c r="M32" s="66">
        <v>3.1041440322830977E-3</v>
      </c>
      <c r="N32" s="67">
        <v>1.1270992223015367E-3</v>
      </c>
      <c r="O32" s="67">
        <v>6.06900458209846E-4</v>
      </c>
      <c r="P32" s="67">
        <v>4.2839700978887166E-4</v>
      </c>
      <c r="Q32" s="67">
        <v>6.8605143098894312E-4</v>
      </c>
      <c r="R32" s="67">
        <v>7.8895463510848124E-4</v>
      </c>
      <c r="S32" s="67">
        <v>8.848121986108448E-4</v>
      </c>
      <c r="T32" s="67">
        <v>1.5027801432650402E-3</v>
      </c>
      <c r="U32" s="67">
        <v>2.7844811583441617E-3</v>
      </c>
      <c r="V32" s="67">
        <v>5.9171597633136093E-3</v>
      </c>
      <c r="W32" s="68">
        <v>1.1361197722711035E-3</v>
      </c>
    </row>
    <row r="33" spans="1:23" x14ac:dyDescent="0.3">
      <c r="A33" s="44" t="s">
        <v>72</v>
      </c>
      <c r="B33" t="s">
        <v>55</v>
      </c>
      <c r="C33" s="45">
        <v>2013</v>
      </c>
      <c r="D33" s="91">
        <v>636807</v>
      </c>
      <c r="E33" s="2">
        <v>322610</v>
      </c>
      <c r="F33" s="5">
        <v>0.50660561206142518</v>
      </c>
      <c r="G33" s="2">
        <v>314202</v>
      </c>
      <c r="H33" s="78">
        <v>0.49340223961105956</v>
      </c>
      <c r="I33" s="52">
        <v>14678</v>
      </c>
      <c r="J33" s="82">
        <v>2.3049369746249649E-2</v>
      </c>
      <c r="K33" s="59">
        <v>75</v>
      </c>
      <c r="L33" s="60">
        <v>735</v>
      </c>
      <c r="M33" s="66">
        <v>2.862185755855555E-3</v>
      </c>
      <c r="N33" s="67">
        <v>7.7709134708785015E-4</v>
      </c>
      <c r="O33" s="67">
        <v>5.7266662212592944E-4</v>
      </c>
      <c r="P33" s="67">
        <v>6.8215926144890625E-4</v>
      </c>
      <c r="Q33" s="67">
        <v>8.4211708234501533E-4</v>
      </c>
      <c r="R33" s="67">
        <v>6.9309675630718044E-4</v>
      </c>
      <c r="S33" s="67">
        <v>7.6911244423934775E-4</v>
      </c>
      <c r="T33" s="67">
        <v>1.3488298900703639E-3</v>
      </c>
      <c r="U33" s="67">
        <v>1.9660528212857987E-3</v>
      </c>
      <c r="V33" s="67">
        <v>5.1096879683880641E-3</v>
      </c>
      <c r="W33" s="68">
        <v>1.1541958552591287E-3</v>
      </c>
    </row>
    <row r="34" spans="1:23" x14ac:dyDescent="0.3">
      <c r="A34" s="44" t="s">
        <v>78</v>
      </c>
      <c r="B34" t="s">
        <v>55</v>
      </c>
      <c r="C34" s="45">
        <v>2012</v>
      </c>
      <c r="D34" s="91">
        <v>644817</v>
      </c>
      <c r="E34" s="2">
        <v>325562</v>
      </c>
      <c r="F34" s="5">
        <v>0.50489053483391411</v>
      </c>
      <c r="G34" s="2">
        <v>319258</v>
      </c>
      <c r="H34" s="78">
        <v>0.4951141176488833</v>
      </c>
      <c r="I34" s="52">
        <v>15062</v>
      </c>
      <c r="J34" s="82">
        <v>2.3358565298371475E-2</v>
      </c>
      <c r="K34" s="59">
        <v>71</v>
      </c>
      <c r="L34" s="60">
        <v>731</v>
      </c>
      <c r="M34" s="66">
        <v>2.8553073024484262E-3</v>
      </c>
      <c r="N34" s="67">
        <v>7.7888697051912818E-4</v>
      </c>
      <c r="O34" s="67">
        <v>5.705157462345961E-4</v>
      </c>
      <c r="P34" s="67">
        <v>6.8655384298513613E-4</v>
      </c>
      <c r="Q34" s="67">
        <v>8.2324853873384373E-4</v>
      </c>
      <c r="R34" s="67">
        <v>6.6143398888790896E-4</v>
      </c>
      <c r="S34" s="67">
        <v>7.6805898693019627E-4</v>
      </c>
      <c r="T34" s="67">
        <v>1.3282270382750758E-3</v>
      </c>
      <c r="U34" s="67">
        <v>1.910645479731236E-3</v>
      </c>
      <c r="V34" s="67">
        <v>4.7138494223874653E-3</v>
      </c>
      <c r="W34" s="68">
        <v>1.1336549749773968E-3</v>
      </c>
    </row>
    <row r="35" spans="1:23" x14ac:dyDescent="0.3">
      <c r="A35" s="44" t="s">
        <v>80</v>
      </c>
      <c r="B35" t="s">
        <v>62</v>
      </c>
      <c r="C35" s="45">
        <v>2015</v>
      </c>
      <c r="D35" s="91">
        <v>647484</v>
      </c>
      <c r="E35" s="2">
        <v>306674</v>
      </c>
      <c r="F35" s="5">
        <v>0.47363950306107949</v>
      </c>
      <c r="G35" s="2">
        <v>340810</v>
      </c>
      <c r="H35" s="78">
        <v>0.52636049693892051</v>
      </c>
      <c r="I35" s="52">
        <v>10360</v>
      </c>
      <c r="J35" s="82">
        <v>1.600039537656529E-2</v>
      </c>
      <c r="K35" s="59">
        <v>60</v>
      </c>
      <c r="L35" s="60">
        <v>720</v>
      </c>
      <c r="M35" s="66">
        <v>2.9891642794868602E-3</v>
      </c>
      <c r="N35" s="67">
        <v>1.0901756999836473E-3</v>
      </c>
      <c r="O35" s="67">
        <v>6.1367890274212193E-4</v>
      </c>
      <c r="P35" s="67">
        <v>4.1368754179967873E-4</v>
      </c>
      <c r="Q35" s="67">
        <v>6.6665925934156287E-4</v>
      </c>
      <c r="R35" s="67">
        <v>7.7869490733530598E-4</v>
      </c>
      <c r="S35" s="67">
        <v>8.7418955343483641E-4</v>
      </c>
      <c r="T35" s="67">
        <v>1.4478764478764478E-3</v>
      </c>
      <c r="U35" s="67">
        <v>2.7254144901203725E-3</v>
      </c>
      <c r="V35" s="67">
        <v>5.7915057915057912E-3</v>
      </c>
      <c r="W35" s="68">
        <v>1.1119965898771244E-3</v>
      </c>
    </row>
    <row r="36" spans="1:23" x14ac:dyDescent="0.3">
      <c r="A36" s="44" t="s">
        <v>81</v>
      </c>
      <c r="B36" t="s">
        <v>55</v>
      </c>
      <c r="C36" s="45">
        <v>2011</v>
      </c>
      <c r="D36" s="91">
        <v>650708</v>
      </c>
      <c r="E36" s="2">
        <v>327510</v>
      </c>
      <c r="F36" s="5">
        <v>0.50331331411324276</v>
      </c>
      <c r="G36" s="2">
        <v>323200</v>
      </c>
      <c r="H36" s="78">
        <v>0.49668975946200139</v>
      </c>
      <c r="I36" s="52">
        <v>16356</v>
      </c>
      <c r="J36" s="82">
        <v>2.5135698347031235E-2</v>
      </c>
      <c r="K36" s="59">
        <v>60</v>
      </c>
      <c r="L36" s="60">
        <v>720</v>
      </c>
      <c r="M36" s="66">
        <v>2.9517390662665418E-3</v>
      </c>
      <c r="N36" s="67">
        <v>7.6870844169987058E-4</v>
      </c>
      <c r="O36" s="67">
        <v>5.9398883300993939E-4</v>
      </c>
      <c r="P36" s="67">
        <v>7.3751751604100597E-4</v>
      </c>
      <c r="Q36" s="67">
        <v>7.9923273657289001E-4</v>
      </c>
      <c r="R36" s="67">
        <v>6.2885171676518674E-4</v>
      </c>
      <c r="S36" s="67">
        <v>7.5466002565844085E-4</v>
      </c>
      <c r="T36" s="67">
        <v>1.2525573044966808E-3</v>
      </c>
      <c r="U36" s="67">
        <v>1.6848253397731103E-3</v>
      </c>
      <c r="V36" s="67">
        <v>3.6683785766691121E-3</v>
      </c>
      <c r="W36" s="68">
        <v>1.1064870879103992E-3</v>
      </c>
    </row>
    <row r="37" spans="1:23" x14ac:dyDescent="0.3">
      <c r="A37" s="44" t="s">
        <v>74</v>
      </c>
      <c r="B37" t="s">
        <v>55</v>
      </c>
      <c r="C37" s="45">
        <v>2015</v>
      </c>
      <c r="D37" s="91">
        <v>651686</v>
      </c>
      <c r="E37" s="2">
        <v>331737</v>
      </c>
      <c r="F37" s="5">
        <v>0.50904423295881762</v>
      </c>
      <c r="G37" s="2">
        <v>319952</v>
      </c>
      <c r="H37" s="78">
        <v>0.49096037048517233</v>
      </c>
      <c r="I37" s="52">
        <v>14518</v>
      </c>
      <c r="J37" s="82">
        <v>2.2277599948441428E-2</v>
      </c>
      <c r="K37" s="59">
        <v>88</v>
      </c>
      <c r="L37" s="60">
        <v>748</v>
      </c>
      <c r="M37" s="66">
        <v>2.7677830058123443E-3</v>
      </c>
      <c r="N37" s="67">
        <v>7.5894607688123763E-4</v>
      </c>
      <c r="O37" s="67">
        <v>5.6719888829017892E-4</v>
      </c>
      <c r="P37" s="67">
        <v>6.3734862970044612E-4</v>
      </c>
      <c r="Q37" s="67">
        <v>8.2050159997811999E-4</v>
      </c>
      <c r="R37" s="67">
        <v>7.2466393709917025E-4</v>
      </c>
      <c r="S37" s="67">
        <v>7.3252023587151596E-4</v>
      </c>
      <c r="T37" s="67">
        <v>1.2507556648808655E-3</v>
      </c>
      <c r="U37" s="67">
        <v>2.0498804236419544E-3</v>
      </c>
      <c r="V37" s="67">
        <v>6.0614409698305548E-3</v>
      </c>
      <c r="W37" s="68">
        <v>1.1477920348143124E-3</v>
      </c>
    </row>
    <row r="38" spans="1:23" x14ac:dyDescent="0.3">
      <c r="A38" s="44" t="s">
        <v>82</v>
      </c>
      <c r="B38" t="s">
        <v>62</v>
      </c>
      <c r="C38" s="45">
        <v>2016</v>
      </c>
      <c r="D38" s="91">
        <v>659009</v>
      </c>
      <c r="E38" s="2">
        <v>312629</v>
      </c>
      <c r="F38" s="5">
        <v>0.47439261072307054</v>
      </c>
      <c r="G38" s="2">
        <v>346380</v>
      </c>
      <c r="H38" s="78">
        <v>0.5256073892769294</v>
      </c>
      <c r="I38" s="52">
        <v>10545</v>
      </c>
      <c r="J38" s="82">
        <v>1.60012989200451E-2</v>
      </c>
      <c r="K38" s="59">
        <v>60</v>
      </c>
      <c r="L38" s="60">
        <v>720</v>
      </c>
      <c r="M38" s="66">
        <v>2.8451525713066362E-3</v>
      </c>
      <c r="N38" s="67">
        <v>1.0464812069416586E-3</v>
      </c>
      <c r="O38" s="67">
        <v>6.1935483870967747E-4</v>
      </c>
      <c r="P38" s="67">
        <v>4.0108024278724029E-4</v>
      </c>
      <c r="Q38" s="67">
        <v>6.4570979649379578E-4</v>
      </c>
      <c r="R38" s="67">
        <v>7.7815965242202195E-4</v>
      </c>
      <c r="S38" s="67">
        <v>8.6708961371157714E-4</v>
      </c>
      <c r="T38" s="67">
        <v>1.4006583094054205E-3</v>
      </c>
      <c r="U38" s="67">
        <v>2.7587475286220057E-3</v>
      </c>
      <c r="V38" s="67">
        <v>5.6899004267425323E-3</v>
      </c>
      <c r="W38" s="68">
        <v>1.092549570643193E-3</v>
      </c>
    </row>
    <row r="39" spans="1:23" x14ac:dyDescent="0.3">
      <c r="A39" s="44" t="s">
        <v>83</v>
      </c>
      <c r="B39" t="s">
        <v>76</v>
      </c>
      <c r="C39" s="45">
        <v>2012</v>
      </c>
      <c r="D39" s="91">
        <v>664838</v>
      </c>
      <c r="E39" s="2">
        <v>345178</v>
      </c>
      <c r="F39" s="5">
        <v>0.51919114130058752</v>
      </c>
      <c r="G39" s="2">
        <v>319661</v>
      </c>
      <c r="H39" s="78">
        <v>0.4808103628252296</v>
      </c>
      <c r="I39" s="52">
        <v>4336</v>
      </c>
      <c r="J39" s="82">
        <v>6.5218895430164941E-3</v>
      </c>
      <c r="K39" s="59">
        <v>60</v>
      </c>
      <c r="L39" s="60">
        <v>720</v>
      </c>
      <c r="M39" s="66">
        <v>2.4064492840813381E-3</v>
      </c>
      <c r="N39" s="67">
        <v>6.3393451456464551E-4</v>
      </c>
      <c r="O39" s="67">
        <v>5.8892237021623264E-4</v>
      </c>
      <c r="P39" s="67">
        <v>6.2147185250401363E-4</v>
      </c>
      <c r="Q39" s="67">
        <v>6.8340243291266118E-4</v>
      </c>
      <c r="R39" s="67">
        <v>5.884372088461727E-4</v>
      </c>
      <c r="S39" s="67">
        <v>7.4433375925765113E-4</v>
      </c>
      <c r="T39" s="67">
        <v>1.8097363817337275E-3</v>
      </c>
      <c r="U39" s="67">
        <v>4.1981528127623844E-3</v>
      </c>
      <c r="V39" s="67">
        <v>1.3837638376383764E-2</v>
      </c>
      <c r="W39" s="68">
        <v>1.082970588323772E-3</v>
      </c>
    </row>
    <row r="40" spans="1:23" x14ac:dyDescent="0.3">
      <c r="A40" s="44" t="s">
        <v>84</v>
      </c>
      <c r="B40" t="s">
        <v>76</v>
      </c>
      <c r="C40" s="45">
        <v>2011</v>
      </c>
      <c r="D40" s="91">
        <v>665600</v>
      </c>
      <c r="E40" s="2">
        <v>343110</v>
      </c>
      <c r="F40" s="5">
        <v>0.51548978365384612</v>
      </c>
      <c r="G40" s="2">
        <v>322492</v>
      </c>
      <c r="H40" s="78">
        <v>0.48451322115384615</v>
      </c>
      <c r="I40" s="52">
        <v>4236</v>
      </c>
      <c r="J40" s="82">
        <v>6.3641826923076924E-3</v>
      </c>
      <c r="K40" s="59">
        <v>60</v>
      </c>
      <c r="L40" s="60">
        <v>720</v>
      </c>
      <c r="M40" s="66">
        <v>2.4277246151044934E-3</v>
      </c>
      <c r="N40" s="67">
        <v>6.266842138246538E-4</v>
      </c>
      <c r="O40" s="67">
        <v>5.8760160611105673E-4</v>
      </c>
      <c r="P40" s="67">
        <v>6.4179359917850422E-4</v>
      </c>
      <c r="Q40" s="67">
        <v>6.669408534619788E-4</v>
      </c>
      <c r="R40" s="67">
        <v>5.7259011136877671E-4</v>
      </c>
      <c r="S40" s="67">
        <v>7.6148896475575244E-4</v>
      </c>
      <c r="T40" s="67">
        <v>1.8406601834524648E-3</v>
      </c>
      <c r="U40" s="67">
        <v>4.0352411056560631E-3</v>
      </c>
      <c r="V40" s="67">
        <v>1.4164305949008499E-2</v>
      </c>
      <c r="W40" s="68">
        <v>1.0817307692307693E-3</v>
      </c>
    </row>
    <row r="41" spans="1:23" x14ac:dyDescent="0.3">
      <c r="A41" s="44" t="s">
        <v>86</v>
      </c>
      <c r="B41" t="s">
        <v>62</v>
      </c>
      <c r="C41" s="45">
        <v>2017</v>
      </c>
      <c r="D41" s="91">
        <v>672391</v>
      </c>
      <c r="E41" s="2">
        <v>319046</v>
      </c>
      <c r="F41" s="5">
        <v>0.47449475082206632</v>
      </c>
      <c r="G41" s="2">
        <v>353345</v>
      </c>
      <c r="H41" s="78">
        <v>0.52550524917793362</v>
      </c>
      <c r="I41" s="52">
        <v>11129</v>
      </c>
      <c r="J41" s="82">
        <v>1.6551381562216031E-2</v>
      </c>
      <c r="K41" s="59">
        <v>60</v>
      </c>
      <c r="L41" s="60">
        <v>720</v>
      </c>
      <c r="M41" s="66">
        <v>2.7518517669181553E-3</v>
      </c>
      <c r="N41" s="67">
        <v>1.0186757215619694E-3</v>
      </c>
      <c r="O41" s="67">
        <v>6.5188339978922431E-4</v>
      </c>
      <c r="P41" s="67">
        <v>3.8365624400537121E-4</v>
      </c>
      <c r="Q41" s="67">
        <v>6.2758880381573988E-4</v>
      </c>
      <c r="R41" s="67">
        <v>7.8349438495690785E-4</v>
      </c>
      <c r="S41" s="67">
        <v>8.6330935251798565E-4</v>
      </c>
      <c r="T41" s="67">
        <v>1.3163090693694879E-3</v>
      </c>
      <c r="U41" s="67">
        <v>2.6021337496747333E-3</v>
      </c>
      <c r="V41" s="67">
        <v>5.3913199748405064E-3</v>
      </c>
      <c r="W41" s="68">
        <v>1.0708055283309859E-3</v>
      </c>
    </row>
    <row r="42" spans="1:23" x14ac:dyDescent="0.3">
      <c r="A42" s="44" t="s">
        <v>87</v>
      </c>
      <c r="B42" t="s">
        <v>76</v>
      </c>
      <c r="C42" s="45">
        <v>2010</v>
      </c>
      <c r="D42" s="91">
        <v>673832</v>
      </c>
      <c r="E42" s="2">
        <v>348803</v>
      </c>
      <c r="F42" s="5">
        <v>0.51764089565351601</v>
      </c>
      <c r="G42" s="2">
        <v>325030</v>
      </c>
      <c r="H42" s="78">
        <v>0.48236058839592066</v>
      </c>
      <c r="I42" s="52">
        <v>4435</v>
      </c>
      <c r="J42" s="82">
        <v>6.5817592515641883E-3</v>
      </c>
      <c r="K42" s="59">
        <v>60</v>
      </c>
      <c r="L42" s="60">
        <v>720</v>
      </c>
      <c r="M42" s="66">
        <v>2.3937761819269898E-3</v>
      </c>
      <c r="N42" s="67">
        <v>6.1076161973981559E-4</v>
      </c>
      <c r="O42" s="67">
        <v>5.6263010821252417E-4</v>
      </c>
      <c r="P42" s="67">
        <v>6.5490743974851552E-4</v>
      </c>
      <c r="Q42" s="67">
        <v>6.4071760371616209E-4</v>
      </c>
      <c r="R42" s="67">
        <v>5.6044910655071592E-4</v>
      </c>
      <c r="S42" s="67">
        <v>7.855459544383347E-4</v>
      </c>
      <c r="T42" s="67">
        <v>1.8900614269963774E-3</v>
      </c>
      <c r="U42" s="67">
        <v>4.1922861934041364E-3</v>
      </c>
      <c r="V42" s="67">
        <v>1.3528748590755355E-2</v>
      </c>
      <c r="W42" s="68">
        <v>1.0685155943914804E-3</v>
      </c>
    </row>
    <row r="43" spans="1:23" x14ac:dyDescent="0.3">
      <c r="A43" s="44" t="s">
        <v>79</v>
      </c>
      <c r="B43" t="s">
        <v>49</v>
      </c>
      <c r="C43" s="45">
        <v>2013</v>
      </c>
      <c r="D43" s="91">
        <v>677855</v>
      </c>
      <c r="E43" s="2">
        <v>339452</v>
      </c>
      <c r="F43" s="5">
        <v>0.50077376430062481</v>
      </c>
      <c r="G43" s="2">
        <v>338405</v>
      </c>
      <c r="H43" s="78">
        <v>0.4992291861828857</v>
      </c>
      <c r="I43" s="52">
        <v>15394</v>
      </c>
      <c r="J43" s="82">
        <v>2.2709871580205206E-2</v>
      </c>
      <c r="K43" s="59">
        <v>107</v>
      </c>
      <c r="L43" s="60">
        <v>767</v>
      </c>
      <c r="M43" s="66">
        <v>2.5432888964245599E-3</v>
      </c>
      <c r="N43" s="67">
        <v>6.5907268473258131E-4</v>
      </c>
      <c r="O43" s="67">
        <v>6.5659881812212733E-4</v>
      </c>
      <c r="P43" s="67">
        <v>6.7692585405478586E-4</v>
      </c>
      <c r="Q43" s="67">
        <v>7.5414781297134241E-4</v>
      </c>
      <c r="R43" s="67">
        <v>6.3602442333785621E-4</v>
      </c>
      <c r="S43" s="67">
        <v>6.9606375944036478E-4</v>
      </c>
      <c r="T43" s="67">
        <v>1.1554237516609217E-3</v>
      </c>
      <c r="U43" s="67">
        <v>1.8226556092226375E-3</v>
      </c>
      <c r="V43" s="67">
        <v>6.9507600363778099E-3</v>
      </c>
      <c r="W43" s="68">
        <v>1.1315104262711051E-3</v>
      </c>
    </row>
    <row r="44" spans="1:23" x14ac:dyDescent="0.3">
      <c r="A44" s="44" t="s">
        <v>89</v>
      </c>
      <c r="B44" t="s">
        <v>76</v>
      </c>
      <c r="C44" s="45">
        <v>2015</v>
      </c>
      <c r="D44" s="91">
        <v>679711</v>
      </c>
      <c r="E44" s="2">
        <v>354562</v>
      </c>
      <c r="F44" s="5">
        <v>0.52163640135292788</v>
      </c>
      <c r="G44" s="2">
        <v>325151</v>
      </c>
      <c r="H44" s="78">
        <v>0.47836654107407411</v>
      </c>
      <c r="I44" s="52">
        <v>5948</v>
      </c>
      <c r="J44" s="82">
        <v>8.7507779041386714E-3</v>
      </c>
      <c r="K44" s="59">
        <v>60</v>
      </c>
      <c r="L44" s="60">
        <v>720</v>
      </c>
      <c r="M44" s="66">
        <v>2.4129818423116365E-3</v>
      </c>
      <c r="N44" s="67">
        <v>6.4347303847968774E-4</v>
      </c>
      <c r="O44" s="67">
        <v>5.8370301190754145E-4</v>
      </c>
      <c r="P44" s="67">
        <v>5.692653630489853E-4</v>
      </c>
      <c r="Q44" s="67">
        <v>7.0894331998156747E-4</v>
      </c>
      <c r="R44" s="67">
        <v>6.4299033371198315E-4</v>
      </c>
      <c r="S44" s="67">
        <v>6.9879574200461204E-4</v>
      </c>
      <c r="T44" s="67">
        <v>1.4252797111433118E-3</v>
      </c>
      <c r="U44" s="67">
        <v>3.5431675918270933E-3</v>
      </c>
      <c r="V44" s="67">
        <v>1.0087424344317418E-2</v>
      </c>
      <c r="W44" s="68">
        <v>1.0592737207430806E-3</v>
      </c>
    </row>
    <row r="45" spans="1:23" x14ac:dyDescent="0.3">
      <c r="A45" s="44" t="s">
        <v>91</v>
      </c>
      <c r="B45" t="s">
        <v>76</v>
      </c>
      <c r="C45" s="45">
        <v>2009</v>
      </c>
      <c r="D45" s="91">
        <v>683142</v>
      </c>
      <c r="E45" s="2">
        <v>355087</v>
      </c>
      <c r="F45" s="5">
        <v>0.51978505200968461</v>
      </c>
      <c r="G45" s="2">
        <v>328057</v>
      </c>
      <c r="H45" s="78">
        <v>0.48021787563932533</v>
      </c>
      <c r="I45" s="52">
        <v>4652</v>
      </c>
      <c r="J45" s="82">
        <v>6.8097115972960229E-3</v>
      </c>
      <c r="K45" s="59">
        <v>60</v>
      </c>
      <c r="L45" s="60">
        <v>720</v>
      </c>
      <c r="M45" s="66">
        <v>2.310402587650898E-3</v>
      </c>
      <c r="N45" s="67">
        <v>6.106497313141182E-4</v>
      </c>
      <c r="O45" s="67">
        <v>5.2841554598536289E-4</v>
      </c>
      <c r="P45" s="67">
        <v>6.2032815359325082E-4</v>
      </c>
      <c r="Q45" s="67">
        <v>6.2561257898358807E-4</v>
      </c>
      <c r="R45" s="67">
        <v>5.6259317949535392E-4</v>
      </c>
      <c r="S45" s="67">
        <v>8.4133772698590762E-4</v>
      </c>
      <c r="T45" s="67">
        <v>1.9679874048806087E-3</v>
      </c>
      <c r="U45" s="67">
        <v>4.1881893061566384E-3</v>
      </c>
      <c r="V45" s="67">
        <v>1.2897678417884782E-2</v>
      </c>
      <c r="W45" s="68">
        <v>1.0539536436055754E-3</v>
      </c>
    </row>
    <row r="46" spans="1:23" x14ac:dyDescent="0.3">
      <c r="A46" s="44" t="s">
        <v>93</v>
      </c>
      <c r="B46" t="s">
        <v>76</v>
      </c>
      <c r="C46" s="45">
        <v>2013</v>
      </c>
      <c r="D46" s="91">
        <v>689833</v>
      </c>
      <c r="E46" s="2">
        <v>357648</v>
      </c>
      <c r="F46" s="5">
        <v>0.5184559161420228</v>
      </c>
      <c r="G46" s="2">
        <v>332185</v>
      </c>
      <c r="H46" s="78">
        <v>0.4815440838579772</v>
      </c>
      <c r="I46" s="52">
        <v>5165</v>
      </c>
      <c r="J46" s="82">
        <v>7.4873193946940779E-3</v>
      </c>
      <c r="K46" s="59">
        <v>60</v>
      </c>
      <c r="L46" s="60">
        <v>720</v>
      </c>
      <c r="M46" s="66">
        <v>2.3369491129330657E-3</v>
      </c>
      <c r="N46" s="67">
        <v>6.184674376894057E-4</v>
      </c>
      <c r="O46" s="67">
        <v>5.7546780737174257E-4</v>
      </c>
      <c r="P46" s="67">
        <v>5.8424296717528258E-4</v>
      </c>
      <c r="Q46" s="67">
        <v>6.7963254533715434E-4</v>
      </c>
      <c r="R46" s="67">
        <v>5.8863348735909587E-4</v>
      </c>
      <c r="S46" s="67">
        <v>6.9729333968645039E-4</v>
      </c>
      <c r="T46" s="67">
        <v>1.5962965919067763E-3</v>
      </c>
      <c r="U46" s="67">
        <v>3.8555455596966971E-3</v>
      </c>
      <c r="V46" s="67">
        <v>1.1616650532429816E-2</v>
      </c>
      <c r="W46" s="68">
        <v>1.0437308739941406E-3</v>
      </c>
    </row>
    <row r="47" spans="1:23" x14ac:dyDescent="0.3">
      <c r="A47" s="44" t="s">
        <v>94</v>
      </c>
      <c r="B47" t="s">
        <v>76</v>
      </c>
      <c r="C47" s="45">
        <v>2017</v>
      </c>
      <c r="D47" s="91">
        <v>696506</v>
      </c>
      <c r="E47" s="2">
        <v>362204</v>
      </c>
      <c r="F47" s="5">
        <v>0.52002997820550001</v>
      </c>
      <c r="G47" s="2">
        <v>334305</v>
      </c>
      <c r="H47" s="78">
        <v>0.47997432900793391</v>
      </c>
      <c r="I47" s="52">
        <v>6285</v>
      </c>
      <c r="J47" s="82">
        <v>9.0236121440447035E-3</v>
      </c>
      <c r="K47" s="59">
        <v>60</v>
      </c>
      <c r="L47" s="60">
        <v>720</v>
      </c>
      <c r="M47" s="66">
        <v>2.3617862977031627E-3</v>
      </c>
      <c r="N47" s="67">
        <v>6.3019252381602583E-4</v>
      </c>
      <c r="O47" s="67">
        <v>5.9531487195769301E-4</v>
      </c>
      <c r="P47" s="67">
        <v>5.4260831818551773E-4</v>
      </c>
      <c r="Q47" s="67">
        <v>6.8870523415977963E-4</v>
      </c>
      <c r="R47" s="67">
        <v>6.6737853710624668E-4</v>
      </c>
      <c r="S47" s="67">
        <v>6.7620110220779656E-4</v>
      </c>
      <c r="T47" s="67">
        <v>1.225114854517611E-3</v>
      </c>
      <c r="U47" s="67">
        <v>3.3085194375516956E-3</v>
      </c>
      <c r="V47" s="67">
        <v>9.5465393794749408E-3</v>
      </c>
      <c r="W47" s="68">
        <v>1.0337312241387726E-3</v>
      </c>
    </row>
    <row r="48" spans="1:23" x14ac:dyDescent="0.3">
      <c r="A48" s="44" t="s">
        <v>85</v>
      </c>
      <c r="B48" t="s">
        <v>49</v>
      </c>
      <c r="C48" s="45">
        <v>2010</v>
      </c>
      <c r="D48" s="91">
        <v>696784</v>
      </c>
      <c r="E48" s="2">
        <v>348700</v>
      </c>
      <c r="F48" s="5">
        <v>0.50044203081586258</v>
      </c>
      <c r="G48" s="2">
        <v>348087</v>
      </c>
      <c r="H48" s="78">
        <v>0.49956227467909708</v>
      </c>
      <c r="I48" s="52">
        <v>15633</v>
      </c>
      <c r="J48" s="82">
        <v>2.2435934234999656E-2</v>
      </c>
      <c r="K48" s="59">
        <v>87</v>
      </c>
      <c r="L48" s="60">
        <v>747</v>
      </c>
      <c r="M48" s="66">
        <v>2.3951139675062873E-3</v>
      </c>
      <c r="N48" s="67">
        <v>6.3004032258064514E-4</v>
      </c>
      <c r="O48" s="67">
        <v>5.9030134883858204E-4</v>
      </c>
      <c r="P48" s="67">
        <v>6.7854881027775262E-4</v>
      </c>
      <c r="Q48" s="67">
        <v>7.0078721764115024E-4</v>
      </c>
      <c r="R48" s="67">
        <v>5.8969218068168419E-4</v>
      </c>
      <c r="S48" s="67">
        <v>7.691617418949581E-4</v>
      </c>
      <c r="T48" s="67">
        <v>1.2777103430652271E-3</v>
      </c>
      <c r="U48" s="67">
        <v>1.7856079995238379E-3</v>
      </c>
      <c r="V48" s="67">
        <v>5.5651506428708499E-3</v>
      </c>
      <c r="W48" s="68">
        <v>1.0720682449654412E-3</v>
      </c>
    </row>
    <row r="49" spans="1:23" x14ac:dyDescent="0.3">
      <c r="A49" s="44" t="s">
        <v>95</v>
      </c>
      <c r="B49" t="s">
        <v>76</v>
      </c>
      <c r="C49" s="45">
        <v>2016</v>
      </c>
      <c r="D49" s="91">
        <v>699838</v>
      </c>
      <c r="E49" s="2">
        <v>363220</v>
      </c>
      <c r="F49" s="5">
        <v>0.51900582706283449</v>
      </c>
      <c r="G49" s="2">
        <v>336619</v>
      </c>
      <c r="H49" s="78">
        <v>0.4809956018392828</v>
      </c>
      <c r="I49" s="52">
        <v>6814</v>
      </c>
      <c r="J49" s="82">
        <v>9.7365390276035312E-3</v>
      </c>
      <c r="K49" s="59">
        <v>60</v>
      </c>
      <c r="L49" s="60">
        <v>720</v>
      </c>
      <c r="M49" s="66">
        <v>2.3799607306479445E-3</v>
      </c>
      <c r="N49" s="67">
        <v>6.2523446292359639E-4</v>
      </c>
      <c r="O49" s="67">
        <v>5.863383172090296E-4</v>
      </c>
      <c r="P49" s="67">
        <v>5.5522139453106922E-4</v>
      </c>
      <c r="Q49" s="67">
        <v>6.8834968163827229E-4</v>
      </c>
      <c r="R49" s="67">
        <v>6.3837257551415587E-4</v>
      </c>
      <c r="S49" s="67">
        <v>6.6278568824770507E-4</v>
      </c>
      <c r="T49" s="67">
        <v>1.2875812785682096E-3</v>
      </c>
      <c r="U49" s="67">
        <v>3.3967391304347825E-3</v>
      </c>
      <c r="V49" s="67">
        <v>8.8054006457293811E-3</v>
      </c>
      <c r="W49" s="68">
        <v>1.0288095244899533E-3</v>
      </c>
    </row>
    <row r="50" spans="1:23" x14ac:dyDescent="0.3">
      <c r="A50" s="44" t="s">
        <v>96</v>
      </c>
      <c r="B50" t="s">
        <v>55</v>
      </c>
      <c r="C50" s="45">
        <v>2017</v>
      </c>
      <c r="D50" s="91">
        <v>701012</v>
      </c>
      <c r="E50" s="2">
        <v>361194</v>
      </c>
      <c r="F50" s="5">
        <v>0.51524652930335002</v>
      </c>
      <c r="G50" s="2">
        <v>339822</v>
      </c>
      <c r="H50" s="78">
        <v>0.4847591767330659</v>
      </c>
      <c r="I50" s="52">
        <v>16086</v>
      </c>
      <c r="J50" s="82">
        <v>2.294682544664E-2</v>
      </c>
      <c r="K50" s="59">
        <v>60</v>
      </c>
      <c r="L50" s="60">
        <v>720</v>
      </c>
      <c r="M50" s="66">
        <v>2.5105652956190637E-3</v>
      </c>
      <c r="N50" s="67">
        <v>6.9745545003312918E-4</v>
      </c>
      <c r="O50" s="67">
        <v>5.341024408481547E-4</v>
      </c>
      <c r="P50" s="67">
        <v>5.7135783188748054E-4</v>
      </c>
      <c r="Q50" s="67">
        <v>7.5107027514207747E-4</v>
      </c>
      <c r="R50" s="67">
        <v>7.3079827531607024E-4</v>
      </c>
      <c r="S50" s="67">
        <v>6.8960761326805045E-4</v>
      </c>
      <c r="T50" s="67">
        <v>1.1123676745953763E-3</v>
      </c>
      <c r="U50" s="67">
        <v>1.9419361103019711E-3</v>
      </c>
      <c r="V50" s="67">
        <v>3.7299515106303618E-3</v>
      </c>
      <c r="W50" s="68">
        <v>1.0270865548663933E-3</v>
      </c>
    </row>
    <row r="51" spans="1:23" x14ac:dyDescent="0.3">
      <c r="A51" s="44" t="s">
        <v>88</v>
      </c>
      <c r="B51" t="s">
        <v>49</v>
      </c>
      <c r="C51" s="45">
        <v>2016</v>
      </c>
      <c r="D51" s="91">
        <v>716817</v>
      </c>
      <c r="E51" s="2">
        <v>360522</v>
      </c>
      <c r="F51" s="5">
        <v>0.50294845127835974</v>
      </c>
      <c r="G51" s="2">
        <v>356299</v>
      </c>
      <c r="H51" s="78">
        <v>0.49705712894643961</v>
      </c>
      <c r="I51" s="52">
        <v>16114</v>
      </c>
      <c r="J51" s="82">
        <v>2.2479935604205817E-2</v>
      </c>
      <c r="K51" s="59">
        <v>94</v>
      </c>
      <c r="L51" s="60">
        <v>760</v>
      </c>
      <c r="M51" s="66">
        <v>2.396453249191197E-3</v>
      </c>
      <c r="N51" s="67">
        <v>6.1728395061728394E-4</v>
      </c>
      <c r="O51" s="67">
        <v>6.0776726565507178E-4</v>
      </c>
      <c r="P51" s="67">
        <v>6.2461612134209179E-4</v>
      </c>
      <c r="Q51" s="67">
        <v>7.1869198059531657E-4</v>
      </c>
      <c r="R51" s="67">
        <v>6.582628443537505E-4</v>
      </c>
      <c r="S51" s="67">
        <v>6.3814173127851696E-4</v>
      </c>
      <c r="T51" s="67">
        <v>1.040113719099955E-3</v>
      </c>
      <c r="U51" s="67">
        <v>2.0159442866306242E-3</v>
      </c>
      <c r="V51" s="67">
        <v>5.8334367630631751E-3</v>
      </c>
      <c r="W51" s="68">
        <v>1.0602427118776481E-3</v>
      </c>
    </row>
    <row r="52" spans="1:23" x14ac:dyDescent="0.3">
      <c r="A52" s="44" t="s">
        <v>90</v>
      </c>
      <c r="B52" t="s">
        <v>49</v>
      </c>
      <c r="C52" s="45">
        <v>2017</v>
      </c>
      <c r="D52" s="91">
        <v>720961</v>
      </c>
      <c r="E52" s="2">
        <v>364672</v>
      </c>
      <c r="F52" s="5">
        <v>0.50581376801241673</v>
      </c>
      <c r="G52" s="2">
        <v>356294</v>
      </c>
      <c r="H52" s="78">
        <v>0.49419316717547829</v>
      </c>
      <c r="I52" s="52">
        <v>15198</v>
      </c>
      <c r="J52" s="82">
        <v>2.1080197125780728E-2</v>
      </c>
      <c r="K52" s="59">
        <v>100</v>
      </c>
      <c r="L52" s="60">
        <v>760</v>
      </c>
      <c r="M52" s="66">
        <v>2.4533355140760127E-3</v>
      </c>
      <c r="N52" s="67">
        <v>6.1021499908467749E-4</v>
      </c>
      <c r="O52" s="67">
        <v>6.3110063951531473E-4</v>
      </c>
      <c r="P52" s="67">
        <v>6.159342182254935E-4</v>
      </c>
      <c r="Q52" s="67">
        <v>6.9313679054561423E-4</v>
      </c>
      <c r="R52" s="67">
        <v>6.7570611288796795E-4</v>
      </c>
      <c r="S52" s="67">
        <v>6.3182502658930316E-4</v>
      </c>
      <c r="T52" s="67">
        <v>9.5498822181193095E-4</v>
      </c>
      <c r="U52" s="67">
        <v>1.8197258279752516E-3</v>
      </c>
      <c r="V52" s="67">
        <v>6.5798131333070142E-3</v>
      </c>
      <c r="W52" s="68">
        <v>1.0541485600469374E-3</v>
      </c>
    </row>
    <row r="53" spans="1:23" x14ac:dyDescent="0.3">
      <c r="A53" s="44" t="s">
        <v>92</v>
      </c>
      <c r="B53" t="s">
        <v>49</v>
      </c>
      <c r="C53" s="45">
        <v>2012</v>
      </c>
      <c r="D53" s="91">
        <v>730007</v>
      </c>
      <c r="E53" s="2">
        <v>366067</v>
      </c>
      <c r="F53" s="5">
        <v>0.50145683534541452</v>
      </c>
      <c r="G53" s="2">
        <v>363944</v>
      </c>
      <c r="H53" s="78">
        <v>0.4985486440540981</v>
      </c>
      <c r="I53" s="52">
        <v>17043</v>
      </c>
      <c r="J53" s="82">
        <v>2.3346351473342037E-2</v>
      </c>
      <c r="K53" s="59">
        <v>105</v>
      </c>
      <c r="L53" s="60">
        <v>765</v>
      </c>
      <c r="M53" s="66">
        <v>2.3488881929220168E-3</v>
      </c>
      <c r="N53" s="67">
        <v>6.2468765617191408E-4</v>
      </c>
      <c r="O53" s="67">
        <v>5.7367409574620657E-4</v>
      </c>
      <c r="P53" s="67">
        <v>6.3372694818225985E-4</v>
      </c>
      <c r="Q53" s="67">
        <v>7.093372425696924E-4</v>
      </c>
      <c r="R53" s="67">
        <v>5.7382771779152842E-4</v>
      </c>
      <c r="S53" s="67">
        <v>6.6840451841454452E-4</v>
      </c>
      <c r="T53" s="67">
        <v>1.1427700746609781E-3</v>
      </c>
      <c r="U53" s="67">
        <v>1.6728002676480427E-3</v>
      </c>
      <c r="V53" s="67">
        <v>6.1608871677521562E-3</v>
      </c>
      <c r="W53" s="68">
        <v>1.0479351567861679E-3</v>
      </c>
    </row>
    <row r="54" spans="1:23" x14ac:dyDescent="0.3">
      <c r="A54" s="44" t="s">
        <v>97</v>
      </c>
      <c r="B54" t="s">
        <v>49</v>
      </c>
      <c r="C54" s="45">
        <v>2011</v>
      </c>
      <c r="D54" s="91">
        <v>765593</v>
      </c>
      <c r="E54" s="2">
        <v>383216</v>
      </c>
      <c r="F54" s="5">
        <v>0.50054794126905544</v>
      </c>
      <c r="G54" s="2">
        <v>382379</v>
      </c>
      <c r="H54" s="78">
        <v>0.49945467108502822</v>
      </c>
      <c r="I54" s="52">
        <v>16927</v>
      </c>
      <c r="J54" s="82">
        <v>2.2109658787371356E-2</v>
      </c>
      <c r="K54" s="59">
        <v>85</v>
      </c>
      <c r="L54" s="60">
        <v>745</v>
      </c>
      <c r="M54" s="66">
        <v>2.1800741225201656E-3</v>
      </c>
      <c r="N54" s="67">
        <v>5.7659596959417259E-4</v>
      </c>
      <c r="O54" s="67">
        <v>5.455239757787355E-4</v>
      </c>
      <c r="P54" s="67">
        <v>6.1407458959348259E-4</v>
      </c>
      <c r="Q54" s="67">
        <v>6.543574754888596E-4</v>
      </c>
      <c r="R54" s="67">
        <v>5.392289026691831E-4</v>
      </c>
      <c r="S54" s="67">
        <v>6.6908279899637578E-4</v>
      </c>
      <c r="T54" s="67">
        <v>1.1294117647058823E-3</v>
      </c>
      <c r="U54" s="67">
        <v>1.6380910778639292E-3</v>
      </c>
      <c r="V54" s="67">
        <v>5.0215631830802859E-3</v>
      </c>
      <c r="W54" s="68">
        <v>9.7310189617721163E-4</v>
      </c>
    </row>
    <row r="55" spans="1:23" x14ac:dyDescent="0.3">
      <c r="A55" s="44" t="s">
        <v>100</v>
      </c>
      <c r="B55" t="s">
        <v>49</v>
      </c>
      <c r="C55" s="45">
        <v>2009</v>
      </c>
      <c r="D55" s="91">
        <v>786961</v>
      </c>
      <c r="E55" s="2">
        <v>392549</v>
      </c>
      <c r="F55" s="5">
        <v>0.49881633270263709</v>
      </c>
      <c r="G55" s="2">
        <v>394412</v>
      </c>
      <c r="H55" s="78">
        <v>0.50118366729736286</v>
      </c>
      <c r="I55" s="52">
        <v>18564</v>
      </c>
      <c r="J55" s="82">
        <v>2.3589479021196732E-2</v>
      </c>
      <c r="K55" s="59">
        <v>75</v>
      </c>
      <c r="L55" s="60">
        <v>735</v>
      </c>
      <c r="M55" s="66">
        <v>2.159904964181576E-3</v>
      </c>
      <c r="N55" s="67">
        <v>5.7547332681130226E-4</v>
      </c>
      <c r="O55" s="67">
        <v>5.0183168565263211E-4</v>
      </c>
      <c r="P55" s="67">
        <v>6.1844831318222577E-4</v>
      </c>
      <c r="Q55" s="67">
        <v>6.1951471347444504E-4</v>
      </c>
      <c r="R55" s="67">
        <v>5.2263442592963597E-4</v>
      </c>
      <c r="S55" s="67">
        <v>6.9273665616016071E-4</v>
      </c>
      <c r="T55" s="67">
        <v>1.1217049915872126E-3</v>
      </c>
      <c r="U55" s="67">
        <v>1.4632361907084503E-3</v>
      </c>
      <c r="V55" s="67">
        <v>4.0400775694893346E-3</v>
      </c>
      <c r="W55" s="68">
        <v>9.3397258568086604E-4</v>
      </c>
    </row>
    <row r="56" spans="1:23" x14ac:dyDescent="0.3">
      <c r="A56" s="44" t="s">
        <v>98</v>
      </c>
      <c r="B56" t="s">
        <v>99</v>
      </c>
      <c r="C56" s="45">
        <v>2017</v>
      </c>
      <c r="D56" s="91">
        <v>805701</v>
      </c>
      <c r="E56" s="2">
        <v>404864</v>
      </c>
      <c r="F56" s="5">
        <v>0.50249906603069872</v>
      </c>
      <c r="G56" s="2">
        <v>400839</v>
      </c>
      <c r="H56" s="78">
        <v>0.49750341627973654</v>
      </c>
      <c r="I56" s="52">
        <v>16312</v>
      </c>
      <c r="J56" s="82">
        <v>2.0245723909986458E-2</v>
      </c>
      <c r="K56" s="59">
        <v>94</v>
      </c>
      <c r="L56" s="60">
        <v>754</v>
      </c>
      <c r="M56" s="66">
        <v>2.4581097136302183E-3</v>
      </c>
      <c r="N56" s="67">
        <v>5.987545904518601E-4</v>
      </c>
      <c r="O56" s="67">
        <v>5.3499777084262145E-4</v>
      </c>
      <c r="P56" s="67">
        <v>5.6652944064659893E-4</v>
      </c>
      <c r="Q56" s="67">
        <v>6.3719295264594376E-4</v>
      </c>
      <c r="R56" s="67">
        <v>6.0307568599859279E-4</v>
      </c>
      <c r="S56" s="67">
        <v>5.3445926084284227E-4</v>
      </c>
      <c r="T56" s="67">
        <v>7.7166448028397256E-4</v>
      </c>
      <c r="U56" s="67">
        <v>1.5512694555044212E-3</v>
      </c>
      <c r="V56" s="67">
        <v>5.7626287395782247E-3</v>
      </c>
      <c r="W56" s="68">
        <v>9.3583103409329267E-4</v>
      </c>
    </row>
    <row r="57" spans="1:23" x14ac:dyDescent="0.3">
      <c r="A57" s="44" t="s">
        <v>103</v>
      </c>
      <c r="B57" t="s">
        <v>104</v>
      </c>
      <c r="C57" s="45">
        <v>2009</v>
      </c>
      <c r="D57" s="91">
        <v>863832</v>
      </c>
      <c r="E57" s="2">
        <v>419541</v>
      </c>
      <c r="F57" s="5">
        <v>0.48567429778012389</v>
      </c>
      <c r="G57" s="2">
        <v>444291</v>
      </c>
      <c r="H57" s="78">
        <v>0.51432570221987606</v>
      </c>
      <c r="I57" s="52">
        <v>15492</v>
      </c>
      <c r="J57" s="82">
        <v>1.7934042730530935E-2</v>
      </c>
      <c r="K57" s="59">
        <v>60</v>
      </c>
      <c r="L57" s="60">
        <v>720</v>
      </c>
      <c r="M57" s="66">
        <v>2.0593080724876441E-3</v>
      </c>
      <c r="N57" s="67">
        <v>5.397188065018125E-4</v>
      </c>
      <c r="O57" s="67">
        <v>5.0862112812166216E-4</v>
      </c>
      <c r="P57" s="67">
        <v>5.3414523408914887E-4</v>
      </c>
      <c r="Q57" s="67">
        <v>4.9460876446730641E-4</v>
      </c>
      <c r="R57" s="67">
        <v>4.7970066678392685E-4</v>
      </c>
      <c r="S57" s="67">
        <v>6.051925520969922E-4</v>
      </c>
      <c r="T57" s="67">
        <v>9.5093191327500946E-4</v>
      </c>
      <c r="U57" s="67">
        <v>1.4791076050782695E-3</v>
      </c>
      <c r="V57" s="67">
        <v>3.8729666924864447E-3</v>
      </c>
      <c r="W57" s="68">
        <v>8.3349540188369957E-4</v>
      </c>
    </row>
    <row r="58" spans="1:23" x14ac:dyDescent="0.3">
      <c r="A58" s="44" t="s">
        <v>105</v>
      </c>
      <c r="B58" t="s">
        <v>104</v>
      </c>
      <c r="C58" s="45">
        <v>2010</v>
      </c>
      <c r="D58" s="91">
        <v>881278</v>
      </c>
      <c r="E58" s="2">
        <v>427218</v>
      </c>
      <c r="F58" s="5">
        <v>0.48477098032629884</v>
      </c>
      <c r="G58" s="2">
        <v>454060</v>
      </c>
      <c r="H58" s="78">
        <v>0.51522901967370116</v>
      </c>
      <c r="I58" s="52">
        <v>15623</v>
      </c>
      <c r="J58" s="82">
        <v>1.7727663688416141E-2</v>
      </c>
      <c r="K58" s="59">
        <v>65</v>
      </c>
      <c r="L58" s="60">
        <v>725</v>
      </c>
      <c r="M58" s="66">
        <v>2.1483430903915354E-3</v>
      </c>
      <c r="N58" s="67">
        <v>5.3311534839088019E-4</v>
      </c>
      <c r="O58" s="67">
        <v>4.7914903132037501E-4</v>
      </c>
      <c r="P58" s="67">
        <v>5.4586146036136028E-4</v>
      </c>
      <c r="Q58" s="67">
        <v>4.9827679275837725E-4</v>
      </c>
      <c r="R58" s="67">
        <v>4.6081533593437992E-4</v>
      </c>
      <c r="S58" s="67">
        <v>5.7269395235186316E-4</v>
      </c>
      <c r="T58" s="67">
        <v>8.8610586011342155E-4</v>
      </c>
      <c r="U58" s="67">
        <v>1.5208354456047856E-3</v>
      </c>
      <c r="V58" s="67">
        <v>4.160532548166165E-3</v>
      </c>
      <c r="W58" s="68">
        <v>8.2266889676129438E-4</v>
      </c>
    </row>
    <row r="59" spans="1:23" x14ac:dyDescent="0.3">
      <c r="A59" s="44" t="s">
        <v>102</v>
      </c>
      <c r="B59" t="s">
        <v>99</v>
      </c>
      <c r="C59" s="45">
        <v>2014</v>
      </c>
      <c r="D59" s="91">
        <v>886659</v>
      </c>
      <c r="E59" s="2">
        <v>443822</v>
      </c>
      <c r="F59" s="5">
        <v>0.500555455930634</v>
      </c>
      <c r="G59" s="2">
        <v>442838</v>
      </c>
      <c r="H59" s="78">
        <v>0.49944567189866679</v>
      </c>
      <c r="I59" s="52">
        <v>17744</v>
      </c>
      <c r="J59" s="82">
        <v>2.0012203113034435E-2</v>
      </c>
      <c r="K59" s="59">
        <v>86</v>
      </c>
      <c r="L59" s="60">
        <v>746</v>
      </c>
      <c r="M59" s="66">
        <v>2.2034116156515672E-3</v>
      </c>
      <c r="N59" s="67">
        <v>5.4447449137007926E-4</v>
      </c>
      <c r="O59" s="67">
        <v>4.9119130263933458E-4</v>
      </c>
      <c r="P59" s="67">
        <v>5.2750498931802392E-4</v>
      </c>
      <c r="Q59" s="67">
        <v>5.9346594000059347E-4</v>
      </c>
      <c r="R59" s="67">
        <v>4.9164611312777059E-4</v>
      </c>
      <c r="S59" s="67">
        <v>4.728803139925285E-4</v>
      </c>
      <c r="T59" s="67">
        <v>7.7724234416291001E-4</v>
      </c>
      <c r="U59" s="67">
        <v>1.4439738159414709E-3</v>
      </c>
      <c r="V59" s="67">
        <v>4.846708746618575E-3</v>
      </c>
      <c r="W59" s="68">
        <v>8.4136065838163261E-4</v>
      </c>
    </row>
    <row r="60" spans="1:23" x14ac:dyDescent="0.3">
      <c r="A60" s="44" t="s">
        <v>109</v>
      </c>
      <c r="B60" t="s">
        <v>104</v>
      </c>
      <c r="C60" s="45">
        <v>2011</v>
      </c>
      <c r="D60" s="91">
        <v>890856</v>
      </c>
      <c r="E60" s="2">
        <v>432225</v>
      </c>
      <c r="F60" s="5">
        <v>0.48517942293704031</v>
      </c>
      <c r="G60" s="2">
        <v>458631</v>
      </c>
      <c r="H60" s="78">
        <v>0.51482057706295969</v>
      </c>
      <c r="I60" s="52">
        <v>16153</v>
      </c>
      <c r="J60" s="82">
        <v>1.8131998886464256E-2</v>
      </c>
      <c r="K60" s="59">
        <v>60</v>
      </c>
      <c r="L60" s="60">
        <v>720</v>
      </c>
      <c r="M60" s="66">
        <v>2.1516558785031649E-3</v>
      </c>
      <c r="N60" s="67">
        <v>5.3415474462951919E-4</v>
      </c>
      <c r="O60" s="67">
        <v>4.7553001783237565E-4</v>
      </c>
      <c r="P60" s="67">
        <v>5.4194667244743114E-4</v>
      </c>
      <c r="Q60" s="67">
        <v>5.088195386702849E-4</v>
      </c>
      <c r="R60" s="67">
        <v>4.5538723094204437E-4</v>
      </c>
      <c r="S60" s="67">
        <v>5.515263491713317E-4</v>
      </c>
      <c r="T60" s="67">
        <v>8.5273300929478981E-4</v>
      </c>
      <c r="U60" s="67">
        <v>1.4972301242701003E-3</v>
      </c>
      <c r="V60" s="67">
        <v>3.7144802823005016E-3</v>
      </c>
      <c r="W60" s="68">
        <v>8.0821142810959343E-4</v>
      </c>
    </row>
    <row r="61" spans="1:23" x14ac:dyDescent="0.3">
      <c r="A61" s="44" t="s">
        <v>101</v>
      </c>
      <c r="B61" t="s">
        <v>99</v>
      </c>
      <c r="C61" s="45">
        <v>2013</v>
      </c>
      <c r="D61" s="91">
        <v>892285</v>
      </c>
      <c r="E61" s="2">
        <v>447751</v>
      </c>
      <c r="F61" s="5">
        <v>0.50180267515423882</v>
      </c>
      <c r="G61" s="2">
        <v>444536</v>
      </c>
      <c r="H61" s="78">
        <v>0.49819956628207357</v>
      </c>
      <c r="I61" s="52">
        <v>17962</v>
      </c>
      <c r="J61" s="82">
        <v>2.013033952156542E-2</v>
      </c>
      <c r="K61" s="59">
        <v>102</v>
      </c>
      <c r="L61" s="60">
        <v>771</v>
      </c>
      <c r="M61" s="66">
        <v>2.2097819681791398E-3</v>
      </c>
      <c r="N61" s="67">
        <v>5.424758598242378E-4</v>
      </c>
      <c r="O61" s="67">
        <v>4.8823754383966279E-4</v>
      </c>
      <c r="P61" s="67">
        <v>5.2984811020840693E-4</v>
      </c>
      <c r="Q61" s="67">
        <v>5.8665936601677842E-4</v>
      </c>
      <c r="R61" s="67">
        <v>4.682049801403054E-4</v>
      </c>
      <c r="S61" s="67">
        <v>4.7315253649188939E-4</v>
      </c>
      <c r="T61" s="67">
        <v>7.9977606270244326E-4</v>
      </c>
      <c r="U61" s="67">
        <v>1.6520614854187616E-3</v>
      </c>
      <c r="V61" s="67">
        <v>5.678654938202873E-3</v>
      </c>
      <c r="W61" s="68">
        <v>8.6407369842595133E-4</v>
      </c>
    </row>
    <row r="62" spans="1:23" x14ac:dyDescent="0.3">
      <c r="A62" s="44" t="s">
        <v>106</v>
      </c>
      <c r="B62" t="s">
        <v>104</v>
      </c>
      <c r="C62" s="45">
        <v>2012</v>
      </c>
      <c r="D62" s="91">
        <v>900131</v>
      </c>
      <c r="E62" s="2">
        <v>436338</v>
      </c>
      <c r="F62" s="5">
        <v>0.48474944202566073</v>
      </c>
      <c r="G62" s="2">
        <v>463793</v>
      </c>
      <c r="H62" s="78">
        <v>0.51525055797433927</v>
      </c>
      <c r="I62" s="52">
        <v>16164</v>
      </c>
      <c r="J62" s="82">
        <v>1.7957386202674945E-2</v>
      </c>
      <c r="K62" s="59">
        <v>71</v>
      </c>
      <c r="L62" s="60">
        <v>731</v>
      </c>
      <c r="M62" s="66">
        <v>2.1367901850104167E-3</v>
      </c>
      <c r="N62" s="67">
        <v>5.286902580008459E-4</v>
      </c>
      <c r="O62" s="67">
        <v>4.7227360384115866E-4</v>
      </c>
      <c r="P62" s="67">
        <v>5.3579082726103731E-4</v>
      </c>
      <c r="Q62" s="67">
        <v>5.1782616575615564E-4</v>
      </c>
      <c r="R62" s="67">
        <v>4.5338794139205212E-4</v>
      </c>
      <c r="S62" s="67">
        <v>5.3596312573694926E-4</v>
      </c>
      <c r="T62" s="67">
        <v>8.1795130463233089E-4</v>
      </c>
      <c r="U62" s="67">
        <v>1.4554981442398661E-3</v>
      </c>
      <c r="V62" s="67">
        <v>4.3924771096263302E-3</v>
      </c>
      <c r="W62" s="68">
        <v>8.1210401597100871E-4</v>
      </c>
    </row>
    <row r="63" spans="1:23" x14ac:dyDescent="0.3">
      <c r="A63" s="44" t="s">
        <v>113</v>
      </c>
      <c r="B63" t="s">
        <v>104</v>
      </c>
      <c r="C63" s="45">
        <v>2013</v>
      </c>
      <c r="D63" s="91">
        <v>908446</v>
      </c>
      <c r="E63" s="2">
        <v>439985</v>
      </c>
      <c r="F63" s="5">
        <v>0.48432708163170951</v>
      </c>
      <c r="G63" s="2">
        <v>468461</v>
      </c>
      <c r="H63" s="78">
        <v>0.51567291836829043</v>
      </c>
      <c r="I63" s="52">
        <v>16720</v>
      </c>
      <c r="J63" s="82">
        <v>1.8405056547114523E-2</v>
      </c>
      <c r="K63" s="59">
        <v>65</v>
      </c>
      <c r="L63" s="60">
        <v>725</v>
      </c>
      <c r="M63" s="66">
        <v>2.1372088053002777E-3</v>
      </c>
      <c r="N63" s="67">
        <v>5.2716665495185211E-4</v>
      </c>
      <c r="O63" s="67">
        <v>4.7145349111310167E-4</v>
      </c>
      <c r="P63" s="67">
        <v>5.2449844835875689E-4</v>
      </c>
      <c r="Q63" s="67">
        <v>5.2732418132920851E-4</v>
      </c>
      <c r="R63" s="67">
        <v>4.5244433049550193E-4</v>
      </c>
      <c r="S63" s="67">
        <v>5.2168469377108476E-4</v>
      </c>
      <c r="T63" s="67">
        <v>7.7305640734918958E-4</v>
      </c>
      <c r="U63" s="67">
        <v>1.4608136732159813E-3</v>
      </c>
      <c r="V63" s="67">
        <v>3.8875598086124401E-3</v>
      </c>
      <c r="W63" s="68">
        <v>7.9806614812548025E-4</v>
      </c>
    </row>
    <row r="64" spans="1:23" x14ac:dyDescent="0.3">
      <c r="A64" s="44" t="s">
        <v>107</v>
      </c>
      <c r="B64" t="s">
        <v>99</v>
      </c>
      <c r="C64" s="45">
        <v>2012</v>
      </c>
      <c r="D64" s="91">
        <v>916440</v>
      </c>
      <c r="E64" s="2">
        <v>459300</v>
      </c>
      <c r="F64" s="5">
        <v>0.50117847322246956</v>
      </c>
      <c r="G64" s="2">
        <v>457144</v>
      </c>
      <c r="H64" s="78">
        <v>0.49882589149316919</v>
      </c>
      <c r="I64" s="52">
        <v>18412</v>
      </c>
      <c r="J64" s="82">
        <v>2.0090786085286545E-2</v>
      </c>
      <c r="K64" s="59">
        <v>84</v>
      </c>
      <c r="L64" s="60">
        <v>744</v>
      </c>
      <c r="M64" s="66">
        <v>2.1748586341887779E-3</v>
      </c>
      <c r="N64" s="67">
        <v>5.3278870487945653E-4</v>
      </c>
      <c r="O64" s="67">
        <v>4.7852995597524406E-4</v>
      </c>
      <c r="P64" s="67">
        <v>5.2830388039200153E-4</v>
      </c>
      <c r="Q64" s="67">
        <v>5.6393627520090234E-4</v>
      </c>
      <c r="R64" s="67">
        <v>4.3907472319997659E-4</v>
      </c>
      <c r="S64" s="67">
        <v>4.6327395705450416E-4</v>
      </c>
      <c r="T64" s="67">
        <v>7.9282231530543475E-4</v>
      </c>
      <c r="U64" s="67">
        <v>1.3744444953497962E-3</v>
      </c>
      <c r="V64" s="67">
        <v>4.562242016076472E-3</v>
      </c>
      <c r="W64" s="68">
        <v>8.1183710881236085E-4</v>
      </c>
    </row>
    <row r="65" spans="1:23" x14ac:dyDescent="0.3">
      <c r="A65" s="44" t="s">
        <v>110</v>
      </c>
      <c r="B65" t="s">
        <v>104</v>
      </c>
      <c r="C65" s="45">
        <v>2014</v>
      </c>
      <c r="D65" s="91">
        <v>917060</v>
      </c>
      <c r="E65" s="2">
        <v>443923</v>
      </c>
      <c r="F65" s="5">
        <v>0.48407192550105771</v>
      </c>
      <c r="G65" s="2">
        <v>473137</v>
      </c>
      <c r="H65" s="78">
        <v>0.51592807449894229</v>
      </c>
      <c r="I65" s="52">
        <v>17600</v>
      </c>
      <c r="J65" s="82">
        <v>1.9191764988114191E-2</v>
      </c>
      <c r="K65" s="59">
        <v>70</v>
      </c>
      <c r="L65" s="60">
        <v>736</v>
      </c>
      <c r="M65" s="66">
        <v>2.1441972661484857E-3</v>
      </c>
      <c r="N65" s="67">
        <v>5.2552289528080441E-4</v>
      </c>
      <c r="O65" s="67">
        <v>4.7602424550157086E-4</v>
      </c>
      <c r="P65" s="67">
        <v>5.1252263641644175E-4</v>
      </c>
      <c r="Q65" s="67">
        <v>5.3438309924384788E-4</v>
      </c>
      <c r="R65" s="67">
        <v>4.5449380752187249E-4</v>
      </c>
      <c r="S65" s="67">
        <v>5.0624367195410062E-4</v>
      </c>
      <c r="T65" s="67">
        <v>7.3847971642378889E-4</v>
      </c>
      <c r="U65" s="67">
        <v>1.5622780854992189E-3</v>
      </c>
      <c r="V65" s="67">
        <v>3.9772727272727269E-3</v>
      </c>
      <c r="W65" s="68">
        <v>8.0256471768477529E-4</v>
      </c>
    </row>
    <row r="66" spans="1:23" x14ac:dyDescent="0.3">
      <c r="A66" s="44" t="s">
        <v>111</v>
      </c>
      <c r="B66" t="s">
        <v>99</v>
      </c>
      <c r="C66" s="45">
        <v>2011</v>
      </c>
      <c r="D66" s="91">
        <v>921227</v>
      </c>
      <c r="E66" s="2">
        <v>461425</v>
      </c>
      <c r="F66" s="5">
        <v>0.50088089037772454</v>
      </c>
      <c r="G66" s="2">
        <v>459804</v>
      </c>
      <c r="H66" s="78">
        <v>0.49912128063984229</v>
      </c>
      <c r="I66" s="52">
        <v>17838</v>
      </c>
      <c r="J66" s="82">
        <v>1.9363305678187896E-2</v>
      </c>
      <c r="K66" s="59">
        <v>77</v>
      </c>
      <c r="L66" s="60">
        <v>737</v>
      </c>
      <c r="M66" s="66">
        <v>2.1138297310151666E-3</v>
      </c>
      <c r="N66" s="67">
        <v>5.2538944492605143E-4</v>
      </c>
      <c r="O66" s="67">
        <v>4.6638890616255209E-4</v>
      </c>
      <c r="P66" s="67">
        <v>5.2226593781553568E-4</v>
      </c>
      <c r="Q66" s="67">
        <v>5.5177995015587788E-4</v>
      </c>
      <c r="R66" s="67">
        <v>4.2902496925321053E-4</v>
      </c>
      <c r="S66" s="67">
        <v>4.8174197899604969E-4</v>
      </c>
      <c r="T66" s="67">
        <v>8.3079479368595955E-4</v>
      </c>
      <c r="U66" s="67">
        <v>1.3742241359565746E-3</v>
      </c>
      <c r="V66" s="67">
        <v>4.31662742459917E-3</v>
      </c>
      <c r="W66" s="68">
        <v>8.0001997336161441E-4</v>
      </c>
    </row>
    <row r="67" spans="1:23" x14ac:dyDescent="0.3">
      <c r="A67" s="44" t="s">
        <v>108</v>
      </c>
      <c r="B67" t="s">
        <v>104</v>
      </c>
      <c r="C67" s="45">
        <v>2015</v>
      </c>
      <c r="D67" s="91">
        <v>926454</v>
      </c>
      <c r="E67" s="2">
        <v>448413</v>
      </c>
      <c r="F67" s="5">
        <v>0.48400999941713241</v>
      </c>
      <c r="G67" s="2">
        <v>478041</v>
      </c>
      <c r="H67" s="78">
        <v>0.51599000058286759</v>
      </c>
      <c r="I67" s="52">
        <v>17790</v>
      </c>
      <c r="J67" s="82">
        <v>1.9202248573593508E-2</v>
      </c>
      <c r="K67" s="59">
        <v>87</v>
      </c>
      <c r="L67" s="60">
        <v>752</v>
      </c>
      <c r="M67" s="66">
        <v>2.1580016904346575E-3</v>
      </c>
      <c r="N67" s="67">
        <v>5.2782054101605457E-4</v>
      </c>
      <c r="O67" s="67">
        <v>4.7709164930583167E-4</v>
      </c>
      <c r="P67" s="67">
        <v>4.9984171678968327E-4</v>
      </c>
      <c r="Q67" s="67">
        <v>5.3892860992347212E-4</v>
      </c>
      <c r="R67" s="67">
        <v>4.5772176619572185E-4</v>
      </c>
      <c r="S67" s="67">
        <v>4.9481679408199116E-4</v>
      </c>
      <c r="T67" s="67">
        <v>7.5620084694494858E-4</v>
      </c>
      <c r="U67" s="67">
        <v>1.3695503309746632E-3</v>
      </c>
      <c r="V67" s="67">
        <v>4.8903878583473866E-3</v>
      </c>
      <c r="W67" s="68">
        <v>8.116970729253692E-4</v>
      </c>
    </row>
    <row r="68" spans="1:23" x14ac:dyDescent="0.3">
      <c r="A68" s="44" t="s">
        <v>116</v>
      </c>
      <c r="B68" t="s">
        <v>104</v>
      </c>
      <c r="C68" s="45">
        <v>2016</v>
      </c>
      <c r="D68" s="91">
        <v>934695</v>
      </c>
      <c r="E68" s="2">
        <v>452416</v>
      </c>
      <c r="F68" s="5">
        <v>0.48402527027533043</v>
      </c>
      <c r="G68" s="2">
        <v>482279</v>
      </c>
      <c r="H68" s="78">
        <v>0.51597472972466951</v>
      </c>
      <c r="I68" s="52">
        <v>17961</v>
      </c>
      <c r="J68" s="82">
        <v>1.9215893954712501E-2</v>
      </c>
      <c r="K68" s="59">
        <v>60</v>
      </c>
      <c r="L68" s="60">
        <v>720</v>
      </c>
      <c r="M68" s="66">
        <v>2.1538958591352107E-3</v>
      </c>
      <c r="N68" s="67">
        <v>5.2405865963263485E-4</v>
      </c>
      <c r="O68" s="67">
        <v>4.8257113902874517E-4</v>
      </c>
      <c r="P68" s="67">
        <v>4.9074134659425508E-4</v>
      </c>
      <c r="Q68" s="67">
        <v>5.4349302970189408E-4</v>
      </c>
      <c r="R68" s="67">
        <v>4.624099263997534E-4</v>
      </c>
      <c r="S68" s="67">
        <v>4.815100154083205E-4</v>
      </c>
      <c r="T68" s="67">
        <v>6.6037839682137869E-4</v>
      </c>
      <c r="U68" s="67">
        <v>1.3379119653926773E-3</v>
      </c>
      <c r="V68" s="67">
        <v>3.3405712376816435E-3</v>
      </c>
      <c r="W68" s="68">
        <v>7.7030475181743782E-4</v>
      </c>
    </row>
    <row r="69" spans="1:23" x14ac:dyDescent="0.3">
      <c r="A69" s="44" t="s">
        <v>114</v>
      </c>
      <c r="B69" t="s">
        <v>99</v>
      </c>
      <c r="C69" s="45">
        <v>2010</v>
      </c>
      <c r="D69" s="91">
        <v>937821</v>
      </c>
      <c r="E69" s="2">
        <v>469741</v>
      </c>
      <c r="F69" s="5">
        <v>0.50088556344974144</v>
      </c>
      <c r="G69" s="2">
        <v>468080</v>
      </c>
      <c r="H69" s="78">
        <v>0.4991144365502585</v>
      </c>
      <c r="I69" s="52">
        <v>17219</v>
      </c>
      <c r="J69" s="82">
        <v>1.8360646647921086E-2</v>
      </c>
      <c r="K69" s="59">
        <v>88</v>
      </c>
      <c r="L69" s="60">
        <v>748</v>
      </c>
      <c r="M69" s="66">
        <v>2.0817069997397866E-3</v>
      </c>
      <c r="N69" s="67">
        <v>5.1031690679912225E-4</v>
      </c>
      <c r="O69" s="67">
        <v>4.5025101494082953E-4</v>
      </c>
      <c r="P69" s="67">
        <v>5.3585781905867639E-4</v>
      </c>
      <c r="Q69" s="67">
        <v>5.3069636207643794E-4</v>
      </c>
      <c r="R69" s="67">
        <v>4.0891154561749051E-4</v>
      </c>
      <c r="S69" s="67">
        <v>4.8346158494822931E-4</v>
      </c>
      <c r="T69" s="67">
        <v>8.3471292831207135E-4</v>
      </c>
      <c r="U69" s="67">
        <v>1.3301704835169707E-3</v>
      </c>
      <c r="V69" s="67">
        <v>5.1106336024159356E-3</v>
      </c>
      <c r="W69" s="68">
        <v>7.9759357062808361E-4</v>
      </c>
    </row>
    <row r="70" spans="1:23" x14ac:dyDescent="0.3">
      <c r="A70" s="44" t="s">
        <v>115</v>
      </c>
      <c r="B70" t="s">
        <v>99</v>
      </c>
      <c r="C70" s="45">
        <v>2009</v>
      </c>
      <c r="D70" s="91">
        <v>937916</v>
      </c>
      <c r="E70" s="2">
        <v>468185</v>
      </c>
      <c r="F70" s="5">
        <v>0.49917583237731311</v>
      </c>
      <c r="G70" s="2">
        <v>469732</v>
      </c>
      <c r="H70" s="78">
        <v>0.50082523381624788</v>
      </c>
      <c r="I70" s="52">
        <v>17813</v>
      </c>
      <c r="J70" s="82">
        <v>1.8992105902874031E-2</v>
      </c>
      <c r="K70" s="59">
        <v>77</v>
      </c>
      <c r="L70" s="60">
        <v>737</v>
      </c>
      <c r="M70" s="66">
        <v>2.0516678349775173E-3</v>
      </c>
      <c r="N70" s="67">
        <v>5.1409916972984093E-4</v>
      </c>
      <c r="O70" s="67">
        <v>4.1974479516453995E-4</v>
      </c>
      <c r="P70" s="67">
        <v>5.4057463083257502E-4</v>
      </c>
      <c r="Q70" s="67">
        <v>5.2180719224246641E-4</v>
      </c>
      <c r="R70" s="67">
        <v>4.0987806127677014E-4</v>
      </c>
      <c r="S70" s="67">
        <v>5.1474310029769313E-4</v>
      </c>
      <c r="T70" s="67">
        <v>8.8184717588441928E-4</v>
      </c>
      <c r="U70" s="67">
        <v>1.3049151805132667E-3</v>
      </c>
      <c r="V70" s="67">
        <v>4.3226856789984839E-3</v>
      </c>
      <c r="W70" s="68">
        <v>7.8578465448931462E-4</v>
      </c>
    </row>
    <row r="71" spans="1:23" x14ac:dyDescent="0.3">
      <c r="A71" s="44" t="s">
        <v>119</v>
      </c>
      <c r="B71" t="s">
        <v>104</v>
      </c>
      <c r="C71" s="45">
        <v>2017</v>
      </c>
      <c r="D71" s="91">
        <v>943732</v>
      </c>
      <c r="E71" s="2">
        <v>456876</v>
      </c>
      <c r="F71" s="5">
        <v>0.48411625334311015</v>
      </c>
      <c r="G71" s="2">
        <v>486856</v>
      </c>
      <c r="H71" s="78">
        <v>0.51588374665688985</v>
      </c>
      <c r="I71" s="52">
        <v>18319</v>
      </c>
      <c r="J71" s="82">
        <v>1.9411231154607453E-2</v>
      </c>
      <c r="K71" s="59">
        <v>60</v>
      </c>
      <c r="L71" s="60">
        <v>725</v>
      </c>
      <c r="M71" s="66">
        <v>2.1706884700264102E-3</v>
      </c>
      <c r="N71" s="67">
        <v>5.2620500947169022E-4</v>
      </c>
      <c r="O71" s="67">
        <v>4.8825740930618625E-4</v>
      </c>
      <c r="P71" s="67">
        <v>4.7907634081490884E-4</v>
      </c>
      <c r="Q71" s="67">
        <v>5.4390688314160621E-4</v>
      </c>
      <c r="R71" s="67">
        <v>4.6731883606455232E-4</v>
      </c>
      <c r="S71" s="67">
        <v>4.7233308929457051E-4</v>
      </c>
      <c r="T71" s="67">
        <v>6.2758223942262431E-4</v>
      </c>
      <c r="U71" s="67">
        <v>1.3936236358568642E-3</v>
      </c>
      <c r="V71" s="67">
        <v>3.2752879523991483E-3</v>
      </c>
      <c r="W71" s="68">
        <v>7.6822657279820969E-4</v>
      </c>
    </row>
    <row r="72" spans="1:23" x14ac:dyDescent="0.3">
      <c r="A72" s="44" t="s">
        <v>120</v>
      </c>
      <c r="B72" t="s">
        <v>99</v>
      </c>
      <c r="C72" s="45">
        <v>2016</v>
      </c>
      <c r="D72" s="91">
        <v>946754</v>
      </c>
      <c r="E72" s="2">
        <v>474328</v>
      </c>
      <c r="F72" s="5">
        <v>0.50100448479752924</v>
      </c>
      <c r="G72" s="2">
        <v>472429</v>
      </c>
      <c r="H72" s="78">
        <v>0.49899868392422952</v>
      </c>
      <c r="I72" s="52">
        <v>19330</v>
      </c>
      <c r="J72" s="82">
        <v>2.0417130532324131E-2</v>
      </c>
      <c r="K72" s="59">
        <v>66</v>
      </c>
      <c r="L72" s="60">
        <v>726</v>
      </c>
      <c r="M72" s="66">
        <v>2.0979754536871917E-3</v>
      </c>
      <c r="N72" s="67">
        <v>5.0943732647291062E-4</v>
      </c>
      <c r="O72" s="67">
        <v>4.6999843333855553E-4</v>
      </c>
      <c r="P72" s="67">
        <v>4.9425022241260006E-4</v>
      </c>
      <c r="Q72" s="67">
        <v>5.5339322277766503E-4</v>
      </c>
      <c r="R72" s="67">
        <v>4.9259466027388261E-4</v>
      </c>
      <c r="S72" s="67">
        <v>4.3861572876003333E-4</v>
      </c>
      <c r="T72" s="67">
        <v>6.6330591668877685E-4</v>
      </c>
      <c r="U72" s="67">
        <v>1.2996014555536302E-3</v>
      </c>
      <c r="V72" s="67">
        <v>3.4143817899637868E-3</v>
      </c>
      <c r="W72" s="68">
        <v>7.6683066562169267E-4</v>
      </c>
    </row>
    <row r="73" spans="1:23" x14ac:dyDescent="0.3">
      <c r="A73" s="44" t="s">
        <v>112</v>
      </c>
      <c r="B73" t="s">
        <v>99</v>
      </c>
      <c r="C73" s="45">
        <v>2015</v>
      </c>
      <c r="D73" s="91">
        <v>949246</v>
      </c>
      <c r="E73" s="2">
        <v>477002</v>
      </c>
      <c r="F73" s="5">
        <v>0.50250619965741228</v>
      </c>
      <c r="G73" s="2">
        <v>472247</v>
      </c>
      <c r="H73" s="78">
        <v>0.49749696074568656</v>
      </c>
      <c r="I73" s="52">
        <v>19836</v>
      </c>
      <c r="J73" s="82">
        <v>2.0896585289798431E-2</v>
      </c>
      <c r="K73" s="59">
        <v>98</v>
      </c>
      <c r="L73" s="60">
        <v>758</v>
      </c>
      <c r="M73" s="66">
        <v>2.1425128104411791E-3</v>
      </c>
      <c r="N73" s="67">
        <v>5.1490654446218007E-4</v>
      </c>
      <c r="O73" s="67">
        <v>4.6358895112999808E-4</v>
      </c>
      <c r="P73" s="67">
        <v>4.9761559195521464E-4</v>
      </c>
      <c r="Q73" s="67">
        <v>5.5519056916286517E-4</v>
      </c>
      <c r="R73" s="67">
        <v>4.7273500839104638E-4</v>
      </c>
      <c r="S73" s="67">
        <v>4.340905802344089E-4</v>
      </c>
      <c r="T73" s="67">
        <v>6.7757563438018773E-4</v>
      </c>
      <c r="U73" s="67">
        <v>1.3103011508811776E-3</v>
      </c>
      <c r="V73" s="67">
        <v>4.9405122000403309E-3</v>
      </c>
      <c r="W73" s="68">
        <v>7.9852851631716118E-4</v>
      </c>
    </row>
    <row r="74" spans="1:23" x14ac:dyDescent="0.3">
      <c r="A74" s="44" t="s">
        <v>126</v>
      </c>
      <c r="B74" t="s">
        <v>118</v>
      </c>
      <c r="C74" s="45">
        <v>2013</v>
      </c>
      <c r="D74" s="91">
        <v>1051695</v>
      </c>
      <c r="E74" s="2">
        <v>508455</v>
      </c>
      <c r="F74" s="5">
        <v>0.48346241067990242</v>
      </c>
      <c r="G74" s="2">
        <v>543240</v>
      </c>
      <c r="H74" s="78">
        <v>0.51653758932009752</v>
      </c>
      <c r="I74" s="52">
        <v>27204</v>
      </c>
      <c r="J74" s="82">
        <v>2.5866814998645044E-2</v>
      </c>
      <c r="K74" s="59">
        <v>101</v>
      </c>
      <c r="L74" s="60">
        <v>766</v>
      </c>
      <c r="M74" s="66">
        <v>2.1321582772161119E-3</v>
      </c>
      <c r="N74" s="67">
        <v>4.8694184291256148E-4</v>
      </c>
      <c r="O74" s="67">
        <v>3.7332005973120957E-4</v>
      </c>
      <c r="P74" s="67">
        <v>4.6210009087968454E-4</v>
      </c>
      <c r="Q74" s="67">
        <v>4.4872897517780886E-4</v>
      </c>
      <c r="R74" s="67">
        <v>3.7609773526480416E-4</v>
      </c>
      <c r="S74" s="67">
        <v>4.4741061108832629E-4</v>
      </c>
      <c r="T74" s="67">
        <v>7.6269893730614732E-4</v>
      </c>
      <c r="U74" s="67">
        <v>1.2989089165101316E-3</v>
      </c>
      <c r="V74" s="67">
        <v>3.7126893103955299E-3</v>
      </c>
      <c r="W74" s="68">
        <v>7.2834804767541925E-4</v>
      </c>
    </row>
    <row r="75" spans="1:23" x14ac:dyDescent="0.3">
      <c r="A75" s="44" t="s">
        <v>130</v>
      </c>
      <c r="B75" t="s">
        <v>118</v>
      </c>
      <c r="C75" s="45">
        <v>2012</v>
      </c>
      <c r="D75" s="91">
        <v>1052471</v>
      </c>
      <c r="E75" s="2">
        <v>508521</v>
      </c>
      <c r="F75" s="5">
        <v>0.48316865737868314</v>
      </c>
      <c r="G75" s="2">
        <v>543950</v>
      </c>
      <c r="H75" s="78">
        <v>0.51683134262131691</v>
      </c>
      <c r="I75" s="52">
        <v>26119</v>
      </c>
      <c r="J75" s="82">
        <v>2.4816835808302556E-2</v>
      </c>
      <c r="K75" s="59">
        <v>76</v>
      </c>
      <c r="L75" s="60">
        <v>736</v>
      </c>
      <c r="M75" s="66">
        <v>2.1192427239333147E-3</v>
      </c>
      <c r="N75" s="67">
        <v>4.8088482808367395E-4</v>
      </c>
      <c r="O75" s="67">
        <v>3.7171727184303618E-4</v>
      </c>
      <c r="P75" s="67">
        <v>4.6825979053178706E-4</v>
      </c>
      <c r="Q75" s="67">
        <v>4.3758250253433202E-4</v>
      </c>
      <c r="R75" s="67">
        <v>3.7468854015099948E-4</v>
      </c>
      <c r="S75" s="67">
        <v>4.5889803285709916E-4</v>
      </c>
      <c r="T75" s="67">
        <v>7.9926467649762219E-4</v>
      </c>
      <c r="U75" s="67">
        <v>1.1659767970617384E-3</v>
      </c>
      <c r="V75" s="67">
        <v>2.9097591791416209E-3</v>
      </c>
      <c r="W75" s="68">
        <v>6.9930667923391717E-4</v>
      </c>
    </row>
    <row r="76" spans="1:23" x14ac:dyDescent="0.3">
      <c r="A76" s="44" t="s">
        <v>129</v>
      </c>
      <c r="B76" t="s">
        <v>118</v>
      </c>
      <c r="C76" s="45">
        <v>2014</v>
      </c>
      <c r="D76" s="91">
        <v>1053252</v>
      </c>
      <c r="E76" s="2">
        <v>509826</v>
      </c>
      <c r="F76" s="5">
        <v>0.48404940128288387</v>
      </c>
      <c r="G76" s="2">
        <v>543426</v>
      </c>
      <c r="H76" s="78">
        <v>0.51595059871711613</v>
      </c>
      <c r="I76" s="52">
        <v>27808</v>
      </c>
      <c r="J76" s="82">
        <v>2.6402038638426512E-2</v>
      </c>
      <c r="K76" s="59">
        <v>96</v>
      </c>
      <c r="L76" s="60">
        <v>756</v>
      </c>
      <c r="M76" s="66">
        <v>2.1684918139434025E-3</v>
      </c>
      <c r="N76" s="67">
        <v>4.9240061714210677E-4</v>
      </c>
      <c r="O76" s="67">
        <v>3.7692940740414999E-4</v>
      </c>
      <c r="P76" s="67">
        <v>4.5406043544395758E-4</v>
      </c>
      <c r="Q76" s="67">
        <v>4.6035570150536315E-4</v>
      </c>
      <c r="R76" s="67">
        <v>3.8230440350955441E-4</v>
      </c>
      <c r="S76" s="67">
        <v>4.3737835414525336E-4</v>
      </c>
      <c r="T76" s="67">
        <v>7.3405270498421782E-4</v>
      </c>
      <c r="U76" s="67">
        <v>1.2155837841123199E-3</v>
      </c>
      <c r="V76" s="67">
        <v>3.4522439585730723E-3</v>
      </c>
      <c r="W76" s="68">
        <v>7.1777694227022598E-4</v>
      </c>
    </row>
    <row r="77" spans="1:23" x14ac:dyDescent="0.3">
      <c r="A77" s="44" t="s">
        <v>117</v>
      </c>
      <c r="B77" t="s">
        <v>118</v>
      </c>
      <c r="C77" s="45">
        <v>2015</v>
      </c>
      <c r="D77" s="91">
        <v>1053712</v>
      </c>
      <c r="E77" s="2">
        <v>510067</v>
      </c>
      <c r="F77" s="5">
        <v>0.4840668038325463</v>
      </c>
      <c r="G77" s="2">
        <v>543646</v>
      </c>
      <c r="H77" s="78">
        <v>0.51593414519337355</v>
      </c>
      <c r="I77" s="52">
        <v>28299</v>
      </c>
      <c r="J77" s="82">
        <v>2.6856484504304782E-2</v>
      </c>
      <c r="K77" s="59">
        <v>150</v>
      </c>
      <c r="L77" s="60">
        <v>810</v>
      </c>
      <c r="M77" s="66">
        <v>2.1486123545210387E-3</v>
      </c>
      <c r="N77" s="67">
        <v>4.9483311753111263E-4</v>
      </c>
      <c r="O77" s="67">
        <v>3.823433825919058E-4</v>
      </c>
      <c r="P77" s="67">
        <v>4.4264109184802655E-4</v>
      </c>
      <c r="Q77" s="67">
        <v>4.669333374838519E-4</v>
      </c>
      <c r="R77" s="67">
        <v>3.8907225720270018E-4</v>
      </c>
      <c r="S77" s="67">
        <v>4.2956864148917132E-4</v>
      </c>
      <c r="T77" s="67">
        <v>7.0203355720403434E-4</v>
      </c>
      <c r="U77" s="67">
        <v>1.2385946079848066E-3</v>
      </c>
      <c r="V77" s="67">
        <v>5.3005406551468251E-3</v>
      </c>
      <c r="W77" s="68">
        <v>7.6871099503469638E-4</v>
      </c>
    </row>
    <row r="78" spans="1:23" x14ac:dyDescent="0.3">
      <c r="A78" s="44" t="s">
        <v>123</v>
      </c>
      <c r="B78" t="s">
        <v>118</v>
      </c>
      <c r="C78" s="45">
        <v>2011</v>
      </c>
      <c r="D78" s="91">
        <v>1053959</v>
      </c>
      <c r="E78" s="2">
        <v>508799</v>
      </c>
      <c r="F78" s="5">
        <v>0.48275027776222795</v>
      </c>
      <c r="G78" s="2">
        <v>545160</v>
      </c>
      <c r="H78" s="78">
        <v>0.5172497222377721</v>
      </c>
      <c r="I78" s="52">
        <v>25089</v>
      </c>
      <c r="J78" s="82">
        <v>2.3804531295809419E-2</v>
      </c>
      <c r="K78" s="59">
        <v>126</v>
      </c>
      <c r="L78" s="60">
        <v>786</v>
      </c>
      <c r="M78" s="66">
        <v>2.0687871735195242E-3</v>
      </c>
      <c r="N78" s="67">
        <v>4.7511580947856037E-4</v>
      </c>
      <c r="O78" s="67">
        <v>3.7161367042822283E-4</v>
      </c>
      <c r="P78" s="67">
        <v>4.7101307061270953E-4</v>
      </c>
      <c r="Q78" s="67">
        <v>4.221071589374156E-4</v>
      </c>
      <c r="R78" s="67">
        <v>3.7343158733320054E-4</v>
      </c>
      <c r="S78" s="67">
        <v>4.7015679729189684E-4</v>
      </c>
      <c r="T78" s="67">
        <v>8.306107757904646E-4</v>
      </c>
      <c r="U78" s="67">
        <v>1.1175889880231714E-3</v>
      </c>
      <c r="V78" s="67">
        <v>5.0221212483558533E-3</v>
      </c>
      <c r="W78" s="68">
        <v>7.4575955990697931E-4</v>
      </c>
    </row>
    <row r="79" spans="1:23" x14ac:dyDescent="0.3">
      <c r="A79" s="44" t="s">
        <v>132</v>
      </c>
      <c r="B79" t="s">
        <v>118</v>
      </c>
      <c r="C79" s="45">
        <v>2016</v>
      </c>
      <c r="D79" s="91">
        <v>1054491</v>
      </c>
      <c r="E79" s="2">
        <v>511297</v>
      </c>
      <c r="F79" s="5">
        <v>0.48487564142320799</v>
      </c>
      <c r="G79" s="2">
        <v>543194</v>
      </c>
      <c r="H79" s="78">
        <v>0.51512435857679206</v>
      </c>
      <c r="I79" s="52">
        <v>28941</v>
      </c>
      <c r="J79" s="82">
        <v>2.7445468951370851E-2</v>
      </c>
      <c r="K79" s="59">
        <v>71</v>
      </c>
      <c r="L79" s="60">
        <v>731</v>
      </c>
      <c r="M79" s="66">
        <v>2.1794801939737374E-3</v>
      </c>
      <c r="N79" s="67">
        <v>5.0563360103823428E-4</v>
      </c>
      <c r="O79" s="67">
        <v>3.8390417751729168E-4</v>
      </c>
      <c r="P79" s="67">
        <v>4.3453700082562031E-4</v>
      </c>
      <c r="Q79" s="67">
        <v>4.7668607838308082E-4</v>
      </c>
      <c r="R79" s="67">
        <v>3.9315388042879983E-4</v>
      </c>
      <c r="S79" s="67">
        <v>4.217985490129914E-4</v>
      </c>
      <c r="T79" s="67">
        <v>6.7497637582684608E-4</v>
      </c>
      <c r="U79" s="67">
        <v>1.2562814070351759E-3</v>
      </c>
      <c r="V79" s="67">
        <v>2.453266991465395E-3</v>
      </c>
      <c r="W79" s="68">
        <v>6.9322545190049034E-4</v>
      </c>
    </row>
    <row r="80" spans="1:23" x14ac:dyDescent="0.3">
      <c r="A80" s="44" t="s">
        <v>127</v>
      </c>
      <c r="B80" t="s">
        <v>118</v>
      </c>
      <c r="C80" s="45">
        <v>2017</v>
      </c>
      <c r="D80" s="91">
        <v>1056138</v>
      </c>
      <c r="E80" s="2">
        <v>512581</v>
      </c>
      <c r="F80" s="5">
        <v>0.48533524974955922</v>
      </c>
      <c r="G80" s="2">
        <v>543557</v>
      </c>
      <c r="H80" s="78">
        <v>0.51466475025044078</v>
      </c>
      <c r="I80" s="52">
        <v>27652</v>
      </c>
      <c r="J80" s="82">
        <v>2.6182184525128344E-2</v>
      </c>
      <c r="K80" s="59">
        <v>109</v>
      </c>
      <c r="L80" s="60">
        <v>769</v>
      </c>
      <c r="M80" s="66">
        <v>2.1989701489802276E-3</v>
      </c>
      <c r="N80" s="67">
        <v>5.0936380460804456E-4</v>
      </c>
      <c r="O80" s="67">
        <v>3.883193538365952E-4</v>
      </c>
      <c r="P80" s="67">
        <v>4.2690345578347456E-4</v>
      </c>
      <c r="Q80" s="67">
        <v>4.8188513464673803E-4</v>
      </c>
      <c r="R80" s="67">
        <v>4.0154192097654996E-4</v>
      </c>
      <c r="S80" s="67">
        <v>4.1483734918933867E-4</v>
      </c>
      <c r="T80" s="67">
        <v>6.4281811461446979E-4</v>
      </c>
      <c r="U80" s="67">
        <v>1.2206782902366082E-3</v>
      </c>
      <c r="V80" s="67">
        <v>3.9418486908722695E-3</v>
      </c>
      <c r="W80" s="68">
        <v>7.2812454433038103E-4</v>
      </c>
    </row>
    <row r="81" spans="1:23" x14ac:dyDescent="0.3">
      <c r="A81" s="44" t="s">
        <v>124</v>
      </c>
      <c r="B81" t="s">
        <v>118</v>
      </c>
      <c r="C81" s="45">
        <v>2010</v>
      </c>
      <c r="D81" s="91">
        <v>1056389</v>
      </c>
      <c r="E81" s="2">
        <v>509859</v>
      </c>
      <c r="F81" s="5">
        <v>0.48264323085530048</v>
      </c>
      <c r="G81" s="2">
        <v>546530</v>
      </c>
      <c r="H81" s="78">
        <v>0.51735676914469952</v>
      </c>
      <c r="I81" s="52">
        <v>24563</v>
      </c>
      <c r="J81" s="82">
        <v>2.325185135399933E-2</v>
      </c>
      <c r="K81" s="59">
        <v>110</v>
      </c>
      <c r="L81" s="60">
        <v>775</v>
      </c>
      <c r="M81" s="66">
        <v>2.024086630907803E-3</v>
      </c>
      <c r="N81" s="67">
        <v>4.7044433467409967E-4</v>
      </c>
      <c r="O81" s="67">
        <v>3.7336187477442722E-4</v>
      </c>
      <c r="P81" s="67">
        <v>4.6950561059204659E-4</v>
      </c>
      <c r="Q81" s="67">
        <v>4.0838273630046081E-4</v>
      </c>
      <c r="R81" s="67">
        <v>3.7306240712300492E-4</v>
      </c>
      <c r="S81" s="67">
        <v>4.8873068495605492E-4</v>
      </c>
      <c r="T81" s="67">
        <v>8.4935307607372388E-4</v>
      </c>
      <c r="U81" s="67">
        <v>1.1888866533755235E-3</v>
      </c>
      <c r="V81" s="67">
        <v>4.4782803403493054E-3</v>
      </c>
      <c r="W81" s="68">
        <v>7.3363126651261991E-4</v>
      </c>
    </row>
    <row r="82" spans="1:23" x14ac:dyDescent="0.3">
      <c r="A82" s="44" t="s">
        <v>128</v>
      </c>
      <c r="B82" t="s">
        <v>118</v>
      </c>
      <c r="C82" s="45">
        <v>2009</v>
      </c>
      <c r="D82" s="91">
        <v>1057381</v>
      </c>
      <c r="E82" s="2">
        <v>512141</v>
      </c>
      <c r="F82" s="5">
        <v>0.48434859336417052</v>
      </c>
      <c r="G82" s="2">
        <v>545240</v>
      </c>
      <c r="H82" s="78">
        <v>0.51565140663582942</v>
      </c>
      <c r="I82" s="52">
        <v>23556</v>
      </c>
      <c r="J82" s="82">
        <v>2.2277684202761352E-2</v>
      </c>
      <c r="K82" s="59">
        <v>98</v>
      </c>
      <c r="L82" s="60">
        <v>765</v>
      </c>
      <c r="M82" s="66">
        <v>1.9641863358103905E-3</v>
      </c>
      <c r="N82" s="67">
        <v>4.6431722152574638E-4</v>
      </c>
      <c r="O82" s="67">
        <v>3.9325695409380491E-4</v>
      </c>
      <c r="P82" s="67">
        <v>4.5249892531505235E-4</v>
      </c>
      <c r="Q82" s="67">
        <v>3.9057922899660196E-4</v>
      </c>
      <c r="R82" s="67">
        <v>3.7338046224501227E-4</v>
      </c>
      <c r="S82" s="67">
        <v>5.0763139192527666E-4</v>
      </c>
      <c r="T82" s="67">
        <v>8.5363077623491919E-4</v>
      </c>
      <c r="U82" s="67">
        <v>1.2060771889400921E-3</v>
      </c>
      <c r="V82" s="67">
        <v>4.1602988622856177E-3</v>
      </c>
      <c r="W82" s="68">
        <v>7.2348566883649319E-4</v>
      </c>
    </row>
    <row r="83" spans="1:23" x14ac:dyDescent="0.3">
      <c r="A83" s="44" t="s">
        <v>140</v>
      </c>
      <c r="B83" t="s">
        <v>137</v>
      </c>
      <c r="C83" s="45">
        <v>2017</v>
      </c>
      <c r="D83" s="91">
        <v>1242505</v>
      </c>
      <c r="E83" s="2">
        <v>608408</v>
      </c>
      <c r="F83" s="5">
        <v>0.48966241584540909</v>
      </c>
      <c r="G83" s="2">
        <v>634097</v>
      </c>
      <c r="H83" s="78">
        <v>0.51033758415459096</v>
      </c>
      <c r="I83" s="52">
        <v>29189</v>
      </c>
      <c r="J83" s="82">
        <v>2.3492058382058825E-2</v>
      </c>
      <c r="K83" s="59">
        <v>143</v>
      </c>
      <c r="L83" s="60">
        <v>810</v>
      </c>
      <c r="M83" s="66">
        <v>1.9569471624266144E-3</v>
      </c>
      <c r="N83" s="67">
        <v>4.3819289251128347E-4</v>
      </c>
      <c r="O83" s="67">
        <v>3.9629857134365029E-4</v>
      </c>
      <c r="P83" s="67">
        <v>4.1243633014153441E-4</v>
      </c>
      <c r="Q83" s="67">
        <v>4.1472838746690812E-4</v>
      </c>
      <c r="R83" s="67">
        <v>3.3027280533720854E-4</v>
      </c>
      <c r="S83" s="67">
        <v>3.1401282219023941E-4</v>
      </c>
      <c r="T83" s="67">
        <v>4.4870548467670771E-4</v>
      </c>
      <c r="U83" s="67">
        <v>9.99000999000999E-4</v>
      </c>
      <c r="V83" s="67">
        <v>4.8991058275377709E-3</v>
      </c>
      <c r="W83" s="68">
        <v>6.5190884543724168E-4</v>
      </c>
    </row>
    <row r="84" spans="1:23" x14ac:dyDescent="0.3">
      <c r="A84" s="44" t="s">
        <v>138</v>
      </c>
      <c r="B84" t="s">
        <v>139</v>
      </c>
      <c r="C84" s="45">
        <v>2015</v>
      </c>
      <c r="D84" s="91">
        <v>1244818</v>
      </c>
      <c r="E84" s="2">
        <v>613546</v>
      </c>
      <c r="F84" s="5">
        <v>0.49288008367488262</v>
      </c>
      <c r="G84" s="2">
        <v>631272</v>
      </c>
      <c r="H84" s="78">
        <v>0.50711991632511744</v>
      </c>
      <c r="I84" s="52">
        <v>23995</v>
      </c>
      <c r="J84" s="82">
        <v>1.9275910213380591E-2</v>
      </c>
      <c r="K84" s="59">
        <v>155</v>
      </c>
      <c r="L84" s="60">
        <v>815</v>
      </c>
      <c r="M84" s="66">
        <v>1.9172391755871545E-3</v>
      </c>
      <c r="N84" s="67">
        <v>4.0909276860349363E-4</v>
      </c>
      <c r="O84" s="67">
        <v>3.503690554050266E-4</v>
      </c>
      <c r="P84" s="67">
        <v>4.1626196753156655E-4</v>
      </c>
      <c r="Q84" s="67">
        <v>3.8922116844194765E-4</v>
      </c>
      <c r="R84" s="67">
        <v>2.9727105174498107E-4</v>
      </c>
      <c r="S84" s="67">
        <v>3.3315935011716104E-4</v>
      </c>
      <c r="T84" s="67">
        <v>5.673115107505531E-4</v>
      </c>
      <c r="U84" s="67">
        <v>1.1017462678345176E-3</v>
      </c>
      <c r="V84" s="67">
        <v>6.4596790998124607E-3</v>
      </c>
      <c r="W84" s="68">
        <v>6.5471418311753202E-4</v>
      </c>
    </row>
    <row r="85" spans="1:23" x14ac:dyDescent="0.3">
      <c r="A85" s="44" t="s">
        <v>142</v>
      </c>
      <c r="B85" t="s">
        <v>139</v>
      </c>
      <c r="C85" s="45">
        <v>2011</v>
      </c>
      <c r="D85" s="91">
        <v>1255682</v>
      </c>
      <c r="E85" s="2">
        <v>620407</v>
      </c>
      <c r="F85" s="5">
        <v>0.4940797112644762</v>
      </c>
      <c r="G85" s="2">
        <v>635275</v>
      </c>
      <c r="H85" s="78">
        <v>0.50592028873552375</v>
      </c>
      <c r="I85" s="52">
        <v>21962</v>
      </c>
      <c r="J85" s="82">
        <v>1.7490097015008577E-2</v>
      </c>
      <c r="K85" s="59">
        <v>123</v>
      </c>
      <c r="L85" s="60">
        <v>788</v>
      </c>
      <c r="M85" s="66">
        <v>1.7496026943881493E-3</v>
      </c>
      <c r="N85" s="67">
        <v>3.8003787710841845E-4</v>
      </c>
      <c r="O85" s="67">
        <v>3.5054304960768388E-4</v>
      </c>
      <c r="P85" s="67">
        <v>4.3335692721048144E-4</v>
      </c>
      <c r="Q85" s="67">
        <v>3.3643036171871057E-4</v>
      </c>
      <c r="R85" s="67">
        <v>2.8161742273121961E-4</v>
      </c>
      <c r="S85" s="67">
        <v>3.6715212336311344E-4</v>
      </c>
      <c r="T85" s="67">
        <v>6.7357454786308479E-4</v>
      </c>
      <c r="U85" s="67">
        <v>1.198333394786328E-3</v>
      </c>
      <c r="V85" s="67">
        <v>5.6005828248793374E-3</v>
      </c>
      <c r="W85" s="68">
        <v>6.2754742044562233E-4</v>
      </c>
    </row>
    <row r="86" spans="1:23" x14ac:dyDescent="0.3">
      <c r="A86" s="44" t="s">
        <v>147</v>
      </c>
      <c r="B86" t="s">
        <v>137</v>
      </c>
      <c r="C86" s="45">
        <v>2016</v>
      </c>
      <c r="D86" s="91">
        <v>1263167</v>
      </c>
      <c r="E86" s="2">
        <v>618738</v>
      </c>
      <c r="F86" s="5">
        <v>0.48983071913689957</v>
      </c>
      <c r="G86" s="2">
        <v>644430</v>
      </c>
      <c r="H86" s="78">
        <v>0.51017007252406055</v>
      </c>
      <c r="I86" s="52">
        <v>29264</v>
      </c>
      <c r="J86" s="82">
        <v>2.3167166336675989E-2</v>
      </c>
      <c r="K86" s="59">
        <v>105</v>
      </c>
      <c r="L86" s="60">
        <v>770</v>
      </c>
      <c r="M86" s="66">
        <v>1.9135093761959434E-3</v>
      </c>
      <c r="N86" s="67">
        <v>4.2845207406508188E-4</v>
      </c>
      <c r="O86" s="67">
        <v>3.8597868111084663E-4</v>
      </c>
      <c r="P86" s="67">
        <v>4.0961503014083932E-4</v>
      </c>
      <c r="Q86" s="67">
        <v>4.0493753838470418E-4</v>
      </c>
      <c r="R86" s="67">
        <v>3.155536388593788E-4</v>
      </c>
      <c r="S86" s="67">
        <v>3.1000062000124002E-4</v>
      </c>
      <c r="T86" s="67">
        <v>4.6150296131066841E-4</v>
      </c>
      <c r="U86" s="67">
        <v>9.7203529235830716E-4</v>
      </c>
      <c r="V86" s="67">
        <v>3.5880262438490978E-3</v>
      </c>
      <c r="W86" s="68">
        <v>6.0957893928514602E-4</v>
      </c>
    </row>
    <row r="87" spans="1:23" x14ac:dyDescent="0.3">
      <c r="A87" s="44" t="s">
        <v>153</v>
      </c>
      <c r="B87" t="s">
        <v>139</v>
      </c>
      <c r="C87" s="45">
        <v>2014</v>
      </c>
      <c r="D87" s="91">
        <v>1277778</v>
      </c>
      <c r="E87" s="2">
        <v>630603</v>
      </c>
      <c r="F87" s="5">
        <v>0.49351530547559908</v>
      </c>
      <c r="G87" s="2">
        <v>647175</v>
      </c>
      <c r="H87" s="78">
        <v>0.50648469452440092</v>
      </c>
      <c r="I87" s="52">
        <v>24373</v>
      </c>
      <c r="J87" s="82">
        <v>1.9074518421822884E-2</v>
      </c>
      <c r="K87" s="59">
        <v>94</v>
      </c>
      <c r="L87" s="60">
        <v>754</v>
      </c>
      <c r="M87" s="66">
        <v>1.8568665377176016E-3</v>
      </c>
      <c r="N87" s="67">
        <v>3.964478274659055E-4</v>
      </c>
      <c r="O87" s="67">
        <v>3.4357767432272252E-4</v>
      </c>
      <c r="P87" s="67">
        <v>4.1474845506200489E-4</v>
      </c>
      <c r="Q87" s="67">
        <v>3.6969032273965173E-4</v>
      </c>
      <c r="R87" s="67">
        <v>2.8367318957406469E-4</v>
      </c>
      <c r="S87" s="67">
        <v>3.2822936668143698E-4</v>
      </c>
      <c r="T87" s="67">
        <v>5.6852099263765316E-4</v>
      </c>
      <c r="U87" s="67">
        <v>1.064924922792943E-3</v>
      </c>
      <c r="V87" s="67">
        <v>3.856726705780987E-3</v>
      </c>
      <c r="W87" s="68">
        <v>5.9008685389793844E-4</v>
      </c>
    </row>
    <row r="88" spans="1:23" x14ac:dyDescent="0.3">
      <c r="A88" s="44" t="s">
        <v>146</v>
      </c>
      <c r="B88" t="s">
        <v>122</v>
      </c>
      <c r="C88" s="45">
        <v>2009</v>
      </c>
      <c r="D88" s="91">
        <v>1280241</v>
      </c>
      <c r="E88" s="2">
        <v>647624</v>
      </c>
      <c r="F88" s="5">
        <v>0.50586100585749094</v>
      </c>
      <c r="G88" s="2">
        <v>632617</v>
      </c>
      <c r="H88" s="78">
        <v>0.49413899414250911</v>
      </c>
      <c r="I88" s="52">
        <v>25895</v>
      </c>
      <c r="J88" s="82">
        <v>2.022666044908732E-2</v>
      </c>
      <c r="K88" s="59">
        <v>125</v>
      </c>
      <c r="L88" s="60">
        <v>785</v>
      </c>
      <c r="M88" s="66">
        <v>1.3843544870389812E-3</v>
      </c>
      <c r="N88" s="67">
        <v>3.8948140550856532E-4</v>
      </c>
      <c r="O88" s="67">
        <v>3.4337318369893037E-4</v>
      </c>
      <c r="P88" s="67">
        <v>3.2694875078331472E-4</v>
      </c>
      <c r="Q88" s="67">
        <v>3.4148146040237901E-4</v>
      </c>
      <c r="R88" s="67">
        <v>3.3322040863929445E-4</v>
      </c>
      <c r="S88" s="67">
        <v>4.0810774044347709E-4</v>
      </c>
      <c r="T88" s="67">
        <v>6.9036934760096649E-4</v>
      </c>
      <c r="U88" s="67">
        <v>8.8429057788389268E-4</v>
      </c>
      <c r="V88" s="67">
        <v>4.8271867155821584E-3</v>
      </c>
      <c r="W88" s="68">
        <v>6.1316580237627137E-4</v>
      </c>
    </row>
    <row r="89" spans="1:23" x14ac:dyDescent="0.3">
      <c r="A89" s="44" t="s">
        <v>136</v>
      </c>
      <c r="B89" t="s">
        <v>137</v>
      </c>
      <c r="C89" s="45">
        <v>2015</v>
      </c>
      <c r="D89" s="91">
        <v>1293779</v>
      </c>
      <c r="E89" s="2">
        <v>633099</v>
      </c>
      <c r="F89" s="5">
        <v>0.48934091525677881</v>
      </c>
      <c r="G89" s="2">
        <v>660680</v>
      </c>
      <c r="H89" s="78">
        <v>0.51065908474322119</v>
      </c>
      <c r="I89" s="52">
        <v>29529</v>
      </c>
      <c r="J89" s="82">
        <v>2.2823836219323393E-2</v>
      </c>
      <c r="K89" s="59">
        <v>163</v>
      </c>
      <c r="L89" s="60">
        <v>850</v>
      </c>
      <c r="M89" s="66">
        <v>1.8554883800040202E-3</v>
      </c>
      <c r="N89" s="67">
        <v>4.1203414389605754E-4</v>
      </c>
      <c r="O89" s="67">
        <v>3.7500000000000001E-4</v>
      </c>
      <c r="P89" s="67">
        <v>4.0725179699855425E-4</v>
      </c>
      <c r="Q89" s="67">
        <v>3.8917067728670203E-4</v>
      </c>
      <c r="R89" s="67">
        <v>3.0175470360144241E-4</v>
      </c>
      <c r="S89" s="67">
        <v>3.0484087306426044E-4</v>
      </c>
      <c r="T89" s="67">
        <v>4.6889286579504693E-4</v>
      </c>
      <c r="U89" s="67">
        <v>1.2541082857637088E-3</v>
      </c>
      <c r="V89" s="67">
        <v>5.5199972907988759E-3</v>
      </c>
      <c r="W89" s="68">
        <v>6.5699010418317195E-4</v>
      </c>
    </row>
    <row r="90" spans="1:23" x14ac:dyDescent="0.3">
      <c r="A90" s="44" t="s">
        <v>158</v>
      </c>
      <c r="B90" t="s">
        <v>137</v>
      </c>
      <c r="C90" s="45">
        <v>2012</v>
      </c>
      <c r="D90" s="91">
        <v>1311652</v>
      </c>
      <c r="E90" s="2">
        <v>641608</v>
      </c>
      <c r="F90" s="5">
        <v>0.48916023457441454</v>
      </c>
      <c r="G90" s="2">
        <v>670044</v>
      </c>
      <c r="H90" s="78">
        <v>0.5108397654255854</v>
      </c>
      <c r="I90" s="52">
        <v>28283</v>
      </c>
      <c r="J90" s="82">
        <v>2.1562884057661637E-2</v>
      </c>
      <c r="K90" s="59">
        <v>83</v>
      </c>
      <c r="L90" s="60">
        <v>751</v>
      </c>
      <c r="M90" s="66">
        <v>1.7645501867482281E-3</v>
      </c>
      <c r="N90" s="67">
        <v>3.9534286109628577E-4</v>
      </c>
      <c r="O90" s="67">
        <v>3.6010082823190496E-4</v>
      </c>
      <c r="P90" s="67">
        <v>4.1766151318766229E-4</v>
      </c>
      <c r="Q90" s="67">
        <v>3.5447375417245149E-4</v>
      </c>
      <c r="R90" s="67">
        <v>2.8041052100274803E-4</v>
      </c>
      <c r="S90" s="67">
        <v>3.1713479285812448E-4</v>
      </c>
      <c r="T90" s="67">
        <v>5.3437358057017656E-4</v>
      </c>
      <c r="U90" s="67">
        <v>9.8257376528046707E-4</v>
      </c>
      <c r="V90" s="67">
        <v>2.9346250397765442E-3</v>
      </c>
      <c r="W90" s="68">
        <v>5.7256040474150155E-4</v>
      </c>
    </row>
    <row r="91" spans="1:23" x14ac:dyDescent="0.3">
      <c r="A91" s="44" t="s">
        <v>157</v>
      </c>
      <c r="B91" t="s">
        <v>139</v>
      </c>
      <c r="C91" s="45">
        <v>2010</v>
      </c>
      <c r="D91" s="91">
        <v>1313939</v>
      </c>
      <c r="E91" s="2">
        <v>648504</v>
      </c>
      <c r="F91" s="5">
        <v>0.49355715904619618</v>
      </c>
      <c r="G91" s="2">
        <v>665435</v>
      </c>
      <c r="H91" s="78">
        <v>0.50644284095380376</v>
      </c>
      <c r="I91" s="52">
        <v>23057</v>
      </c>
      <c r="J91" s="82">
        <v>1.7547998803597427E-2</v>
      </c>
      <c r="K91" s="59">
        <v>98</v>
      </c>
      <c r="L91" s="60">
        <v>758</v>
      </c>
      <c r="M91" s="66">
        <v>1.6596133100987469E-3</v>
      </c>
      <c r="N91" s="67">
        <v>3.609261364661722E-4</v>
      </c>
      <c r="O91" s="67">
        <v>3.3390653955957727E-4</v>
      </c>
      <c r="P91" s="67">
        <v>4.1597337770382697E-4</v>
      </c>
      <c r="Q91" s="67">
        <v>3.1224629988134639E-4</v>
      </c>
      <c r="R91" s="67">
        <v>2.7065186501689319E-4</v>
      </c>
      <c r="S91" s="67">
        <v>3.5965185700242167E-4</v>
      </c>
      <c r="T91" s="67">
        <v>6.6303470986706157E-4</v>
      </c>
      <c r="U91" s="67">
        <v>1.0564868291308635E-3</v>
      </c>
      <c r="V91" s="67">
        <v>4.2503361235199724E-3</v>
      </c>
      <c r="W91" s="68">
        <v>5.7689131687239665E-4</v>
      </c>
    </row>
    <row r="92" spans="1:23" x14ac:dyDescent="0.3">
      <c r="A92" s="44" t="s">
        <v>159</v>
      </c>
      <c r="B92" t="s">
        <v>139</v>
      </c>
      <c r="C92" s="45">
        <v>2009</v>
      </c>
      <c r="D92" s="91">
        <v>1315419</v>
      </c>
      <c r="E92" s="2">
        <v>648885</v>
      </c>
      <c r="F92" s="5">
        <v>0.49329149115224885</v>
      </c>
      <c r="G92" s="2">
        <v>666534</v>
      </c>
      <c r="H92" s="78">
        <v>0.5067085088477512</v>
      </c>
      <c r="I92" s="52">
        <v>23772</v>
      </c>
      <c r="J92" s="82">
        <v>1.8071808298344483E-2</v>
      </c>
      <c r="K92" s="59">
        <v>89</v>
      </c>
      <c r="L92" s="60">
        <v>749</v>
      </c>
      <c r="M92" s="66">
        <v>1.5816736743597517E-3</v>
      </c>
      <c r="N92" s="67">
        <v>3.6221822440626395E-4</v>
      </c>
      <c r="O92" s="67">
        <v>3.2474210064840171E-4</v>
      </c>
      <c r="P92" s="67">
        <v>4.0399687575749414E-4</v>
      </c>
      <c r="Q92" s="67">
        <v>3.0378208698293756E-4</v>
      </c>
      <c r="R92" s="67">
        <v>2.761540939844433E-4</v>
      </c>
      <c r="S92" s="67">
        <v>3.8108303799397889E-4</v>
      </c>
      <c r="T92" s="67">
        <v>6.8263268672848286E-4</v>
      </c>
      <c r="U92" s="67">
        <v>1.0428616122640526E-3</v>
      </c>
      <c r="V92" s="67">
        <v>3.7439003870099277E-3</v>
      </c>
      <c r="W92" s="68">
        <v>5.6940032035419897E-4</v>
      </c>
    </row>
    <row r="93" spans="1:23" x14ac:dyDescent="0.3">
      <c r="A93" s="44" t="s">
        <v>156</v>
      </c>
      <c r="B93" t="s">
        <v>137</v>
      </c>
      <c r="C93" s="45">
        <v>2009</v>
      </c>
      <c r="D93" s="91">
        <v>1316380</v>
      </c>
      <c r="E93" s="2">
        <v>642611</v>
      </c>
      <c r="F93" s="5">
        <v>0.48816527142618393</v>
      </c>
      <c r="G93" s="2">
        <v>673769</v>
      </c>
      <c r="H93" s="78">
        <v>0.51183472857381607</v>
      </c>
      <c r="I93" s="52">
        <v>26946</v>
      </c>
      <c r="J93" s="82">
        <v>2.0469773165803187E-2</v>
      </c>
      <c r="K93" s="59">
        <v>105</v>
      </c>
      <c r="L93" s="60">
        <v>771</v>
      </c>
      <c r="M93" s="66">
        <v>1.6921189559626043E-3</v>
      </c>
      <c r="N93" s="67">
        <v>3.8913534127169432E-4</v>
      </c>
      <c r="O93" s="67">
        <v>3.458292986581823E-4</v>
      </c>
      <c r="P93" s="67">
        <v>4.0704182354736948E-4</v>
      </c>
      <c r="Q93" s="67">
        <v>3.2445761502022453E-4</v>
      </c>
      <c r="R93" s="67">
        <v>2.7692137279155204E-4</v>
      </c>
      <c r="S93" s="67">
        <v>3.4916404308684291E-4</v>
      </c>
      <c r="T93" s="67">
        <v>5.884891521832947E-4</v>
      </c>
      <c r="U93" s="67">
        <v>9.5756256800870508E-4</v>
      </c>
      <c r="V93" s="67">
        <v>3.8966822533956801E-3</v>
      </c>
      <c r="W93" s="68">
        <v>5.856971391239612E-4</v>
      </c>
    </row>
    <row r="94" spans="1:23" x14ac:dyDescent="0.3">
      <c r="A94" s="44" t="s">
        <v>150</v>
      </c>
      <c r="B94" t="s">
        <v>139</v>
      </c>
      <c r="C94" s="45">
        <v>2012</v>
      </c>
      <c r="D94" s="91">
        <v>1317474</v>
      </c>
      <c r="E94" s="2">
        <v>650048</v>
      </c>
      <c r="F94" s="5">
        <v>0.49340480343445109</v>
      </c>
      <c r="G94" s="2">
        <v>667426</v>
      </c>
      <c r="H94" s="78">
        <v>0.50659519656554897</v>
      </c>
      <c r="I94" s="52">
        <v>24351</v>
      </c>
      <c r="J94" s="82">
        <v>1.848309719964113E-2</v>
      </c>
      <c r="K94" s="59">
        <v>123</v>
      </c>
      <c r="L94" s="60">
        <v>783</v>
      </c>
      <c r="M94" s="66">
        <v>1.7293807375808846E-3</v>
      </c>
      <c r="N94" s="67">
        <v>3.7109652839197689E-4</v>
      </c>
      <c r="O94" s="67">
        <v>3.3557797713595384E-4</v>
      </c>
      <c r="P94" s="67">
        <v>4.118220379699919E-4</v>
      </c>
      <c r="Q94" s="67">
        <v>3.345712469470374E-4</v>
      </c>
      <c r="R94" s="67">
        <v>2.6877746569727593E-4</v>
      </c>
      <c r="S94" s="67">
        <v>3.3474857592376658E-4</v>
      </c>
      <c r="T94" s="67">
        <v>6.0573020776546126E-4</v>
      </c>
      <c r="U94" s="67">
        <v>1.0384755179396645E-3</v>
      </c>
      <c r="V94" s="67">
        <v>5.0511272637674019E-3</v>
      </c>
      <c r="W94" s="68">
        <v>5.9431912887844465E-4</v>
      </c>
    </row>
    <row r="95" spans="1:23" x14ac:dyDescent="0.3">
      <c r="A95" s="44" t="s">
        <v>151</v>
      </c>
      <c r="B95" t="s">
        <v>139</v>
      </c>
      <c r="C95" s="45">
        <v>2013</v>
      </c>
      <c r="D95" s="91">
        <v>1319171</v>
      </c>
      <c r="E95" s="2">
        <v>651106</v>
      </c>
      <c r="F95" s="5">
        <v>0.4935720994473044</v>
      </c>
      <c r="G95" s="2">
        <v>668065</v>
      </c>
      <c r="H95" s="78">
        <v>0.5064279005526956</v>
      </c>
      <c r="I95" s="52">
        <v>24949</v>
      </c>
      <c r="J95" s="82">
        <v>1.8912635283825977E-2</v>
      </c>
      <c r="K95" s="59">
        <v>114</v>
      </c>
      <c r="L95" s="60">
        <v>780</v>
      </c>
      <c r="M95" s="66">
        <v>1.7633315210203813E-3</v>
      </c>
      <c r="N95" s="67">
        <v>3.7712604809614201E-4</v>
      </c>
      <c r="O95" s="67">
        <v>3.3532479000285026E-4</v>
      </c>
      <c r="P95" s="67">
        <v>4.0791629557614779E-4</v>
      </c>
      <c r="Q95" s="67">
        <v>3.4819547694075456E-4</v>
      </c>
      <c r="R95" s="67">
        <v>2.7030070953936255E-4</v>
      </c>
      <c r="S95" s="67">
        <v>3.2492147730965018E-4</v>
      </c>
      <c r="T95" s="67">
        <v>5.7682324213116957E-4</v>
      </c>
      <c r="U95" s="67">
        <v>1.1394830890350651E-3</v>
      </c>
      <c r="V95" s="67">
        <v>4.5693214156880034E-3</v>
      </c>
      <c r="W95" s="68">
        <v>5.9128043293856522E-4</v>
      </c>
    </row>
    <row r="96" spans="1:23" x14ac:dyDescent="0.3">
      <c r="A96" s="44" t="s">
        <v>161</v>
      </c>
      <c r="B96" t="s">
        <v>139</v>
      </c>
      <c r="C96" s="45">
        <v>2016</v>
      </c>
      <c r="D96" s="91">
        <v>1327503</v>
      </c>
      <c r="E96" s="2">
        <v>656507</v>
      </c>
      <c r="F96" s="5">
        <v>0.49454276186193175</v>
      </c>
      <c r="G96" s="2">
        <v>670996</v>
      </c>
      <c r="H96" s="78">
        <v>0.5054572381380682</v>
      </c>
      <c r="I96" s="52">
        <v>27168</v>
      </c>
      <c r="J96" s="82">
        <v>2.0465490473467858E-2</v>
      </c>
      <c r="K96" s="59">
        <v>85</v>
      </c>
      <c r="L96" s="60">
        <v>745</v>
      </c>
      <c r="M96" s="66">
        <v>1.8497109826589595E-3</v>
      </c>
      <c r="N96" s="67">
        <v>3.9593506664906955E-4</v>
      </c>
      <c r="O96" s="67">
        <v>3.354635267280565E-4</v>
      </c>
      <c r="P96" s="67">
        <v>3.8777224843275385E-4</v>
      </c>
      <c r="Q96" s="67">
        <v>3.7760785424336828E-4</v>
      </c>
      <c r="R96" s="67">
        <v>2.8584223414290208E-4</v>
      </c>
      <c r="S96" s="67">
        <v>3.0319415037419211E-4</v>
      </c>
      <c r="T96" s="67">
        <v>4.8583389339184935E-4</v>
      </c>
      <c r="U96" s="67">
        <v>1.0021546324597886E-3</v>
      </c>
      <c r="V96" s="67">
        <v>3.1286808009422852E-3</v>
      </c>
      <c r="W96" s="68">
        <v>5.6120400481204187E-4</v>
      </c>
    </row>
    <row r="97" spans="1:23" x14ac:dyDescent="0.3">
      <c r="A97" s="44" t="s">
        <v>152</v>
      </c>
      <c r="B97" t="s">
        <v>137</v>
      </c>
      <c r="C97" s="45">
        <v>2010</v>
      </c>
      <c r="D97" s="91">
        <v>1327665</v>
      </c>
      <c r="E97" s="2">
        <v>649666</v>
      </c>
      <c r="F97" s="5">
        <v>0.48932976315561533</v>
      </c>
      <c r="G97" s="2">
        <v>677999</v>
      </c>
      <c r="H97" s="78">
        <v>0.51067023684438473</v>
      </c>
      <c r="I97" s="52">
        <v>27330</v>
      </c>
      <c r="J97" s="82">
        <v>2.0585012032402754E-2</v>
      </c>
      <c r="K97" s="59">
        <v>125</v>
      </c>
      <c r="L97" s="60">
        <v>785</v>
      </c>
      <c r="M97" s="66">
        <v>1.7176473956171364E-3</v>
      </c>
      <c r="N97" s="67">
        <v>3.8361454410608219E-4</v>
      </c>
      <c r="O97" s="67">
        <v>3.4934091014951789E-4</v>
      </c>
      <c r="P97" s="67">
        <v>4.1594742424557536E-4</v>
      </c>
      <c r="Q97" s="67">
        <v>3.2851331300200941E-4</v>
      </c>
      <c r="R97" s="67">
        <v>2.7397010072967369E-4</v>
      </c>
      <c r="S97" s="67">
        <v>3.3184555907680568E-4</v>
      </c>
      <c r="T97" s="67">
        <v>5.6445088336563246E-4</v>
      </c>
      <c r="U97" s="67">
        <v>8.5927877867842924E-4</v>
      </c>
      <c r="V97" s="67">
        <v>4.5737285034760334E-3</v>
      </c>
      <c r="W97" s="68">
        <v>5.9126360941954485E-4</v>
      </c>
    </row>
    <row r="98" spans="1:23" x14ac:dyDescent="0.3">
      <c r="A98" s="44" t="s">
        <v>149</v>
      </c>
      <c r="B98" t="s">
        <v>137</v>
      </c>
      <c r="C98" s="45">
        <v>2013</v>
      </c>
      <c r="D98" s="91">
        <v>1328320</v>
      </c>
      <c r="E98" s="2">
        <v>649600</v>
      </c>
      <c r="F98" s="5">
        <v>0.48903878583473864</v>
      </c>
      <c r="G98" s="2">
        <v>678720</v>
      </c>
      <c r="H98" s="78">
        <v>0.51096121416526141</v>
      </c>
      <c r="I98" s="52">
        <v>29664</v>
      </c>
      <c r="J98" s="82">
        <v>2.2331968200433632E-2</v>
      </c>
      <c r="K98" s="59">
        <v>122</v>
      </c>
      <c r="L98" s="60">
        <v>800</v>
      </c>
      <c r="M98" s="66">
        <v>1.7852892168531303E-3</v>
      </c>
      <c r="N98" s="67">
        <v>3.9629071887136401E-4</v>
      </c>
      <c r="O98" s="67">
        <v>3.6079591579023327E-4</v>
      </c>
      <c r="P98" s="67">
        <v>4.0932720252145557E-4</v>
      </c>
      <c r="Q98" s="67">
        <v>3.6028895173929491E-4</v>
      </c>
      <c r="R98" s="67">
        <v>2.8020754038491177E-4</v>
      </c>
      <c r="S98" s="67">
        <v>3.0440010349603517E-4</v>
      </c>
      <c r="T98" s="67">
        <v>4.9957952057018678E-4</v>
      </c>
      <c r="U98" s="67">
        <v>1.1036590542490873E-3</v>
      </c>
      <c r="V98" s="67">
        <v>4.1127292340884577E-3</v>
      </c>
      <c r="W98" s="68">
        <v>6.022645145748012E-4</v>
      </c>
    </row>
    <row r="99" spans="1:23" x14ac:dyDescent="0.3">
      <c r="A99" s="44" t="s">
        <v>160</v>
      </c>
      <c r="B99" t="s">
        <v>137</v>
      </c>
      <c r="C99" s="45">
        <v>2014</v>
      </c>
      <c r="D99" s="91">
        <v>1328659</v>
      </c>
      <c r="E99" s="2">
        <v>649540</v>
      </c>
      <c r="F99" s="5">
        <v>0.48886885197782126</v>
      </c>
      <c r="G99" s="2">
        <v>679119</v>
      </c>
      <c r="H99" s="78">
        <v>0.51113114802217874</v>
      </c>
      <c r="I99" s="52">
        <v>29875</v>
      </c>
      <c r="J99" s="82">
        <v>2.2485077058899235E-2</v>
      </c>
      <c r="K99" s="59">
        <v>96</v>
      </c>
      <c r="L99" s="60">
        <v>756</v>
      </c>
      <c r="M99" s="66">
        <v>1.8160905623827107E-3</v>
      </c>
      <c r="N99" s="67">
        <v>4.002321346380901E-4</v>
      </c>
      <c r="O99" s="67">
        <v>3.6509008597871524E-4</v>
      </c>
      <c r="P99" s="67">
        <v>4.0227958431109621E-4</v>
      </c>
      <c r="Q99" s="67">
        <v>3.693989878467733E-4</v>
      </c>
      <c r="R99" s="67">
        <v>2.8625134776676239E-4</v>
      </c>
      <c r="S99" s="67">
        <v>2.9880478087649401E-4</v>
      </c>
      <c r="T99" s="67">
        <v>4.7656492005623466E-4</v>
      </c>
      <c r="U99" s="67">
        <v>8.4505852030253097E-4</v>
      </c>
      <c r="V99" s="67">
        <v>3.2133891213389121E-3</v>
      </c>
      <c r="W99" s="68">
        <v>5.6899475335657978E-4</v>
      </c>
    </row>
    <row r="100" spans="1:23" x14ac:dyDescent="0.3">
      <c r="A100" s="44" t="s">
        <v>145</v>
      </c>
      <c r="B100" t="s">
        <v>137</v>
      </c>
      <c r="C100" s="45">
        <v>2011</v>
      </c>
      <c r="D100" s="91">
        <v>1328662</v>
      </c>
      <c r="E100" s="2">
        <v>650905</v>
      </c>
      <c r="F100" s="5">
        <v>0.48989509747400017</v>
      </c>
      <c r="G100" s="2">
        <v>677757</v>
      </c>
      <c r="H100" s="78">
        <v>0.51010490252599983</v>
      </c>
      <c r="I100" s="52">
        <v>27237</v>
      </c>
      <c r="J100" s="82">
        <v>2.0499570244351083E-2</v>
      </c>
      <c r="K100" s="59">
        <v>142</v>
      </c>
      <c r="L100" s="60">
        <v>818</v>
      </c>
      <c r="M100" s="66">
        <v>1.710888378790687E-3</v>
      </c>
      <c r="N100" s="67">
        <v>3.8330575661362138E-4</v>
      </c>
      <c r="O100" s="67">
        <v>3.518401238477236E-4</v>
      </c>
      <c r="P100" s="67">
        <v>4.1142669062084285E-4</v>
      </c>
      <c r="Q100" s="67">
        <v>3.3812722600423786E-4</v>
      </c>
      <c r="R100" s="67">
        <v>2.7544541819500616E-4</v>
      </c>
      <c r="S100" s="67">
        <v>3.2367871650599612E-4</v>
      </c>
      <c r="T100" s="67">
        <v>5.4990880678954077E-4</v>
      </c>
      <c r="U100" s="67">
        <v>1.0980913438615248E-3</v>
      </c>
      <c r="V100" s="67">
        <v>5.2134963468810809E-3</v>
      </c>
      <c r="W100" s="68">
        <v>6.1565695413882536E-4</v>
      </c>
    </row>
    <row r="101" spans="1:23" x14ac:dyDescent="0.3">
      <c r="A101" s="44" t="s">
        <v>154</v>
      </c>
      <c r="B101" t="s">
        <v>139</v>
      </c>
      <c r="C101" s="45">
        <v>2017</v>
      </c>
      <c r="D101" s="91">
        <v>1332079</v>
      </c>
      <c r="E101" s="2">
        <v>659015</v>
      </c>
      <c r="F101" s="5">
        <v>0.49472666410926081</v>
      </c>
      <c r="G101" s="2">
        <v>673064</v>
      </c>
      <c r="H101" s="78">
        <v>0.50527333589073919</v>
      </c>
      <c r="I101" s="52">
        <v>28283</v>
      </c>
      <c r="J101" s="82">
        <v>2.1232224214930196E-2</v>
      </c>
      <c r="K101" s="59">
        <v>114</v>
      </c>
      <c r="L101" s="60">
        <v>783</v>
      </c>
      <c r="M101" s="66">
        <v>1.8527954050673954E-3</v>
      </c>
      <c r="N101" s="67">
        <v>3.9898922729086314E-4</v>
      </c>
      <c r="O101" s="67">
        <v>3.3467015467338984E-4</v>
      </c>
      <c r="P101" s="67">
        <v>3.8231414753502952E-4</v>
      </c>
      <c r="Q101" s="67">
        <v>3.8304392236976505E-4</v>
      </c>
      <c r="R101" s="67">
        <v>2.9281147820994584E-4</v>
      </c>
      <c r="S101" s="67">
        <v>2.9839908888811527E-4</v>
      </c>
      <c r="T101" s="67">
        <v>4.6523168537931892E-4</v>
      </c>
      <c r="U101" s="67">
        <v>1.1341036472115843E-3</v>
      </c>
      <c r="V101" s="67">
        <v>4.0306898136689886E-3</v>
      </c>
      <c r="W101" s="68">
        <v>5.8780297564934214E-4</v>
      </c>
    </row>
    <row r="102" spans="1:23" x14ac:dyDescent="0.3">
      <c r="A102" s="44" t="s">
        <v>148</v>
      </c>
      <c r="B102" t="s">
        <v>122</v>
      </c>
      <c r="C102" s="45">
        <v>2010</v>
      </c>
      <c r="D102" s="91">
        <v>1333591</v>
      </c>
      <c r="E102" s="2">
        <v>668202</v>
      </c>
      <c r="F102" s="5">
        <v>0.50105467118479352</v>
      </c>
      <c r="G102" s="2">
        <v>665389</v>
      </c>
      <c r="H102" s="78">
        <v>0.49894532881520648</v>
      </c>
      <c r="I102" s="52">
        <v>27042</v>
      </c>
      <c r="J102" s="82">
        <v>2.0277581357402683E-2</v>
      </c>
      <c r="K102" s="59">
        <v>139</v>
      </c>
      <c r="L102" s="60">
        <v>811</v>
      </c>
      <c r="M102" s="66">
        <v>1.3912398265587683E-3</v>
      </c>
      <c r="N102" s="67">
        <v>3.6995930447650759E-4</v>
      </c>
      <c r="O102" s="67">
        <v>3.3159247285086628E-4</v>
      </c>
      <c r="P102" s="67">
        <v>3.3372082028577629E-4</v>
      </c>
      <c r="Q102" s="67">
        <v>3.3492609297548342E-4</v>
      </c>
      <c r="R102" s="67">
        <v>3.0881989623651485E-4</v>
      </c>
      <c r="S102" s="67">
        <v>3.6325549575293782E-4</v>
      </c>
      <c r="T102" s="67">
        <v>6.3837257551415587E-4</v>
      </c>
      <c r="U102" s="67">
        <v>1.109587141117909E-3</v>
      </c>
      <c r="V102" s="67">
        <v>5.1401523555950008E-3</v>
      </c>
      <c r="W102" s="68">
        <v>6.0813247839854945E-4</v>
      </c>
    </row>
    <row r="103" spans="1:23" x14ac:dyDescent="0.3">
      <c r="A103" s="44" t="s">
        <v>141</v>
      </c>
      <c r="B103" t="s">
        <v>122</v>
      </c>
      <c r="C103" s="45">
        <v>2011</v>
      </c>
      <c r="D103" s="91">
        <v>1346554</v>
      </c>
      <c r="E103" s="2">
        <v>674569</v>
      </c>
      <c r="F103" s="5">
        <v>0.50095948621444075</v>
      </c>
      <c r="G103" s="2">
        <v>671985</v>
      </c>
      <c r="H103" s="78">
        <v>0.4990405137855593</v>
      </c>
      <c r="I103" s="52">
        <v>28780</v>
      </c>
      <c r="J103" s="82">
        <v>2.1373075272139105E-2</v>
      </c>
      <c r="K103" s="59">
        <v>187</v>
      </c>
      <c r="L103" s="60">
        <v>853</v>
      </c>
      <c r="M103" s="66">
        <v>1.3749799482090886E-3</v>
      </c>
      <c r="N103" s="67">
        <v>3.6727573225599116E-4</v>
      </c>
      <c r="O103" s="67">
        <v>3.2997129249755274E-4</v>
      </c>
      <c r="P103" s="67">
        <v>3.2738046520764107E-4</v>
      </c>
      <c r="Q103" s="67">
        <v>3.3768382663312341E-4</v>
      </c>
      <c r="R103" s="67">
        <v>3.1135512127281972E-4</v>
      </c>
      <c r="S103" s="67">
        <v>3.51638047236711E-4</v>
      </c>
      <c r="T103" s="67">
        <v>6.1226988856688026E-4</v>
      </c>
      <c r="U103" s="67">
        <v>1.0144793876233514E-3</v>
      </c>
      <c r="V103" s="67">
        <v>6.4975677553856847E-3</v>
      </c>
      <c r="W103" s="68">
        <v>6.3346883971975877E-4</v>
      </c>
    </row>
    <row r="104" spans="1:23" x14ac:dyDescent="0.3">
      <c r="A104" s="44" t="s">
        <v>134</v>
      </c>
      <c r="B104" t="s">
        <v>122</v>
      </c>
      <c r="C104" s="45">
        <v>2012</v>
      </c>
      <c r="D104" s="91">
        <v>1362730</v>
      </c>
      <c r="E104" s="2">
        <v>683498</v>
      </c>
      <c r="F104" s="5">
        <v>0.50156524036309469</v>
      </c>
      <c r="G104" s="2">
        <v>679232</v>
      </c>
      <c r="H104" s="78">
        <v>0.49843475963690531</v>
      </c>
      <c r="I104" s="52">
        <v>31783</v>
      </c>
      <c r="J104" s="82">
        <v>2.3323035377514255E-2</v>
      </c>
      <c r="K104" s="59">
        <v>239</v>
      </c>
      <c r="L104" s="60">
        <v>915</v>
      </c>
      <c r="M104" s="66">
        <v>1.3576349998302955E-3</v>
      </c>
      <c r="N104" s="67">
        <v>3.6772141425655923E-4</v>
      </c>
      <c r="O104" s="67">
        <v>3.2886443111934492E-4</v>
      </c>
      <c r="P104" s="67">
        <v>3.1811000243884337E-4</v>
      </c>
      <c r="Q104" s="67">
        <v>3.4065940305117272E-4</v>
      </c>
      <c r="R104" s="67">
        <v>3.1313115498426513E-4</v>
      </c>
      <c r="S104" s="67">
        <v>3.4359341445955619E-4</v>
      </c>
      <c r="T104" s="67">
        <v>5.8746352830595105E-4</v>
      </c>
      <c r="U104" s="67">
        <v>1.2024555407885577E-3</v>
      </c>
      <c r="V104" s="67">
        <v>7.5197432589749237E-3</v>
      </c>
      <c r="W104" s="68">
        <v>6.7144628796606811E-4</v>
      </c>
    </row>
    <row r="105" spans="1:23" x14ac:dyDescent="0.3">
      <c r="A105" s="44" t="s">
        <v>133</v>
      </c>
      <c r="B105" t="s">
        <v>122</v>
      </c>
      <c r="C105" s="45">
        <v>2013</v>
      </c>
      <c r="D105" s="91">
        <v>1376298</v>
      </c>
      <c r="E105" s="2">
        <v>691426</v>
      </c>
      <c r="F105" s="5">
        <v>0.50238102503963533</v>
      </c>
      <c r="G105" s="2">
        <v>684872</v>
      </c>
      <c r="H105" s="78">
        <v>0.49761897496036467</v>
      </c>
      <c r="I105" s="52">
        <v>32581</v>
      </c>
      <c r="J105" s="82">
        <v>2.3672925485614307E-2</v>
      </c>
      <c r="K105" s="59">
        <v>252</v>
      </c>
      <c r="L105" s="60">
        <v>949</v>
      </c>
      <c r="M105" s="66">
        <v>1.3494366102152352E-3</v>
      </c>
      <c r="N105" s="67">
        <v>3.6172034194629658E-4</v>
      </c>
      <c r="O105" s="67">
        <v>3.2852950194927504E-4</v>
      </c>
      <c r="P105" s="67">
        <v>3.1146341083581209E-4</v>
      </c>
      <c r="Q105" s="67">
        <v>3.4442971050682833E-4</v>
      </c>
      <c r="R105" s="67">
        <v>3.1832096302702014E-4</v>
      </c>
      <c r="S105" s="67">
        <v>3.3875721270565384E-4</v>
      </c>
      <c r="T105" s="67">
        <v>5.6137199315126171E-4</v>
      </c>
      <c r="U105" s="67">
        <v>1.5455950540958269E-3</v>
      </c>
      <c r="V105" s="67">
        <v>7.7345692274638595E-3</v>
      </c>
      <c r="W105" s="68">
        <v>6.8953090101126358E-4</v>
      </c>
    </row>
    <row r="106" spans="1:23" x14ac:dyDescent="0.3">
      <c r="A106" s="44" t="s">
        <v>135</v>
      </c>
      <c r="B106" t="s">
        <v>122</v>
      </c>
      <c r="C106" s="45">
        <v>2014</v>
      </c>
      <c r="D106" s="91">
        <v>1391072</v>
      </c>
      <c r="E106" s="2">
        <v>699626</v>
      </c>
      <c r="F106" s="5">
        <v>0.5029401785098111</v>
      </c>
      <c r="G106" s="2">
        <v>691446</v>
      </c>
      <c r="H106" s="78">
        <v>0.49705982149018885</v>
      </c>
      <c r="I106" s="52">
        <v>35491</v>
      </c>
      <c r="J106" s="82">
        <v>2.5513416990637437E-2</v>
      </c>
      <c r="K106" s="59">
        <v>224</v>
      </c>
      <c r="L106" s="60">
        <v>921</v>
      </c>
      <c r="M106" s="66">
        <v>1.3404526261701034E-3</v>
      </c>
      <c r="N106" s="67">
        <v>3.5712797681049002E-4</v>
      </c>
      <c r="O106" s="67">
        <v>3.2243849485710601E-4</v>
      </c>
      <c r="P106" s="67">
        <v>3.0131675421592359E-4</v>
      </c>
      <c r="Q106" s="67">
        <v>3.4426963197576341E-4</v>
      </c>
      <c r="R106" s="67">
        <v>3.2547492215724777E-4</v>
      </c>
      <c r="S106" s="67">
        <v>3.3858134416793635E-4</v>
      </c>
      <c r="T106" s="67">
        <v>5.3136374505167517E-4</v>
      </c>
      <c r="U106" s="67">
        <v>1.5044357590421242E-3</v>
      </c>
      <c r="V106" s="67">
        <v>6.311459243188414E-3</v>
      </c>
      <c r="W106" s="68">
        <v>6.6207931724598012E-4</v>
      </c>
    </row>
    <row r="107" spans="1:23" x14ac:dyDescent="0.3">
      <c r="A107" s="44" t="s">
        <v>125</v>
      </c>
      <c r="B107" t="s">
        <v>122</v>
      </c>
      <c r="C107" s="45">
        <v>2015</v>
      </c>
      <c r="D107" s="91">
        <v>1406214</v>
      </c>
      <c r="E107" s="2">
        <v>709829</v>
      </c>
      <c r="F107" s="5">
        <v>0.50478021126229722</v>
      </c>
      <c r="G107" s="2">
        <v>696385</v>
      </c>
      <c r="H107" s="78">
        <v>0.49521978873770278</v>
      </c>
      <c r="I107" s="52">
        <v>36782</v>
      </c>
      <c r="J107" s="82">
        <v>2.6156758501906539E-2</v>
      </c>
      <c r="K107" s="59">
        <v>326</v>
      </c>
      <c r="L107" s="60">
        <v>1030</v>
      </c>
      <c r="M107" s="66">
        <v>1.3115757489644017E-3</v>
      </c>
      <c r="N107" s="67">
        <v>3.5636013755501307E-4</v>
      </c>
      <c r="O107" s="67">
        <v>3.2528787977359962E-4</v>
      </c>
      <c r="P107" s="67">
        <v>2.9280290460481368E-4</v>
      </c>
      <c r="Q107" s="67">
        <v>3.4200311222832127E-4</v>
      </c>
      <c r="R107" s="67">
        <v>3.3046380595165315E-4</v>
      </c>
      <c r="S107" s="67">
        <v>3.3496348897970121E-4</v>
      </c>
      <c r="T107" s="67">
        <v>5.0089325964636938E-4</v>
      </c>
      <c r="U107" s="67">
        <v>1.6416473299553282E-3</v>
      </c>
      <c r="V107" s="67">
        <v>8.8630308302974289E-3</v>
      </c>
      <c r="W107" s="68">
        <v>7.324631955022493E-4</v>
      </c>
    </row>
    <row r="108" spans="1:23" x14ac:dyDescent="0.3">
      <c r="A108" s="44" t="s">
        <v>131</v>
      </c>
      <c r="B108" t="s">
        <v>122</v>
      </c>
      <c r="C108" s="45">
        <v>2016</v>
      </c>
      <c r="D108" s="91">
        <v>1413673</v>
      </c>
      <c r="E108" s="2">
        <v>709870</v>
      </c>
      <c r="F108" s="5">
        <v>0.50214582863222257</v>
      </c>
      <c r="G108" s="2">
        <v>703803</v>
      </c>
      <c r="H108" s="78">
        <v>0.49785417136777743</v>
      </c>
      <c r="I108" s="52">
        <v>37991</v>
      </c>
      <c r="J108" s="82">
        <v>2.6873965903005857E-2</v>
      </c>
      <c r="K108" s="59">
        <v>303</v>
      </c>
      <c r="L108" s="60">
        <v>988</v>
      </c>
      <c r="M108" s="66">
        <v>1.3020692049782445E-3</v>
      </c>
      <c r="N108" s="67">
        <v>3.5716411691172096E-4</v>
      </c>
      <c r="O108" s="67">
        <v>3.3293566018366953E-4</v>
      </c>
      <c r="P108" s="67">
        <v>2.9528576279694676E-4</v>
      </c>
      <c r="Q108" s="67">
        <v>3.4040621808691704E-4</v>
      </c>
      <c r="R108" s="67">
        <v>3.300475268438655E-4</v>
      </c>
      <c r="S108" s="67">
        <v>3.2601431202829807E-4</v>
      </c>
      <c r="T108" s="67">
        <v>4.7508195163665731E-4</v>
      </c>
      <c r="U108" s="67">
        <v>1.3305365975831195E-3</v>
      </c>
      <c r="V108" s="67">
        <v>7.9755731620646999E-3</v>
      </c>
      <c r="W108" s="68">
        <v>6.9888863973493164E-4</v>
      </c>
    </row>
    <row r="109" spans="1:23" x14ac:dyDescent="0.3">
      <c r="A109" s="44" t="s">
        <v>121</v>
      </c>
      <c r="B109" t="s">
        <v>122</v>
      </c>
      <c r="C109" s="45">
        <v>2017</v>
      </c>
      <c r="D109" s="91">
        <v>1421652</v>
      </c>
      <c r="E109" s="2">
        <v>713980</v>
      </c>
      <c r="F109" s="5">
        <v>0.50221854574818592</v>
      </c>
      <c r="G109" s="2">
        <v>707672</v>
      </c>
      <c r="H109" s="78">
        <v>0.49778145425181408</v>
      </c>
      <c r="I109" s="52">
        <v>37852</v>
      </c>
      <c r="J109" s="82">
        <v>2.6625362606319973E-2</v>
      </c>
      <c r="K109" s="59">
        <v>382</v>
      </c>
      <c r="L109" s="60">
        <v>1088</v>
      </c>
      <c r="M109" s="66">
        <v>1.3126804935678655E-3</v>
      </c>
      <c r="N109" s="67">
        <v>3.5578325683993309E-4</v>
      </c>
      <c r="O109" s="67">
        <v>3.384419261858159E-4</v>
      </c>
      <c r="P109" s="67">
        <v>2.9211010603596846E-4</v>
      </c>
      <c r="Q109" s="67">
        <v>3.3821108881423195E-4</v>
      </c>
      <c r="R109" s="67">
        <v>3.3377837116154872E-4</v>
      </c>
      <c r="S109" s="67">
        <v>3.2676534980230699E-4</v>
      </c>
      <c r="T109" s="67">
        <v>4.4882967661821798E-4</v>
      </c>
      <c r="U109" s="67">
        <v>1.5916632881361023E-3</v>
      </c>
      <c r="V109" s="67">
        <v>1.0091937017859031E-2</v>
      </c>
      <c r="W109" s="68">
        <v>7.6530684021124725E-4</v>
      </c>
    </row>
    <row r="110" spans="1:23" x14ac:dyDescent="0.3">
      <c r="A110" s="44" t="s">
        <v>171</v>
      </c>
      <c r="B110" t="s">
        <v>166</v>
      </c>
      <c r="C110" s="45">
        <v>2014</v>
      </c>
      <c r="D110" s="91">
        <v>1446420</v>
      </c>
      <c r="E110" s="2">
        <v>725250</v>
      </c>
      <c r="F110" s="5">
        <v>0.50141037872817029</v>
      </c>
      <c r="G110" s="2">
        <v>721177</v>
      </c>
      <c r="H110" s="78">
        <v>0.49859446080668135</v>
      </c>
      <c r="I110" s="52">
        <v>22954</v>
      </c>
      <c r="J110" s="82">
        <v>1.586952614040182E-2</v>
      </c>
      <c r="K110" s="59">
        <v>91</v>
      </c>
      <c r="L110" s="60">
        <v>751</v>
      </c>
      <c r="M110" s="66">
        <v>1.1553236350332636E-3</v>
      </c>
      <c r="N110" s="67">
        <v>2.7613121755458192E-4</v>
      </c>
      <c r="O110" s="67">
        <v>2.9869321717486001E-4</v>
      </c>
      <c r="P110" s="67">
        <v>3.0829466804371618E-4</v>
      </c>
      <c r="Q110" s="67">
        <v>3.331408519522054E-4</v>
      </c>
      <c r="R110" s="67">
        <v>3.2360714093090985E-4</v>
      </c>
      <c r="S110" s="67">
        <v>3.4791281304904993E-4</v>
      </c>
      <c r="T110" s="67">
        <v>5.4148203633344464E-4</v>
      </c>
      <c r="U110" s="67">
        <v>1.0377391123871458E-3</v>
      </c>
      <c r="V110" s="67">
        <v>3.9644506404112574E-3</v>
      </c>
      <c r="W110" s="68">
        <v>5.1921295336071125E-4</v>
      </c>
    </row>
    <row r="111" spans="1:23" x14ac:dyDescent="0.3">
      <c r="A111" s="44" t="s">
        <v>165</v>
      </c>
      <c r="B111" t="s">
        <v>166</v>
      </c>
      <c r="C111" s="45">
        <v>2017</v>
      </c>
      <c r="D111" s="91">
        <v>1478073</v>
      </c>
      <c r="E111" s="2">
        <v>740504</v>
      </c>
      <c r="F111" s="5">
        <v>0.50099284676737887</v>
      </c>
      <c r="G111" s="2">
        <v>737572</v>
      </c>
      <c r="H111" s="78">
        <v>0.49900918290233298</v>
      </c>
      <c r="I111" s="52">
        <v>24355</v>
      </c>
      <c r="J111" s="82">
        <v>1.6477535277350984E-2</v>
      </c>
      <c r="K111" s="59">
        <v>114</v>
      </c>
      <c r="L111" s="60">
        <v>790</v>
      </c>
      <c r="M111" s="66">
        <v>1.198609612849095E-3</v>
      </c>
      <c r="N111" s="67">
        <v>2.7315936117130736E-4</v>
      </c>
      <c r="O111" s="67">
        <v>2.9807147754031416E-4</v>
      </c>
      <c r="P111" s="67">
        <v>3.0544921397735603E-4</v>
      </c>
      <c r="Q111" s="67">
        <v>3.2391811350090699E-4</v>
      </c>
      <c r="R111" s="67">
        <v>3.3265877526127575E-4</v>
      </c>
      <c r="S111" s="67">
        <v>3.3351676755548885E-4</v>
      </c>
      <c r="T111" s="67">
        <v>4.6551684007168959E-4</v>
      </c>
      <c r="U111" s="67">
        <v>1.2284218012542833E-3</v>
      </c>
      <c r="V111" s="67">
        <v>4.680763703551632E-3</v>
      </c>
      <c r="W111" s="68">
        <v>5.3447969078658497E-4</v>
      </c>
    </row>
    <row r="112" spans="1:23" x14ac:dyDescent="0.3">
      <c r="A112" s="44" t="s">
        <v>170</v>
      </c>
      <c r="B112" t="s">
        <v>166</v>
      </c>
      <c r="C112" s="45">
        <v>2015</v>
      </c>
      <c r="D112" s="91">
        <v>1478648</v>
      </c>
      <c r="E112" s="2">
        <v>740336</v>
      </c>
      <c r="F112" s="5">
        <v>0.5006844090006547</v>
      </c>
      <c r="G112" s="2">
        <v>738315</v>
      </c>
      <c r="H112" s="78">
        <v>0.49931761987978207</v>
      </c>
      <c r="I112" s="52">
        <v>23227</v>
      </c>
      <c r="J112" s="82">
        <v>1.5708268634590516E-2</v>
      </c>
      <c r="K112" s="59">
        <v>104</v>
      </c>
      <c r="L112" s="60">
        <v>772</v>
      </c>
      <c r="M112" s="66">
        <v>1.1424654404204272E-3</v>
      </c>
      <c r="N112" s="67">
        <v>2.7107984656880683E-4</v>
      </c>
      <c r="O112" s="67">
        <v>2.852538045726185E-4</v>
      </c>
      <c r="P112" s="67">
        <v>3.013031360634745E-4</v>
      </c>
      <c r="Q112" s="67">
        <v>3.2428400793414871E-4</v>
      </c>
      <c r="R112" s="67">
        <v>3.2168649506479304E-4</v>
      </c>
      <c r="S112" s="67">
        <v>3.417362479638215E-4</v>
      </c>
      <c r="T112" s="67">
        <v>5.2509057812472656E-4</v>
      </c>
      <c r="U112" s="67">
        <v>1.1725553083992897E-3</v>
      </c>
      <c r="V112" s="67">
        <v>4.4775476815774743E-3</v>
      </c>
      <c r="W112" s="68">
        <v>5.2209856571678996E-4</v>
      </c>
    </row>
    <row r="113" spans="1:23" x14ac:dyDescent="0.3">
      <c r="A113" s="44" t="s">
        <v>186</v>
      </c>
      <c r="B113" t="s">
        <v>166</v>
      </c>
      <c r="C113" s="45">
        <v>2009</v>
      </c>
      <c r="D113" s="91">
        <v>1488444</v>
      </c>
      <c r="E113" s="2">
        <v>746910</v>
      </c>
      <c r="F113" s="5">
        <v>0.50180591275184017</v>
      </c>
      <c r="G113" s="2">
        <v>741534</v>
      </c>
      <c r="H113" s="78">
        <v>0.49819408724815983</v>
      </c>
      <c r="I113" s="52">
        <v>23462</v>
      </c>
      <c r="J113" s="82">
        <v>1.576276971118833E-2</v>
      </c>
      <c r="K113" s="59">
        <v>65</v>
      </c>
      <c r="L113" s="60">
        <v>725</v>
      </c>
      <c r="M113" s="66">
        <v>1.0149364818918417E-3</v>
      </c>
      <c r="N113" s="67">
        <v>2.732539075308777E-4</v>
      </c>
      <c r="O113" s="67">
        <v>2.6450594697537448E-4</v>
      </c>
      <c r="P113" s="67">
        <v>3.0196123824238427E-4</v>
      </c>
      <c r="Q113" s="67">
        <v>3.146171109759423E-4</v>
      </c>
      <c r="R113" s="67">
        <v>2.974302030456853E-4</v>
      </c>
      <c r="S113" s="67">
        <v>3.7826012949105102E-4</v>
      </c>
      <c r="T113" s="67">
        <v>6.4348684069410783E-4</v>
      </c>
      <c r="U113" s="67">
        <v>1.0327733406774993E-3</v>
      </c>
      <c r="V113" s="67">
        <v>2.7704373028727305E-3</v>
      </c>
      <c r="W113" s="68">
        <v>4.8708584266522623E-4</v>
      </c>
    </row>
    <row r="114" spans="1:23" x14ac:dyDescent="0.3">
      <c r="A114" s="44" t="s">
        <v>180</v>
      </c>
      <c r="B114" t="s">
        <v>166</v>
      </c>
      <c r="C114" s="45">
        <v>2016</v>
      </c>
      <c r="D114" s="91">
        <v>1497693</v>
      </c>
      <c r="E114" s="2">
        <v>749600</v>
      </c>
      <c r="F114" s="5">
        <v>0.50050310711207169</v>
      </c>
      <c r="G114" s="2">
        <v>748094</v>
      </c>
      <c r="H114" s="78">
        <v>0.49949756058150768</v>
      </c>
      <c r="I114" s="52">
        <v>24205</v>
      </c>
      <c r="J114" s="82">
        <v>1.6161523089177822E-2</v>
      </c>
      <c r="K114" s="59">
        <v>87</v>
      </c>
      <c r="L114" s="60">
        <v>747</v>
      </c>
      <c r="M114" s="66">
        <v>1.1526491720136782E-3</v>
      </c>
      <c r="N114" s="67">
        <v>2.6750484852537952E-4</v>
      </c>
      <c r="O114" s="67">
        <v>2.8542885685742828E-4</v>
      </c>
      <c r="P114" s="67">
        <v>3.025138904294689E-4</v>
      </c>
      <c r="Q114" s="67">
        <v>3.249725127416306E-4</v>
      </c>
      <c r="R114" s="67">
        <v>3.2824014048678013E-4</v>
      </c>
      <c r="S114" s="67">
        <v>3.3122819414388552E-4</v>
      </c>
      <c r="T114" s="67">
        <v>4.7734595648196032E-4</v>
      </c>
      <c r="U114" s="67">
        <v>9.7570494682408038E-4</v>
      </c>
      <c r="V114" s="67">
        <v>3.5942986986159885E-3</v>
      </c>
      <c r="W114" s="68">
        <v>4.987671038056531E-4</v>
      </c>
    </row>
    <row r="115" spans="1:23" x14ac:dyDescent="0.3">
      <c r="A115" s="44" t="s">
        <v>174</v>
      </c>
      <c r="B115" t="s">
        <v>166</v>
      </c>
      <c r="C115" s="45">
        <v>2010</v>
      </c>
      <c r="D115" s="91">
        <v>1500717</v>
      </c>
      <c r="E115" s="2">
        <v>751041</v>
      </c>
      <c r="F115" s="5">
        <v>0.50045478261391052</v>
      </c>
      <c r="G115" s="2">
        <v>749677</v>
      </c>
      <c r="H115" s="78">
        <v>0.49954588373424169</v>
      </c>
      <c r="I115" s="52">
        <v>23351</v>
      </c>
      <c r="J115" s="82">
        <v>1.5559895703187211E-2</v>
      </c>
      <c r="K115" s="59">
        <v>103</v>
      </c>
      <c r="L115" s="60">
        <v>768</v>
      </c>
      <c r="M115" s="66">
        <v>1.0255270781878937E-3</v>
      </c>
      <c r="N115" s="67">
        <v>2.6501532671972865E-4</v>
      </c>
      <c r="O115" s="67">
        <v>2.7159767331326527E-4</v>
      </c>
      <c r="P115" s="67">
        <v>3.0251541568139078E-4</v>
      </c>
      <c r="Q115" s="67">
        <v>3.160772703566932E-4</v>
      </c>
      <c r="R115" s="67">
        <v>2.9431818739238992E-4</v>
      </c>
      <c r="S115" s="67">
        <v>3.6250271877039076E-4</v>
      </c>
      <c r="T115" s="67">
        <v>6.1104152027130249E-4</v>
      </c>
      <c r="U115" s="67">
        <v>1.1371787470039715E-3</v>
      </c>
      <c r="V115" s="67">
        <v>4.4109459980300626E-3</v>
      </c>
      <c r="W115" s="68">
        <v>5.117553809279164E-4</v>
      </c>
    </row>
    <row r="116" spans="1:23" x14ac:dyDescent="0.3">
      <c r="A116" s="44" t="s">
        <v>181</v>
      </c>
      <c r="B116" t="s">
        <v>166</v>
      </c>
      <c r="C116" s="45">
        <v>2011</v>
      </c>
      <c r="D116" s="91">
        <v>1528820</v>
      </c>
      <c r="E116" s="2">
        <v>765688</v>
      </c>
      <c r="F116" s="5">
        <v>0.50083593882863908</v>
      </c>
      <c r="G116" s="2">
        <v>763132</v>
      </c>
      <c r="H116" s="78">
        <v>0.49916406117136092</v>
      </c>
      <c r="I116" s="52">
        <v>24160</v>
      </c>
      <c r="J116" s="82">
        <v>1.5803037636870267E-2</v>
      </c>
      <c r="K116" s="59">
        <v>101</v>
      </c>
      <c r="L116" s="60">
        <v>761</v>
      </c>
      <c r="M116" s="66">
        <v>1.0195758564437193E-3</v>
      </c>
      <c r="N116" s="67">
        <v>2.6044944893237429E-4</v>
      </c>
      <c r="O116" s="67">
        <v>2.7002214181562887E-4</v>
      </c>
      <c r="P116" s="67">
        <v>2.9553738547926311E-4</v>
      </c>
      <c r="Q116" s="67">
        <v>3.1612723067277144E-4</v>
      </c>
      <c r="R116" s="67">
        <v>2.9269434904776771E-4</v>
      </c>
      <c r="S116" s="67">
        <v>3.4669856293445664E-4</v>
      </c>
      <c r="T116" s="67">
        <v>5.7551196585295665E-4</v>
      </c>
      <c r="U116" s="67">
        <v>1.0071169598496038E-3</v>
      </c>
      <c r="V116" s="67">
        <v>4.1804635761589406E-3</v>
      </c>
      <c r="W116" s="68">
        <v>4.9776952159181586E-4</v>
      </c>
    </row>
    <row r="117" spans="1:23" x14ac:dyDescent="0.3">
      <c r="A117" s="44" t="s">
        <v>143</v>
      </c>
      <c r="B117" t="s">
        <v>144</v>
      </c>
      <c r="C117" s="45">
        <v>2015</v>
      </c>
      <c r="D117" s="91">
        <v>1533895</v>
      </c>
      <c r="E117" s="2">
        <v>757361</v>
      </c>
      <c r="F117" s="5">
        <v>0.49375022410269281</v>
      </c>
      <c r="G117" s="2">
        <v>776536</v>
      </c>
      <c r="H117" s="78">
        <v>0.50625107976751993</v>
      </c>
      <c r="I117" s="52">
        <v>32746</v>
      </c>
      <c r="J117" s="82">
        <v>2.1348266993503468E-2</v>
      </c>
      <c r="K117" s="59">
        <v>212</v>
      </c>
      <c r="L117" s="60">
        <v>955</v>
      </c>
      <c r="M117" s="66">
        <v>1.3817243920412675E-3</v>
      </c>
      <c r="N117" s="67">
        <v>3.3738191632928474E-4</v>
      </c>
      <c r="O117" s="67">
        <v>2.952973890789182E-4</v>
      </c>
      <c r="P117" s="67">
        <v>3.2432081815331724E-4</v>
      </c>
      <c r="Q117" s="67">
        <v>3.1465505939114245E-4</v>
      </c>
      <c r="R117" s="67">
        <v>2.8421202216853773E-4</v>
      </c>
      <c r="S117" s="67">
        <v>2.7234846077728249E-4</v>
      </c>
      <c r="T117" s="67">
        <v>5.7737897117860035E-4</v>
      </c>
      <c r="U117" s="67">
        <v>1.4801991996889073E-3</v>
      </c>
      <c r="V117" s="67">
        <v>6.4740731692420452E-3</v>
      </c>
      <c r="W117" s="68">
        <v>6.2259802659243304E-4</v>
      </c>
    </row>
    <row r="118" spans="1:23" x14ac:dyDescent="0.3">
      <c r="A118" s="44" t="s">
        <v>185</v>
      </c>
      <c r="B118" t="s">
        <v>166</v>
      </c>
      <c r="C118" s="45">
        <v>2012</v>
      </c>
      <c r="D118" s="91">
        <v>1536462</v>
      </c>
      <c r="E118" s="2">
        <v>769619</v>
      </c>
      <c r="F118" s="5">
        <v>0.5009033741153377</v>
      </c>
      <c r="G118" s="2">
        <v>766846</v>
      </c>
      <c r="H118" s="78">
        <v>0.49909857842237554</v>
      </c>
      <c r="I118" s="52">
        <v>24008</v>
      </c>
      <c r="J118" s="82">
        <v>1.5625508473362831E-2</v>
      </c>
      <c r="K118" s="59">
        <v>91</v>
      </c>
      <c r="L118" s="60">
        <v>751</v>
      </c>
      <c r="M118" s="66">
        <v>1.0164839819065852E-3</v>
      </c>
      <c r="N118" s="67">
        <v>2.5785268875891203E-4</v>
      </c>
      <c r="O118" s="67">
        <v>2.6887502688750271E-4</v>
      </c>
      <c r="P118" s="67">
        <v>2.923791377739227E-4</v>
      </c>
      <c r="Q118" s="67">
        <v>3.1816735602927139E-4</v>
      </c>
      <c r="R118" s="67">
        <v>2.9639875512522848E-4</v>
      </c>
      <c r="S118" s="67">
        <v>3.4025178632187818E-4</v>
      </c>
      <c r="T118" s="67">
        <v>5.548619780829519E-4</v>
      </c>
      <c r="U118" s="67">
        <v>1.009421265141319E-3</v>
      </c>
      <c r="V118" s="67">
        <v>3.7904031989336889E-3</v>
      </c>
      <c r="W118" s="68">
        <v>4.8878527422090493E-4</v>
      </c>
    </row>
    <row r="119" spans="1:23" x14ac:dyDescent="0.3">
      <c r="A119" s="44" t="s">
        <v>178</v>
      </c>
      <c r="B119" t="s">
        <v>166</v>
      </c>
      <c r="C119" s="45">
        <v>2013</v>
      </c>
      <c r="D119" s="91">
        <v>1551162</v>
      </c>
      <c r="E119" s="2">
        <v>775924</v>
      </c>
      <c r="F119" s="5">
        <v>0.50022112455049828</v>
      </c>
      <c r="G119" s="2">
        <v>775241</v>
      </c>
      <c r="H119" s="78">
        <v>0.49978080948347109</v>
      </c>
      <c r="I119" s="52">
        <v>24574</v>
      </c>
      <c r="J119" s="82">
        <v>1.584231692112107E-2</v>
      </c>
      <c r="K119" s="59">
        <v>119</v>
      </c>
      <c r="L119" s="60">
        <v>786</v>
      </c>
      <c r="M119" s="66">
        <v>1.0401678137406168E-3</v>
      </c>
      <c r="N119" s="67">
        <v>2.5557145777959517E-4</v>
      </c>
      <c r="O119" s="67">
        <v>2.7176374671618808E-4</v>
      </c>
      <c r="P119" s="67">
        <v>2.908329455560726E-4</v>
      </c>
      <c r="Q119" s="67">
        <v>3.1510619078629497E-4</v>
      </c>
      <c r="R119" s="67">
        <v>2.9773719730051605E-4</v>
      </c>
      <c r="S119" s="67">
        <v>3.2760211630967134E-4</v>
      </c>
      <c r="T119" s="67">
        <v>5.251273433807698E-4</v>
      </c>
      <c r="U119" s="67">
        <v>1.1018468268455934E-3</v>
      </c>
      <c r="V119" s="67">
        <v>4.8425164808334016E-3</v>
      </c>
      <c r="W119" s="68">
        <v>5.0671689997563117E-4</v>
      </c>
    </row>
    <row r="120" spans="1:23" x14ac:dyDescent="0.3">
      <c r="A120" s="44" t="s">
        <v>155</v>
      </c>
      <c r="B120" t="s">
        <v>144</v>
      </c>
      <c r="C120" s="45">
        <v>2017</v>
      </c>
      <c r="D120" s="91">
        <v>1555888</v>
      </c>
      <c r="E120" s="2">
        <v>770112</v>
      </c>
      <c r="F120" s="5">
        <v>0.4949662186481289</v>
      </c>
      <c r="G120" s="2">
        <v>785779</v>
      </c>
      <c r="H120" s="78">
        <v>0.50503570951122445</v>
      </c>
      <c r="I120" s="52">
        <v>32887</v>
      </c>
      <c r="J120" s="82">
        <v>2.1137125551453573E-2</v>
      </c>
      <c r="K120" s="59">
        <v>170</v>
      </c>
      <c r="L120" s="60">
        <v>914</v>
      </c>
      <c r="M120" s="66">
        <v>1.4001680201624195E-3</v>
      </c>
      <c r="N120" s="67">
        <v>3.3153384131685241E-4</v>
      </c>
      <c r="O120" s="67">
        <v>3.0124716325587934E-4</v>
      </c>
      <c r="P120" s="67">
        <v>3.1932558436581937E-4</v>
      </c>
      <c r="Q120" s="67">
        <v>3.1808976493166372E-4</v>
      </c>
      <c r="R120" s="67">
        <v>2.8834370569719105E-4</v>
      </c>
      <c r="S120" s="67">
        <v>2.665339919684424E-4</v>
      </c>
      <c r="T120" s="67">
        <v>4.7907722356322897E-4</v>
      </c>
      <c r="U120" s="67">
        <v>1.4882006944936575E-3</v>
      </c>
      <c r="V120" s="67">
        <v>5.1692157995560555E-3</v>
      </c>
      <c r="W120" s="68">
        <v>5.8744588299414863E-4</v>
      </c>
    </row>
    <row r="121" spans="1:23" x14ac:dyDescent="0.3">
      <c r="A121" s="44" t="s">
        <v>163</v>
      </c>
      <c r="B121" t="s">
        <v>144</v>
      </c>
      <c r="C121" s="45">
        <v>2014</v>
      </c>
      <c r="D121" s="91">
        <v>1647510</v>
      </c>
      <c r="E121" s="2">
        <v>812969</v>
      </c>
      <c r="F121" s="5">
        <v>0.49345315051198474</v>
      </c>
      <c r="G121" s="2">
        <v>834543</v>
      </c>
      <c r="H121" s="78">
        <v>0.50654806344119307</v>
      </c>
      <c r="I121" s="52">
        <v>33856</v>
      </c>
      <c r="J121" s="82">
        <v>2.0549799394237366E-2</v>
      </c>
      <c r="K121" s="59">
        <v>184</v>
      </c>
      <c r="L121" s="60">
        <v>906</v>
      </c>
      <c r="M121" s="66">
        <v>1.2937865899019956E-3</v>
      </c>
      <c r="N121" s="67">
        <v>3.1417889346193722E-4</v>
      </c>
      <c r="O121" s="67">
        <v>2.8072145413713241E-4</v>
      </c>
      <c r="P121" s="67">
        <v>3.0431364593107296E-4</v>
      </c>
      <c r="Q121" s="67">
        <v>2.9191824343062321E-4</v>
      </c>
      <c r="R121" s="67">
        <v>2.5888850535036245E-4</v>
      </c>
      <c r="S121" s="67">
        <v>3.0468844562980769E-4</v>
      </c>
      <c r="T121" s="67">
        <v>4.9686074348434886E-4</v>
      </c>
      <c r="U121" s="67">
        <v>1.0555663916839726E-3</v>
      </c>
      <c r="V121" s="67">
        <v>5.434782608695652E-3</v>
      </c>
      <c r="W121" s="68">
        <v>5.4992078955514681E-4</v>
      </c>
    </row>
    <row r="122" spans="1:23" x14ac:dyDescent="0.3">
      <c r="A122" s="44" t="s">
        <v>167</v>
      </c>
      <c r="B122" t="s">
        <v>168</v>
      </c>
      <c r="C122" s="45">
        <v>2015</v>
      </c>
      <c r="D122" s="91">
        <v>1649653</v>
      </c>
      <c r="E122" s="2">
        <v>819633</v>
      </c>
      <c r="F122" s="5">
        <v>0.49685176215846605</v>
      </c>
      <c r="G122" s="2">
        <v>830024</v>
      </c>
      <c r="H122" s="78">
        <v>0.50315066259389096</v>
      </c>
      <c r="I122" s="52">
        <v>32711</v>
      </c>
      <c r="J122" s="82">
        <v>1.9829018587545381E-2</v>
      </c>
      <c r="K122" s="59">
        <v>198</v>
      </c>
      <c r="L122" s="60">
        <v>873</v>
      </c>
      <c r="M122" s="66">
        <v>1.0484286675345325E-3</v>
      </c>
      <c r="N122" s="67">
        <v>2.6365282196403776E-4</v>
      </c>
      <c r="O122" s="67">
        <v>2.5269328930854691E-4</v>
      </c>
      <c r="P122" s="67">
        <v>2.6399968320038017E-4</v>
      </c>
      <c r="Q122" s="67">
        <v>2.9710177221207122E-4</v>
      </c>
      <c r="R122" s="67">
        <v>2.8012643039558523E-4</v>
      </c>
      <c r="S122" s="67">
        <v>2.986188876446435E-4</v>
      </c>
      <c r="T122" s="67">
        <v>4.8904936953385444E-4</v>
      </c>
      <c r="U122" s="67">
        <v>1.0699306684926818E-3</v>
      </c>
      <c r="V122" s="67">
        <v>6.0530096909296571E-3</v>
      </c>
      <c r="W122" s="68">
        <v>5.2920220191761543E-4</v>
      </c>
    </row>
    <row r="123" spans="1:23" x14ac:dyDescent="0.3">
      <c r="A123" s="44" t="s">
        <v>164</v>
      </c>
      <c r="B123" t="s">
        <v>144</v>
      </c>
      <c r="C123" s="45">
        <v>2012</v>
      </c>
      <c r="D123" s="91">
        <v>1664880</v>
      </c>
      <c r="E123" s="2">
        <v>821652</v>
      </c>
      <c r="F123" s="5">
        <v>0.49352025371197922</v>
      </c>
      <c r="G123" s="2">
        <v>843231</v>
      </c>
      <c r="H123" s="78">
        <v>0.50648154821969149</v>
      </c>
      <c r="I123" s="52">
        <v>32615</v>
      </c>
      <c r="J123" s="82">
        <v>1.9590000480515114E-2</v>
      </c>
      <c r="K123" s="59">
        <v>175</v>
      </c>
      <c r="L123" s="60">
        <v>893</v>
      </c>
      <c r="M123" s="66">
        <v>1.2562156503533107E-3</v>
      </c>
      <c r="N123" s="67">
        <v>3.055627702320749E-4</v>
      </c>
      <c r="O123" s="67">
        <v>2.7423431493982844E-4</v>
      </c>
      <c r="P123" s="67">
        <v>2.9945798105429172E-4</v>
      </c>
      <c r="Q123" s="67">
        <v>2.8068337044591233E-4</v>
      </c>
      <c r="R123" s="67">
        <v>2.4629834118067214E-4</v>
      </c>
      <c r="S123" s="67">
        <v>2.5902150310178252E-4</v>
      </c>
      <c r="T123" s="67">
        <v>4.1110532518431225E-4</v>
      </c>
      <c r="U123" s="67">
        <v>1.3661676681370335E-3</v>
      </c>
      <c r="V123" s="67">
        <v>5.3656293116664108E-3</v>
      </c>
      <c r="W123" s="68">
        <v>5.3637499399356112E-4</v>
      </c>
    </row>
    <row r="124" spans="1:23" x14ac:dyDescent="0.3">
      <c r="A124" s="44" t="s">
        <v>177</v>
      </c>
      <c r="B124" t="s">
        <v>168</v>
      </c>
      <c r="C124" s="45">
        <v>2014</v>
      </c>
      <c r="D124" s="91">
        <v>1667899</v>
      </c>
      <c r="E124" s="2">
        <v>830346</v>
      </c>
      <c r="F124" s="5">
        <v>0.49783949747556655</v>
      </c>
      <c r="G124" s="2">
        <v>837558</v>
      </c>
      <c r="H124" s="78">
        <v>0.50216350030787238</v>
      </c>
      <c r="I124" s="52">
        <v>34293</v>
      </c>
      <c r="J124" s="82">
        <v>2.0560597494212778E-2</v>
      </c>
      <c r="K124" s="59">
        <v>166</v>
      </c>
      <c r="L124" s="60">
        <v>847</v>
      </c>
      <c r="M124" s="66">
        <v>1.0151768945738794E-3</v>
      </c>
      <c r="N124" s="67">
        <v>2.592016588906169E-4</v>
      </c>
      <c r="O124" s="67">
        <v>2.5589627670917389E-4</v>
      </c>
      <c r="P124" s="67">
        <v>2.6164996467725477E-4</v>
      </c>
      <c r="Q124" s="67">
        <v>2.9604484092523881E-4</v>
      </c>
      <c r="R124" s="67">
        <v>2.6663704032885236E-4</v>
      </c>
      <c r="S124" s="67">
        <v>2.9545152379123398E-4</v>
      </c>
      <c r="T124" s="67">
        <v>5.052333757167998E-4</v>
      </c>
      <c r="U124" s="67">
        <v>1.0997067448680353E-3</v>
      </c>
      <c r="V124" s="67">
        <v>4.8406380310850611E-3</v>
      </c>
      <c r="W124" s="68">
        <v>5.0782451455393877E-4</v>
      </c>
    </row>
    <row r="125" spans="1:23" x14ac:dyDescent="0.3">
      <c r="A125" s="44" t="s">
        <v>176</v>
      </c>
      <c r="B125" t="s">
        <v>144</v>
      </c>
      <c r="C125" s="45">
        <v>2016</v>
      </c>
      <c r="D125" s="91">
        <v>1685021</v>
      </c>
      <c r="E125" s="2">
        <v>832920</v>
      </c>
      <c r="F125" s="5">
        <v>0.49430837953948348</v>
      </c>
      <c r="G125" s="2">
        <v>852103</v>
      </c>
      <c r="H125" s="78">
        <v>0.50569280738934408</v>
      </c>
      <c r="I125" s="52">
        <v>34620</v>
      </c>
      <c r="J125" s="82">
        <v>2.0545738005639098E-2</v>
      </c>
      <c r="K125" s="59">
        <v>158</v>
      </c>
      <c r="L125" s="60">
        <v>857</v>
      </c>
      <c r="M125" s="66">
        <v>1.2646221941195069E-3</v>
      </c>
      <c r="N125" s="67">
        <v>3.0574338957313127E-4</v>
      </c>
      <c r="O125" s="67">
        <v>2.7624309392265195E-4</v>
      </c>
      <c r="P125" s="67">
        <v>2.9561164512807372E-4</v>
      </c>
      <c r="Q125" s="67">
        <v>2.8798940199000676E-4</v>
      </c>
      <c r="R125" s="67">
        <v>2.6179266893262766E-4</v>
      </c>
      <c r="S125" s="67">
        <v>2.4727176815799015E-4</v>
      </c>
      <c r="T125" s="67">
        <v>3.99009517550551E-4</v>
      </c>
      <c r="U125" s="67">
        <v>1.0264161158609489E-3</v>
      </c>
      <c r="V125" s="67">
        <v>4.5638359329867127E-3</v>
      </c>
      <c r="W125" s="68">
        <v>5.0859900262370614E-4</v>
      </c>
    </row>
    <row r="126" spans="1:23" x14ac:dyDescent="0.3">
      <c r="A126" s="44" t="s">
        <v>187</v>
      </c>
      <c r="B126" t="s">
        <v>168</v>
      </c>
      <c r="C126" s="45">
        <v>2012</v>
      </c>
      <c r="D126" s="91">
        <v>1704944</v>
      </c>
      <c r="E126" s="2">
        <v>847424</v>
      </c>
      <c r="F126" s="5">
        <v>0.4970391989414315</v>
      </c>
      <c r="G126" s="2">
        <v>857523</v>
      </c>
      <c r="H126" s="78">
        <v>0.50296256064715317</v>
      </c>
      <c r="I126" s="52">
        <v>34215</v>
      </c>
      <c r="J126" s="82">
        <v>2.0068107808819527E-2</v>
      </c>
      <c r="K126" s="59">
        <v>157</v>
      </c>
      <c r="L126" s="60">
        <v>828</v>
      </c>
      <c r="M126" s="66">
        <v>9.7973579791316265E-4</v>
      </c>
      <c r="N126" s="67">
        <v>2.5615738309617427E-4</v>
      </c>
      <c r="O126" s="67">
        <v>2.440631635467259E-4</v>
      </c>
      <c r="P126" s="67">
        <v>2.5814445763849451E-4</v>
      </c>
      <c r="Q126" s="67">
        <v>2.8565987430965528E-4</v>
      </c>
      <c r="R126" s="67">
        <v>2.5264328032035166E-4</v>
      </c>
      <c r="S126" s="67">
        <v>3.0279938027060171E-4</v>
      </c>
      <c r="T126" s="67">
        <v>5.2479205114973196E-4</v>
      </c>
      <c r="U126" s="67">
        <v>9.2947752889889642E-4</v>
      </c>
      <c r="V126" s="67">
        <v>4.588630717521555E-3</v>
      </c>
      <c r="W126" s="68">
        <v>4.8564644938484781E-4</v>
      </c>
    </row>
    <row r="127" spans="1:23" x14ac:dyDescent="0.3">
      <c r="A127" s="44" t="s">
        <v>169</v>
      </c>
      <c r="B127" t="s">
        <v>168</v>
      </c>
      <c r="C127" s="45">
        <v>2017</v>
      </c>
      <c r="D127" s="91">
        <v>1705683</v>
      </c>
      <c r="E127" s="2">
        <v>848480</v>
      </c>
      <c r="F127" s="5">
        <v>0.49744295979968139</v>
      </c>
      <c r="G127" s="2">
        <v>857207</v>
      </c>
      <c r="H127" s="78">
        <v>0.50255938530195821</v>
      </c>
      <c r="I127" s="52">
        <v>34111</v>
      </c>
      <c r="J127" s="82">
        <v>1.9998440507409641E-2</v>
      </c>
      <c r="K127" s="59">
        <v>215</v>
      </c>
      <c r="L127" s="60">
        <v>893</v>
      </c>
      <c r="M127" s="66">
        <v>1.0029168164077192E-3</v>
      </c>
      <c r="N127" s="67">
        <v>2.5140051034303599E-4</v>
      </c>
      <c r="O127" s="67">
        <v>2.4807740014884643E-4</v>
      </c>
      <c r="P127" s="67">
        <v>2.5580899594969088E-4</v>
      </c>
      <c r="Q127" s="67">
        <v>2.8677535452603203E-4</v>
      </c>
      <c r="R127" s="67">
        <v>2.8567347521782604E-4</v>
      </c>
      <c r="S127" s="67">
        <v>2.8547910530848399E-4</v>
      </c>
      <c r="T127" s="67">
        <v>4.4386905862770485E-4</v>
      </c>
      <c r="U127" s="67">
        <v>1.0786740606546722E-3</v>
      </c>
      <c r="V127" s="67">
        <v>6.3029521268798917E-3</v>
      </c>
      <c r="W127" s="68">
        <v>5.2354394104883501E-4</v>
      </c>
    </row>
    <row r="128" spans="1:23" x14ac:dyDescent="0.3">
      <c r="A128" s="44" t="s">
        <v>162</v>
      </c>
      <c r="B128" t="s">
        <v>144</v>
      </c>
      <c r="C128" s="45">
        <v>2013</v>
      </c>
      <c r="D128" s="91">
        <v>1710460</v>
      </c>
      <c r="E128" s="2">
        <v>844738</v>
      </c>
      <c r="F128" s="5">
        <v>0.49386597757328438</v>
      </c>
      <c r="G128" s="2">
        <v>865722</v>
      </c>
      <c r="H128" s="78">
        <v>0.50613402242671557</v>
      </c>
      <c r="I128" s="52">
        <v>33599</v>
      </c>
      <c r="J128" s="82">
        <v>1.9643253861534322E-2</v>
      </c>
      <c r="K128" s="59">
        <v>199</v>
      </c>
      <c r="L128" s="60">
        <v>944</v>
      </c>
      <c r="M128" s="66">
        <v>1.2522436031222608E-3</v>
      </c>
      <c r="N128" s="67">
        <v>3.0179872037342561E-4</v>
      </c>
      <c r="O128" s="67">
        <v>2.7104800711952765E-4</v>
      </c>
      <c r="P128" s="67">
        <v>2.9388138947120942E-4</v>
      </c>
      <c r="Q128" s="67">
        <v>2.7529376138454408E-4</v>
      </c>
      <c r="R128" s="67">
        <v>2.4088839640594513E-4</v>
      </c>
      <c r="S128" s="67">
        <v>2.4385485758876316E-4</v>
      </c>
      <c r="T128" s="67">
        <v>5.3241221691252853E-4</v>
      </c>
      <c r="U128" s="67">
        <v>1.3795423956931359E-3</v>
      </c>
      <c r="V128" s="67">
        <v>5.9227953212893239E-3</v>
      </c>
      <c r="W128" s="68">
        <v>5.5189831975024266E-4</v>
      </c>
    </row>
    <row r="129" spans="1:23" x14ac:dyDescent="0.3">
      <c r="A129" s="44" t="s">
        <v>172</v>
      </c>
      <c r="B129" t="s">
        <v>144</v>
      </c>
      <c r="C129" s="45">
        <v>2011</v>
      </c>
      <c r="D129" s="91">
        <v>1715461</v>
      </c>
      <c r="E129" s="2">
        <v>843577</v>
      </c>
      <c r="F129" s="5">
        <v>0.49174944810753496</v>
      </c>
      <c r="G129" s="2">
        <v>871884</v>
      </c>
      <c r="H129" s="78">
        <v>0.50825055189246504</v>
      </c>
      <c r="I129" s="52">
        <v>34062</v>
      </c>
      <c r="J129" s="82">
        <v>1.9855887134711894E-2</v>
      </c>
      <c r="K129" s="59">
        <v>164</v>
      </c>
      <c r="L129" s="60">
        <v>888</v>
      </c>
      <c r="M129" s="66">
        <v>1.2383261957587327E-3</v>
      </c>
      <c r="N129" s="67">
        <v>3.0113679138748774E-4</v>
      </c>
      <c r="O129" s="67">
        <v>2.666536302669647E-4</v>
      </c>
      <c r="P129" s="67">
        <v>2.9316629369399304E-4</v>
      </c>
      <c r="Q129" s="67">
        <v>2.7082045055495626E-4</v>
      </c>
      <c r="R129" s="67">
        <v>2.3470780833760371E-4</v>
      </c>
      <c r="S129" s="67">
        <v>2.5248274701228748E-4</v>
      </c>
      <c r="T129" s="67">
        <v>4.5836001482929458E-4</v>
      </c>
      <c r="U129" s="67">
        <v>1.2607736367885051E-3</v>
      </c>
      <c r="V129" s="67">
        <v>4.8147495743056778E-3</v>
      </c>
      <c r="W129" s="68">
        <v>5.1764511113922148E-4</v>
      </c>
    </row>
    <row r="130" spans="1:23" x14ac:dyDescent="0.3">
      <c r="A130" s="44" t="s">
        <v>179</v>
      </c>
      <c r="B130" t="s">
        <v>168</v>
      </c>
      <c r="C130" s="45">
        <v>2013</v>
      </c>
      <c r="D130" s="91">
        <v>1724851</v>
      </c>
      <c r="E130" s="2">
        <v>857298</v>
      </c>
      <c r="F130" s="5">
        <v>0.49702727945776187</v>
      </c>
      <c r="G130" s="2">
        <v>867555</v>
      </c>
      <c r="H130" s="78">
        <v>0.50297388006268362</v>
      </c>
      <c r="I130" s="52">
        <v>35186</v>
      </c>
      <c r="J130" s="82">
        <v>2.0399443198282054E-2</v>
      </c>
      <c r="K130" s="59">
        <v>207</v>
      </c>
      <c r="L130" s="60">
        <v>873</v>
      </c>
      <c r="M130" s="66">
        <v>9.7425530360230903E-4</v>
      </c>
      <c r="N130" s="67">
        <v>2.5043304046580545E-4</v>
      </c>
      <c r="O130" s="67">
        <v>2.4450475561749678E-4</v>
      </c>
      <c r="P130" s="67">
        <v>2.5346936189088145E-4</v>
      </c>
      <c r="Q130" s="67">
        <v>2.8551714292512312E-4</v>
      </c>
      <c r="R130" s="67">
        <v>2.5375128990239032E-4</v>
      </c>
      <c r="S130" s="67">
        <v>2.9314480864972613E-4</v>
      </c>
      <c r="T130" s="67">
        <v>5.0612410162971955E-4</v>
      </c>
      <c r="U130" s="67">
        <v>8.6989758932925619E-4</v>
      </c>
      <c r="V130" s="67">
        <v>5.8830216563405899E-3</v>
      </c>
      <c r="W130" s="68">
        <v>5.0613067447565039E-4</v>
      </c>
    </row>
    <row r="131" spans="1:23" x14ac:dyDescent="0.3">
      <c r="A131" s="44" t="s">
        <v>189</v>
      </c>
      <c r="B131" t="s">
        <v>168</v>
      </c>
      <c r="C131" s="45">
        <v>2010</v>
      </c>
      <c r="D131" s="91">
        <v>1736362</v>
      </c>
      <c r="E131" s="2">
        <v>859343</v>
      </c>
      <c r="F131" s="5">
        <v>0.49491004755920714</v>
      </c>
      <c r="G131" s="2">
        <v>877021</v>
      </c>
      <c r="H131" s="78">
        <v>0.50509110427433912</v>
      </c>
      <c r="I131" s="52">
        <v>35813</v>
      </c>
      <c r="J131" s="82">
        <v>2.0625307395577649E-2</v>
      </c>
      <c r="K131" s="59">
        <v>149</v>
      </c>
      <c r="L131" s="60">
        <v>809</v>
      </c>
      <c r="M131" s="66">
        <v>9.5655639697090472E-4</v>
      </c>
      <c r="N131" s="67">
        <v>2.5259010099394207E-4</v>
      </c>
      <c r="O131" s="67">
        <v>2.3701643708991219E-4</v>
      </c>
      <c r="P131" s="67">
        <v>2.6268092148467258E-4</v>
      </c>
      <c r="Q131" s="67">
        <v>2.7365022028842732E-4</v>
      </c>
      <c r="R131" s="67">
        <v>2.4072313228939735E-4</v>
      </c>
      <c r="S131" s="67">
        <v>3.1234545407220383E-4</v>
      </c>
      <c r="T131" s="67">
        <v>5.2697682180278768E-4</v>
      </c>
      <c r="U131" s="67">
        <v>7.3251129288243199E-4</v>
      </c>
      <c r="V131" s="67">
        <v>4.1605003769580881E-3</v>
      </c>
      <c r="W131" s="68">
        <v>4.659166694502644E-4</v>
      </c>
    </row>
    <row r="132" spans="1:23" x14ac:dyDescent="0.3">
      <c r="A132" s="44" t="s">
        <v>190</v>
      </c>
      <c r="B132" t="s">
        <v>168</v>
      </c>
      <c r="C132" s="45">
        <v>2009</v>
      </c>
      <c r="D132" s="91">
        <v>1736643</v>
      </c>
      <c r="E132" s="2">
        <v>859996</v>
      </c>
      <c r="F132" s="5">
        <v>0.49520598073409444</v>
      </c>
      <c r="G132" s="2">
        <v>876648</v>
      </c>
      <c r="H132" s="78">
        <v>0.50479459508949165</v>
      </c>
      <c r="I132" s="52">
        <v>36167</v>
      </c>
      <c r="J132" s="82">
        <v>2.0825811637740169E-2</v>
      </c>
      <c r="K132" s="59">
        <v>135</v>
      </c>
      <c r="L132" s="60">
        <v>800</v>
      </c>
      <c r="M132" s="66">
        <v>9.3528600266556516E-4</v>
      </c>
      <c r="N132" s="67">
        <v>2.5641135218526577E-4</v>
      </c>
      <c r="O132" s="67">
        <v>2.2465767786335571E-4</v>
      </c>
      <c r="P132" s="67">
        <v>2.7251545389719807E-4</v>
      </c>
      <c r="Q132" s="67">
        <v>2.6737372161939353E-4</v>
      </c>
      <c r="R132" s="67">
        <v>2.4110328864885718E-4</v>
      </c>
      <c r="S132" s="67">
        <v>3.2691490405047568E-4</v>
      </c>
      <c r="T132" s="67">
        <v>5.3422132789614739E-4</v>
      </c>
      <c r="U132" s="67">
        <v>7.815036129513183E-4</v>
      </c>
      <c r="V132" s="67">
        <v>3.7326844913871762E-3</v>
      </c>
      <c r="W132" s="68">
        <v>4.6065886886366398E-4</v>
      </c>
    </row>
    <row r="133" spans="1:23" x14ac:dyDescent="0.3">
      <c r="A133" s="44" t="s">
        <v>184</v>
      </c>
      <c r="B133" t="s">
        <v>168</v>
      </c>
      <c r="C133" s="45">
        <v>2011</v>
      </c>
      <c r="D133" s="91">
        <v>1738913</v>
      </c>
      <c r="E133" s="2">
        <v>861857</v>
      </c>
      <c r="F133" s="5">
        <v>0.49562974110838209</v>
      </c>
      <c r="G133" s="2">
        <v>877059</v>
      </c>
      <c r="H133" s="78">
        <v>0.50437198410731299</v>
      </c>
      <c r="I133" s="52">
        <v>35785</v>
      </c>
      <c r="J133" s="82">
        <v>2.0578947882959067E-2</v>
      </c>
      <c r="K133" s="59">
        <v>194</v>
      </c>
      <c r="L133" s="60">
        <v>854</v>
      </c>
      <c r="M133" s="66">
        <v>9.5910228026567133E-4</v>
      </c>
      <c r="N133" s="67">
        <v>2.5210189958781338E-4</v>
      </c>
      <c r="O133" s="67">
        <v>2.3942537909018357E-4</v>
      </c>
      <c r="P133" s="67">
        <v>2.5846471956577927E-4</v>
      </c>
      <c r="Q133" s="67">
        <v>2.7601562248423262E-4</v>
      </c>
      <c r="R133" s="67">
        <v>2.4190329512605176E-4</v>
      </c>
      <c r="S133" s="67">
        <v>3.0167732593218291E-4</v>
      </c>
      <c r="T133" s="67">
        <v>5.2113642483041353E-4</v>
      </c>
      <c r="U133" s="67">
        <v>7.4704915583445391E-4</v>
      </c>
      <c r="V133" s="67">
        <v>5.421265893530809E-3</v>
      </c>
      <c r="W133" s="68">
        <v>4.9111140120293537E-4</v>
      </c>
    </row>
    <row r="134" spans="1:23" x14ac:dyDescent="0.3">
      <c r="A134" s="44" t="s">
        <v>175</v>
      </c>
      <c r="B134" t="s">
        <v>144</v>
      </c>
      <c r="C134" s="45">
        <v>2009</v>
      </c>
      <c r="D134" s="91">
        <v>1771937</v>
      </c>
      <c r="E134" s="2">
        <v>866678</v>
      </c>
      <c r="F134" s="5">
        <v>0.48911332626385701</v>
      </c>
      <c r="G134" s="2">
        <v>905259</v>
      </c>
      <c r="H134" s="78">
        <v>0.51088667373614294</v>
      </c>
      <c r="I134" s="52">
        <v>35082</v>
      </c>
      <c r="J134" s="82">
        <v>1.9798672300426031E-2</v>
      </c>
      <c r="K134" s="59">
        <v>174</v>
      </c>
      <c r="L134" s="60">
        <v>903</v>
      </c>
      <c r="M134" s="66">
        <v>1.1641217671368425E-3</v>
      </c>
      <c r="N134" s="67">
        <v>2.8961722257083556E-4</v>
      </c>
      <c r="O134" s="67">
        <v>2.5442163601592678E-4</v>
      </c>
      <c r="P134" s="67">
        <v>2.7611088613187056E-4</v>
      </c>
      <c r="Q134" s="67">
        <v>2.535550531409132E-4</v>
      </c>
      <c r="R134" s="67">
        <v>2.4197391148966584E-4</v>
      </c>
      <c r="S134" s="67">
        <v>2.6278331325960803E-4</v>
      </c>
      <c r="T134" s="67">
        <v>4.5182502554549182E-4</v>
      </c>
      <c r="U134" s="67">
        <v>1.2289706596164372E-3</v>
      </c>
      <c r="V134" s="67">
        <v>4.9598084487771504E-3</v>
      </c>
      <c r="W134" s="68">
        <v>5.0961179771064091E-4</v>
      </c>
    </row>
    <row r="135" spans="1:23" x14ac:dyDescent="0.3">
      <c r="A135" s="44" t="s">
        <v>173</v>
      </c>
      <c r="B135" t="s">
        <v>144</v>
      </c>
      <c r="C135" s="45">
        <v>2010</v>
      </c>
      <c r="D135" s="91">
        <v>1772884</v>
      </c>
      <c r="E135" s="2">
        <v>871083</v>
      </c>
      <c r="F135" s="5">
        <v>0.49133671464122863</v>
      </c>
      <c r="G135" s="2">
        <v>901801</v>
      </c>
      <c r="H135" s="78">
        <v>0.50866328535877137</v>
      </c>
      <c r="I135" s="52">
        <v>34000</v>
      </c>
      <c r="J135" s="82">
        <v>1.9177791666008605E-2</v>
      </c>
      <c r="K135" s="59">
        <v>186</v>
      </c>
      <c r="L135" s="60">
        <v>909</v>
      </c>
      <c r="M135" s="66">
        <v>1.1941605548866044E-3</v>
      </c>
      <c r="N135" s="67">
        <v>2.8862388939932557E-4</v>
      </c>
      <c r="O135" s="67">
        <v>2.5835676485659045E-4</v>
      </c>
      <c r="P135" s="67">
        <v>2.8256170441220101E-4</v>
      </c>
      <c r="Q135" s="67">
        <v>2.5700334104343357E-4</v>
      </c>
      <c r="R135" s="67">
        <v>2.2339962096530976E-4</v>
      </c>
      <c r="S135" s="67">
        <v>2.5102291839244922E-4</v>
      </c>
      <c r="T135" s="67">
        <v>3.9969090569959233E-4</v>
      </c>
      <c r="U135" s="67">
        <v>1.2901466361786487E-3</v>
      </c>
      <c r="V135" s="67">
        <v>5.4705882352941177E-3</v>
      </c>
      <c r="W135" s="68">
        <v>5.127239007177006E-4</v>
      </c>
    </row>
    <row r="136" spans="1:23" x14ac:dyDescent="0.3">
      <c r="A136" s="44" t="s">
        <v>188</v>
      </c>
      <c r="B136" t="s">
        <v>168</v>
      </c>
      <c r="C136" s="45">
        <v>2016</v>
      </c>
      <c r="D136" s="91">
        <v>1795084</v>
      </c>
      <c r="E136" s="2">
        <v>895157</v>
      </c>
      <c r="F136" s="5">
        <v>0.49867137136757944</v>
      </c>
      <c r="G136" s="2">
        <v>899936</v>
      </c>
      <c r="H136" s="78">
        <v>0.50133364232537303</v>
      </c>
      <c r="I136" s="52">
        <v>37024</v>
      </c>
      <c r="J136" s="82">
        <v>2.0625218652720431E-2</v>
      </c>
      <c r="K136" s="59">
        <v>178</v>
      </c>
      <c r="L136" s="60">
        <v>847</v>
      </c>
      <c r="M136" s="66">
        <v>9.5987713572662703E-4</v>
      </c>
      <c r="N136" s="67">
        <v>2.3930601256356567E-4</v>
      </c>
      <c r="O136" s="67">
        <v>2.3701643708991219E-4</v>
      </c>
      <c r="P136" s="67">
        <v>2.44821015435965E-4</v>
      </c>
      <c r="Q136" s="67">
        <v>2.7485993595763493E-4</v>
      </c>
      <c r="R136" s="67">
        <v>2.6340396949782035E-4</v>
      </c>
      <c r="S136" s="67">
        <v>2.7064331916966627E-4</v>
      </c>
      <c r="T136" s="67">
        <v>4.3134435657800146E-4</v>
      </c>
      <c r="U136" s="67">
        <v>8.8400338227381044E-4</v>
      </c>
      <c r="V136" s="67">
        <v>4.807692307692308E-3</v>
      </c>
      <c r="W136" s="68">
        <v>4.71844214532579E-4</v>
      </c>
    </row>
    <row r="137" spans="1:23" x14ac:dyDescent="0.3">
      <c r="A137" s="44" t="s">
        <v>205</v>
      </c>
      <c r="B137" t="s">
        <v>202</v>
      </c>
      <c r="C137" s="45">
        <v>2015</v>
      </c>
      <c r="D137" s="91">
        <v>1938776</v>
      </c>
      <c r="E137" s="2">
        <v>960332</v>
      </c>
      <c r="F137" s="5">
        <v>0.49532901170635496</v>
      </c>
      <c r="G137" s="2">
        <v>978444</v>
      </c>
      <c r="H137" s="78">
        <v>0.5046709882936451</v>
      </c>
      <c r="I137" s="52">
        <v>31944</v>
      </c>
      <c r="J137" s="82">
        <v>1.6476374784915843E-2</v>
      </c>
      <c r="K137" s="59">
        <v>109</v>
      </c>
      <c r="L137" s="60">
        <v>795</v>
      </c>
      <c r="M137" s="66">
        <v>9.3169148589263809E-4</v>
      </c>
      <c r="N137" s="67">
        <v>2.252742714254605E-4</v>
      </c>
      <c r="O137" s="67">
        <v>2.201091741503786E-4</v>
      </c>
      <c r="P137" s="67">
        <v>2.30118702897578E-4</v>
      </c>
      <c r="Q137" s="67">
        <v>2.6177553620355666E-4</v>
      </c>
      <c r="R137" s="67">
        <v>2.3763882067774593E-4</v>
      </c>
      <c r="S137" s="67">
        <v>2.4183212014219728E-4</v>
      </c>
      <c r="T137" s="67">
        <v>4.0334655413705228E-4</v>
      </c>
      <c r="U137" s="67">
        <v>9.3548651145386301E-4</v>
      </c>
      <c r="V137" s="67">
        <v>3.412221387427999E-3</v>
      </c>
      <c r="W137" s="68">
        <v>4.1005252798672975E-4</v>
      </c>
    </row>
    <row r="138" spans="1:23" x14ac:dyDescent="0.3">
      <c r="A138" s="44" t="s">
        <v>211</v>
      </c>
      <c r="B138" t="s">
        <v>202</v>
      </c>
      <c r="C138" s="45">
        <v>2009</v>
      </c>
      <c r="D138" s="91">
        <v>1964860</v>
      </c>
      <c r="E138" s="2">
        <v>971454</v>
      </c>
      <c r="F138" s="5">
        <v>0.49441385136854532</v>
      </c>
      <c r="G138" s="2">
        <v>993406</v>
      </c>
      <c r="H138" s="78">
        <v>0.50558614863145468</v>
      </c>
      <c r="I138" s="52">
        <v>31093</v>
      </c>
      <c r="J138" s="82">
        <v>1.5824537117148294E-2</v>
      </c>
      <c r="K138" s="59">
        <v>132</v>
      </c>
      <c r="L138" s="60">
        <v>792</v>
      </c>
      <c r="M138" s="66">
        <v>8.2357059029422054E-4</v>
      </c>
      <c r="N138" s="67">
        <v>2.2088464299519576E-4</v>
      </c>
      <c r="O138" s="67">
        <v>2.0757726198672197E-4</v>
      </c>
      <c r="P138" s="67">
        <v>2.2809265123493162E-4</v>
      </c>
      <c r="Q138" s="67">
        <v>2.359028394838446E-4</v>
      </c>
      <c r="R138" s="67">
        <v>2.1765785636032532E-4</v>
      </c>
      <c r="S138" s="67">
        <v>2.7517886626307099E-4</v>
      </c>
      <c r="T138" s="67">
        <v>4.5234882125436327E-4</v>
      </c>
      <c r="U138" s="67">
        <v>7.0575780744574492E-4</v>
      </c>
      <c r="V138" s="67">
        <v>4.24532853053742E-3</v>
      </c>
      <c r="W138" s="68">
        <v>4.0308215343586821E-4</v>
      </c>
    </row>
    <row r="139" spans="1:23" x14ac:dyDescent="0.3">
      <c r="A139" s="44" t="s">
        <v>208</v>
      </c>
      <c r="B139" t="s">
        <v>202</v>
      </c>
      <c r="C139" s="45">
        <v>2010</v>
      </c>
      <c r="D139" s="91">
        <v>1982961</v>
      </c>
      <c r="E139" s="2">
        <v>977507</v>
      </c>
      <c r="F139" s="5">
        <v>0.49295321491446376</v>
      </c>
      <c r="G139" s="2">
        <v>1005454</v>
      </c>
      <c r="H139" s="78">
        <v>0.50704678508553624</v>
      </c>
      <c r="I139" s="52">
        <v>29702</v>
      </c>
      <c r="J139" s="82">
        <v>1.4978610270196943E-2</v>
      </c>
      <c r="K139" s="59">
        <v>129</v>
      </c>
      <c r="L139" s="60">
        <v>802</v>
      </c>
      <c r="M139" s="66">
        <v>8.4836230726268835E-4</v>
      </c>
      <c r="N139" s="67">
        <v>2.1863897239682973E-4</v>
      </c>
      <c r="O139" s="67">
        <v>2.0510786964711192E-4</v>
      </c>
      <c r="P139" s="67">
        <v>2.3608662805338706E-4</v>
      </c>
      <c r="Q139" s="67">
        <v>2.39204882969011E-4</v>
      </c>
      <c r="R139" s="67">
        <v>2.1227816931306784E-4</v>
      </c>
      <c r="S139" s="67">
        <v>2.5664057487488769E-4</v>
      </c>
      <c r="T139" s="67">
        <v>4.2599113938430078E-4</v>
      </c>
      <c r="U139" s="67">
        <v>8.9058058534323956E-4</v>
      </c>
      <c r="V139" s="67">
        <v>4.3431418759679484E-3</v>
      </c>
      <c r="W139" s="68">
        <v>4.0444567492754524E-4</v>
      </c>
    </row>
    <row r="140" spans="1:23" x14ac:dyDescent="0.3">
      <c r="A140" s="44" t="s">
        <v>212</v>
      </c>
      <c r="B140" t="s">
        <v>202</v>
      </c>
      <c r="C140" s="45">
        <v>2014</v>
      </c>
      <c r="D140" s="91">
        <v>1983544</v>
      </c>
      <c r="E140" s="2">
        <v>981070</v>
      </c>
      <c r="F140" s="5">
        <v>0.49460460670396017</v>
      </c>
      <c r="G140" s="2">
        <v>1002475</v>
      </c>
      <c r="H140" s="78">
        <v>0.50539589744417068</v>
      </c>
      <c r="I140" s="52">
        <v>31808</v>
      </c>
      <c r="J140" s="82">
        <v>1.6035943745134972E-2</v>
      </c>
      <c r="K140" s="59">
        <v>122</v>
      </c>
      <c r="L140" s="60">
        <v>799</v>
      </c>
      <c r="M140" s="66">
        <v>8.9753850066193468E-4</v>
      </c>
      <c r="N140" s="67">
        <v>2.1888703240257703E-4</v>
      </c>
      <c r="O140" s="67">
        <v>2.1292451825827744E-4</v>
      </c>
      <c r="P140" s="67">
        <v>2.2875443211712226E-4</v>
      </c>
      <c r="Q140" s="67">
        <v>2.5387798623981313E-4</v>
      </c>
      <c r="R140" s="67">
        <v>2.2660321776569228E-4</v>
      </c>
      <c r="S140" s="67">
        <v>2.3709417380583567E-4</v>
      </c>
      <c r="T140" s="67">
        <v>4.0373673880096401E-4</v>
      </c>
      <c r="U140" s="67">
        <v>8.3095779426869943E-4</v>
      </c>
      <c r="V140" s="67">
        <v>3.8355130784708249E-3</v>
      </c>
      <c r="W140" s="68">
        <v>4.0281435652549173E-4</v>
      </c>
    </row>
    <row r="141" spans="1:23" x14ac:dyDescent="0.3">
      <c r="A141" s="44" t="s">
        <v>216</v>
      </c>
      <c r="B141" t="s">
        <v>202</v>
      </c>
      <c r="C141" s="45">
        <v>2016</v>
      </c>
      <c r="D141" s="91">
        <v>1986823</v>
      </c>
      <c r="E141" s="2">
        <v>983056</v>
      </c>
      <c r="F141" s="5">
        <v>0.49478791014599688</v>
      </c>
      <c r="G141" s="2">
        <v>1003768</v>
      </c>
      <c r="H141" s="78">
        <v>0.50521259317010125</v>
      </c>
      <c r="I141" s="52">
        <v>33634</v>
      </c>
      <c r="J141" s="82">
        <v>1.6928533643912919E-2</v>
      </c>
      <c r="K141" s="59">
        <v>111</v>
      </c>
      <c r="L141" s="60">
        <v>794</v>
      </c>
      <c r="M141" s="66">
        <v>9.4880411148448314E-4</v>
      </c>
      <c r="N141" s="67">
        <v>2.2225761880595798E-4</v>
      </c>
      <c r="O141" s="67">
        <v>2.1660884413910619E-4</v>
      </c>
      <c r="P141" s="67">
        <v>2.2618293675925088E-4</v>
      </c>
      <c r="Q141" s="67">
        <v>2.5439898240407039E-4</v>
      </c>
      <c r="R141" s="67">
        <v>2.3625953897888626E-4</v>
      </c>
      <c r="S141" s="67">
        <v>2.3231322017098254E-4</v>
      </c>
      <c r="T141" s="67">
        <v>3.3792536355137031E-4</v>
      </c>
      <c r="U141" s="67">
        <v>9.3052456921196897E-4</v>
      </c>
      <c r="V141" s="67">
        <v>3.300231908188143E-3</v>
      </c>
      <c r="W141" s="68">
        <v>3.9963298190125645E-4</v>
      </c>
    </row>
    <row r="142" spans="1:23" x14ac:dyDescent="0.3">
      <c r="A142" s="44" t="s">
        <v>220</v>
      </c>
      <c r="B142" t="s">
        <v>202</v>
      </c>
      <c r="C142" s="45">
        <v>2012</v>
      </c>
      <c r="D142" s="91">
        <v>2000639</v>
      </c>
      <c r="E142" s="2">
        <v>989025</v>
      </c>
      <c r="F142" s="5">
        <v>0.49435455372008641</v>
      </c>
      <c r="G142" s="2">
        <v>1011615</v>
      </c>
      <c r="H142" s="78">
        <v>0.50564594612021463</v>
      </c>
      <c r="I142" s="52">
        <v>31606</v>
      </c>
      <c r="J142" s="82">
        <v>1.5797952554158945E-2</v>
      </c>
      <c r="K142" s="59">
        <v>118</v>
      </c>
      <c r="L142" s="60">
        <v>783</v>
      </c>
      <c r="M142" s="66">
        <v>8.5321198762842619E-4</v>
      </c>
      <c r="N142" s="67">
        <v>2.1630975556997619E-4</v>
      </c>
      <c r="O142" s="67">
        <v>2.0928967085711097E-4</v>
      </c>
      <c r="P142" s="67">
        <v>2.283200590587886E-4</v>
      </c>
      <c r="Q142" s="67">
        <v>2.4533154513895985E-4</v>
      </c>
      <c r="R142" s="67">
        <v>2.1476510067114095E-4</v>
      </c>
      <c r="S142" s="67">
        <v>2.421884145135444E-4</v>
      </c>
      <c r="T142" s="67">
        <v>4.0384460059769001E-4</v>
      </c>
      <c r="U142" s="67">
        <v>7.8612548981665136E-4</v>
      </c>
      <c r="V142" s="67">
        <v>3.7334683287983295E-3</v>
      </c>
      <c r="W142" s="68">
        <v>3.9137495570165334E-4</v>
      </c>
    </row>
    <row r="143" spans="1:23" x14ac:dyDescent="0.3">
      <c r="A143" s="44" t="s">
        <v>201</v>
      </c>
      <c r="B143" t="s">
        <v>202</v>
      </c>
      <c r="C143" s="45">
        <v>2011</v>
      </c>
      <c r="D143" s="91">
        <v>2004994</v>
      </c>
      <c r="E143" s="2">
        <v>989097</v>
      </c>
      <c r="F143" s="5">
        <v>0.49331668822949098</v>
      </c>
      <c r="G143" s="2">
        <v>1015899</v>
      </c>
      <c r="H143" s="78">
        <v>0.50668430927972852</v>
      </c>
      <c r="I143" s="52">
        <v>30638</v>
      </c>
      <c r="J143" s="82">
        <v>1.5280843733198204E-2</v>
      </c>
      <c r="K143" s="59">
        <v>153</v>
      </c>
      <c r="L143" s="60">
        <v>827</v>
      </c>
      <c r="M143" s="66">
        <v>8.42963014997717E-4</v>
      </c>
      <c r="N143" s="67">
        <v>2.1586771626347376E-4</v>
      </c>
      <c r="O143" s="67">
        <v>2.0721595010239922E-4</v>
      </c>
      <c r="P143" s="67">
        <v>2.325455207856938E-4</v>
      </c>
      <c r="Q143" s="67">
        <v>2.4240367483971056E-4</v>
      </c>
      <c r="R143" s="67">
        <v>2.1060612442609831E-4</v>
      </c>
      <c r="S143" s="67">
        <v>2.4548110204649412E-4</v>
      </c>
      <c r="T143" s="67">
        <v>4.1096734864415021E-4</v>
      </c>
      <c r="U143" s="67">
        <v>8.9892008114575872E-4</v>
      </c>
      <c r="V143" s="67">
        <v>4.9937985508192442E-3</v>
      </c>
      <c r="W143" s="68">
        <v>4.1247006225455038E-4</v>
      </c>
    </row>
    <row r="144" spans="1:23" x14ac:dyDescent="0.3">
      <c r="A144" s="44" t="s">
        <v>204</v>
      </c>
      <c r="B144" t="s">
        <v>202</v>
      </c>
      <c r="C144" s="45">
        <v>2013</v>
      </c>
      <c r="D144" s="91">
        <v>2011766</v>
      </c>
      <c r="E144" s="2">
        <v>996695</v>
      </c>
      <c r="F144" s="5">
        <v>0.4954328684349969</v>
      </c>
      <c r="G144" s="2">
        <v>1015072</v>
      </c>
      <c r="H144" s="78">
        <v>0.5045676286407067</v>
      </c>
      <c r="I144" s="52">
        <v>32267</v>
      </c>
      <c r="J144" s="82">
        <v>1.6039141729207076E-2</v>
      </c>
      <c r="K144" s="59">
        <v>141</v>
      </c>
      <c r="L144" s="60">
        <v>826</v>
      </c>
      <c r="M144" s="66">
        <v>8.6580711260543009E-4</v>
      </c>
      <c r="N144" s="67">
        <v>2.1563419814626467E-4</v>
      </c>
      <c r="O144" s="67">
        <v>2.099421609346625E-4</v>
      </c>
      <c r="P144" s="67">
        <v>2.2586279588026261E-4</v>
      </c>
      <c r="Q144" s="67">
        <v>2.4626801347906927E-4</v>
      </c>
      <c r="R144" s="67">
        <v>2.1805336492684309E-4</v>
      </c>
      <c r="S144" s="67">
        <v>2.3755884530563925E-4</v>
      </c>
      <c r="T144" s="67">
        <v>3.8621222361687749E-4</v>
      </c>
      <c r="U144" s="67">
        <v>1.0038144950813091E-3</v>
      </c>
      <c r="V144" s="67">
        <v>4.3697895682895836E-3</v>
      </c>
      <c r="W144" s="68">
        <v>4.1058453120293312E-4</v>
      </c>
    </row>
    <row r="145" spans="1:23" x14ac:dyDescent="0.3">
      <c r="A145" s="44" t="s">
        <v>218</v>
      </c>
      <c r="B145" t="s">
        <v>202</v>
      </c>
      <c r="C145" s="45">
        <v>2017</v>
      </c>
      <c r="D145" s="91">
        <v>2022695</v>
      </c>
      <c r="E145" s="2">
        <v>1001174</v>
      </c>
      <c r="F145" s="5">
        <v>0.49497032424562282</v>
      </c>
      <c r="G145" s="2">
        <v>1021521</v>
      </c>
      <c r="H145" s="78">
        <v>0.50502967575437718</v>
      </c>
      <c r="I145" s="52">
        <v>35096</v>
      </c>
      <c r="J145" s="82">
        <v>1.7351108298581844E-2</v>
      </c>
      <c r="K145" s="59">
        <v>99</v>
      </c>
      <c r="L145" s="60">
        <v>800</v>
      </c>
      <c r="M145" s="66">
        <v>9.2807424593967518E-4</v>
      </c>
      <c r="N145" s="67">
        <v>2.1697308087309966E-4</v>
      </c>
      <c r="O145" s="67">
        <v>2.1348362580590069E-4</v>
      </c>
      <c r="P145" s="67">
        <v>2.1929503954620547E-4</v>
      </c>
      <c r="Q145" s="67">
        <v>2.5075435267763856E-4</v>
      </c>
      <c r="R145" s="67">
        <v>2.3874705545298274E-4</v>
      </c>
      <c r="S145" s="67">
        <v>2.2978821186473133E-4</v>
      </c>
      <c r="T145" s="67">
        <v>3.5960247580856073E-4</v>
      </c>
      <c r="U145" s="67">
        <v>1.0338110628665949E-3</v>
      </c>
      <c r="V145" s="67">
        <v>2.8208342831091862E-3</v>
      </c>
      <c r="W145" s="68">
        <v>3.9551192839256538E-4</v>
      </c>
    </row>
    <row r="146" spans="1:23" x14ac:dyDescent="0.3">
      <c r="A146" s="44" t="s">
        <v>182</v>
      </c>
      <c r="B146" t="s">
        <v>183</v>
      </c>
      <c r="C146" s="45">
        <v>2017</v>
      </c>
      <c r="D146" s="91">
        <v>2359802</v>
      </c>
      <c r="E146" s="2">
        <v>1145340</v>
      </c>
      <c r="F146" s="5">
        <v>0.48535427972346834</v>
      </c>
      <c r="G146" s="2">
        <v>1214467</v>
      </c>
      <c r="H146" s="78">
        <v>0.51464783909836498</v>
      </c>
      <c r="I146" s="52">
        <v>38979</v>
      </c>
      <c r="J146" s="82">
        <v>1.6517911248486103E-2</v>
      </c>
      <c r="K146" s="59">
        <v>219</v>
      </c>
      <c r="L146" s="60">
        <v>1161</v>
      </c>
      <c r="M146" s="66">
        <v>8.0938345215532067E-4</v>
      </c>
      <c r="N146" s="67">
        <v>1.8747597964010861E-4</v>
      </c>
      <c r="O146" s="67">
        <v>1.7916812240766124E-4</v>
      </c>
      <c r="P146" s="67">
        <v>1.9690530495709106E-4</v>
      </c>
      <c r="Q146" s="67">
        <v>2.0583825915722955E-4</v>
      </c>
      <c r="R146" s="67">
        <v>1.9566408390075919E-4</v>
      </c>
      <c r="S146" s="67">
        <v>3.1107389990700876E-4</v>
      </c>
      <c r="T146" s="67">
        <v>7.5352854230869551E-4</v>
      </c>
      <c r="U146" s="67">
        <v>2.0071766031376334E-3</v>
      </c>
      <c r="V146" s="67">
        <v>5.6184099130300929E-3</v>
      </c>
      <c r="W146" s="68">
        <v>4.9199042970554305E-4</v>
      </c>
    </row>
    <row r="147" spans="1:23" x14ac:dyDescent="0.3">
      <c r="A147" s="44" t="s">
        <v>240</v>
      </c>
      <c r="B147" t="s">
        <v>222</v>
      </c>
      <c r="C147" s="45">
        <v>2009</v>
      </c>
      <c r="D147" s="91">
        <v>2534911</v>
      </c>
      <c r="E147" s="2">
        <v>1289477</v>
      </c>
      <c r="F147" s="5">
        <v>0.50868728724598222</v>
      </c>
      <c r="G147" s="2">
        <v>1245434</v>
      </c>
      <c r="H147" s="78">
        <v>0.49131271275401778</v>
      </c>
      <c r="I147" s="52">
        <v>28304</v>
      </c>
      <c r="J147" s="82">
        <v>1.1165678006052284E-2</v>
      </c>
      <c r="K147" s="59">
        <v>150</v>
      </c>
      <c r="L147" s="60">
        <v>901</v>
      </c>
      <c r="M147" s="66">
        <v>6.1485804464894169E-4</v>
      </c>
      <c r="N147" s="67">
        <v>1.6868526702877771E-4</v>
      </c>
      <c r="O147" s="67">
        <v>1.8293184873975201E-4</v>
      </c>
      <c r="P147" s="67">
        <v>1.592614515619567E-4</v>
      </c>
      <c r="Q147" s="67">
        <v>1.6180095246827353E-4</v>
      </c>
      <c r="R147" s="67">
        <v>1.732656827101063E-4</v>
      </c>
      <c r="S147" s="67">
        <v>2.3375745326649068E-4</v>
      </c>
      <c r="T147" s="67">
        <v>4.8694381885689938E-4</v>
      </c>
      <c r="U147" s="67">
        <v>1.3265112753458404E-3</v>
      </c>
      <c r="V147" s="67">
        <v>5.2996042962125496E-3</v>
      </c>
      <c r="W147" s="68">
        <v>3.5543654195354394E-4</v>
      </c>
    </row>
    <row r="148" spans="1:23" x14ac:dyDescent="0.3">
      <c r="A148" s="44" t="s">
        <v>200</v>
      </c>
      <c r="B148" t="s">
        <v>199</v>
      </c>
      <c r="C148" s="45">
        <v>2014</v>
      </c>
      <c r="D148" s="91">
        <v>2604519</v>
      </c>
      <c r="E148" s="2">
        <v>1280674</v>
      </c>
      <c r="F148" s="5">
        <v>0.49171228929410765</v>
      </c>
      <c r="G148" s="2">
        <v>1323849</v>
      </c>
      <c r="H148" s="78">
        <v>0.50828924649810581</v>
      </c>
      <c r="I148" s="52">
        <v>44535</v>
      </c>
      <c r="J148" s="82">
        <v>1.7099126556573401E-2</v>
      </c>
      <c r="K148" s="59">
        <v>260</v>
      </c>
      <c r="L148" s="60">
        <v>1103</v>
      </c>
      <c r="M148" s="66">
        <v>6.9007953166602448E-4</v>
      </c>
      <c r="N148" s="67">
        <v>1.6883478671945567E-4</v>
      </c>
      <c r="O148" s="67">
        <v>1.6527605232639816E-4</v>
      </c>
      <c r="P148" s="67">
        <v>1.749515967249061E-4</v>
      </c>
      <c r="Q148" s="67">
        <v>1.8363055979776153E-4</v>
      </c>
      <c r="R148" s="67">
        <v>1.8662394413914682E-4</v>
      </c>
      <c r="S148" s="67">
        <v>2.6227228919469767E-4</v>
      </c>
      <c r="T148" s="67">
        <v>4.3975373790677223E-4</v>
      </c>
      <c r="U148" s="67">
        <v>1.5265751286987644E-3</v>
      </c>
      <c r="V148" s="67">
        <v>5.8381048613450094E-3</v>
      </c>
      <c r="W148" s="68">
        <v>4.2349470286068177E-4</v>
      </c>
    </row>
    <row r="149" spans="1:23" x14ac:dyDescent="0.3">
      <c r="A149" s="44" t="s">
        <v>209</v>
      </c>
      <c r="B149" t="s">
        <v>199</v>
      </c>
      <c r="C149" s="45">
        <v>2016</v>
      </c>
      <c r="D149" s="91">
        <v>2626356</v>
      </c>
      <c r="E149" s="2">
        <v>1289217</v>
      </c>
      <c r="F149" s="5">
        <v>0.49087671282948692</v>
      </c>
      <c r="G149" s="2">
        <v>1337146</v>
      </c>
      <c r="H149" s="78">
        <v>0.50912595246036718</v>
      </c>
      <c r="I149" s="52">
        <v>47469</v>
      </c>
      <c r="J149" s="82">
        <v>1.8074092011897854E-2</v>
      </c>
      <c r="K149" s="59">
        <v>239</v>
      </c>
      <c r="L149" s="60">
        <v>1061</v>
      </c>
      <c r="M149" s="66">
        <v>7.050611640559819E-4</v>
      </c>
      <c r="N149" s="67">
        <v>1.6999719504628174E-4</v>
      </c>
      <c r="O149" s="67">
        <v>1.6329463250542954E-4</v>
      </c>
      <c r="P149" s="67">
        <v>1.7264398508355969E-4</v>
      </c>
      <c r="Q149" s="67">
        <v>1.8352440262806943E-4</v>
      </c>
      <c r="R149" s="67">
        <v>1.7639276789651625E-4</v>
      </c>
      <c r="S149" s="67">
        <v>1.8573091305316858E-4</v>
      </c>
      <c r="T149" s="67">
        <v>4.9056849508346179E-4</v>
      </c>
      <c r="U149" s="67">
        <v>1.4021754461655894E-3</v>
      </c>
      <c r="V149" s="67">
        <v>5.0348648591712489E-3</v>
      </c>
      <c r="W149" s="68">
        <v>4.0398179073971696E-4</v>
      </c>
    </row>
    <row r="150" spans="1:23" x14ac:dyDescent="0.3">
      <c r="A150" s="44" t="s">
        <v>294</v>
      </c>
      <c r="B150" t="s">
        <v>270</v>
      </c>
      <c r="C150" s="45">
        <v>2009</v>
      </c>
      <c r="D150" s="91">
        <v>2632280</v>
      </c>
      <c r="E150" s="2">
        <v>1324265</v>
      </c>
      <c r="F150" s="5">
        <v>0.50308667770905835</v>
      </c>
      <c r="G150" s="2">
        <v>1308015</v>
      </c>
      <c r="H150" s="78">
        <v>0.49691332229094171</v>
      </c>
      <c r="I150" s="52">
        <v>29284</v>
      </c>
      <c r="J150" s="82">
        <v>1.112495631163858E-2</v>
      </c>
      <c r="K150" s="59">
        <v>118</v>
      </c>
      <c r="L150" s="60">
        <v>790</v>
      </c>
      <c r="M150" s="66">
        <v>4.6480100706884864E-4</v>
      </c>
      <c r="N150" s="67">
        <v>1.3678424792600883E-4</v>
      </c>
      <c r="O150" s="67">
        <v>1.2953116195928835E-4</v>
      </c>
      <c r="P150" s="67">
        <v>1.4522394742893103E-4</v>
      </c>
      <c r="Q150" s="67">
        <v>1.8863653512412283E-4</v>
      </c>
      <c r="R150" s="67">
        <v>1.9999000049997499E-4</v>
      </c>
      <c r="S150" s="67">
        <v>2.8402904670384293E-4</v>
      </c>
      <c r="T150" s="67">
        <v>4.8620002268933441E-4</v>
      </c>
      <c r="U150" s="67">
        <v>9.0833396412080846E-4</v>
      </c>
      <c r="V150" s="67">
        <v>4.0295041660975278E-3</v>
      </c>
      <c r="W150" s="68">
        <v>3.0012004801920766E-4</v>
      </c>
    </row>
    <row r="151" spans="1:23" x14ac:dyDescent="0.3">
      <c r="A151" s="44" t="s">
        <v>258</v>
      </c>
      <c r="B151" t="s">
        <v>222</v>
      </c>
      <c r="C151" s="45">
        <v>2010</v>
      </c>
      <c r="D151" s="91">
        <v>2633331</v>
      </c>
      <c r="E151" s="2">
        <v>1331625</v>
      </c>
      <c r="F151" s="5">
        <v>0.50568082781845503</v>
      </c>
      <c r="G151" s="2">
        <v>1301706</v>
      </c>
      <c r="H151" s="78">
        <v>0.49431917218154497</v>
      </c>
      <c r="I151" s="52">
        <v>28675</v>
      </c>
      <c r="J151" s="82">
        <v>1.0889250155031782E-2</v>
      </c>
      <c r="K151" s="59">
        <v>116</v>
      </c>
      <c r="L151" s="60">
        <v>868</v>
      </c>
      <c r="M151" s="66">
        <v>6.3510545396808595E-4</v>
      </c>
      <c r="N151" s="67">
        <v>1.6742753178332646E-4</v>
      </c>
      <c r="O151" s="67">
        <v>1.7004440993172718E-4</v>
      </c>
      <c r="P151" s="67">
        <v>1.575431668277108E-4</v>
      </c>
      <c r="Q151" s="67">
        <v>1.5571755949059596E-4</v>
      </c>
      <c r="R151" s="67">
        <v>1.6429578718219035E-4</v>
      </c>
      <c r="S151" s="67">
        <v>2.0008403529482382E-4</v>
      </c>
      <c r="T151" s="67">
        <v>3.9206591124953062E-4</v>
      </c>
      <c r="U151" s="67">
        <v>1.53200921378591E-3</v>
      </c>
      <c r="V151" s="67">
        <v>4.0453356582388841E-3</v>
      </c>
      <c r="W151" s="68">
        <v>3.2962054523339449E-4</v>
      </c>
    </row>
    <row r="152" spans="1:23" x14ac:dyDescent="0.3">
      <c r="A152" s="44" t="s">
        <v>274</v>
      </c>
      <c r="B152" t="s">
        <v>270</v>
      </c>
      <c r="C152" s="45">
        <v>2011</v>
      </c>
      <c r="D152" s="91">
        <v>2635122</v>
      </c>
      <c r="E152" s="2">
        <v>1323745</v>
      </c>
      <c r="F152" s="5">
        <v>0.50234676041564674</v>
      </c>
      <c r="G152" s="2">
        <v>1311379</v>
      </c>
      <c r="H152" s="78">
        <v>0.49765399856249543</v>
      </c>
      <c r="I152" s="52">
        <v>29333</v>
      </c>
      <c r="J152" s="82">
        <v>1.1131552922407388E-2</v>
      </c>
      <c r="K152" s="59">
        <v>155</v>
      </c>
      <c r="L152" s="60">
        <v>836</v>
      </c>
      <c r="M152" s="66">
        <v>4.79925131679458E-4</v>
      </c>
      <c r="N152" s="67">
        <v>1.3393215889711331E-4</v>
      </c>
      <c r="O152" s="67">
        <v>1.3654859764590218E-4</v>
      </c>
      <c r="P152" s="67">
        <v>1.4172804278297184E-4</v>
      </c>
      <c r="Q152" s="67">
        <v>1.8887703160857123E-4</v>
      </c>
      <c r="R152" s="67">
        <v>2.0335122824141857E-4</v>
      </c>
      <c r="S152" s="67">
        <v>2.6591147806895082E-4</v>
      </c>
      <c r="T152" s="67">
        <v>4.5922116091109478E-4</v>
      </c>
      <c r="U152" s="67">
        <v>1.0346016783538338E-3</v>
      </c>
      <c r="V152" s="67">
        <v>5.284150956260867E-3</v>
      </c>
      <c r="W152" s="68">
        <v>3.1725286343478593E-4</v>
      </c>
    </row>
    <row r="153" spans="1:23" x14ac:dyDescent="0.3">
      <c r="A153" s="44" t="s">
        <v>278</v>
      </c>
      <c r="B153" t="s">
        <v>270</v>
      </c>
      <c r="C153" s="45">
        <v>2010</v>
      </c>
      <c r="D153" s="91">
        <v>2655575</v>
      </c>
      <c r="E153" s="2">
        <v>1333785</v>
      </c>
      <c r="F153" s="5">
        <v>0.50225845626653365</v>
      </c>
      <c r="G153" s="2">
        <v>1321790</v>
      </c>
      <c r="H153" s="78">
        <v>0.49774154373346641</v>
      </c>
      <c r="I153" s="52">
        <v>28550</v>
      </c>
      <c r="J153" s="82">
        <v>1.0750967304632706E-2</v>
      </c>
      <c r="K153" s="59">
        <v>152</v>
      </c>
      <c r="L153" s="60">
        <v>833</v>
      </c>
      <c r="M153" s="66">
        <v>4.70604844876878E-4</v>
      </c>
      <c r="N153" s="67">
        <v>1.3316584029864659E-4</v>
      </c>
      <c r="O153" s="67">
        <v>1.3400933598374019E-4</v>
      </c>
      <c r="P153" s="67">
        <v>1.4122963939365408E-4</v>
      </c>
      <c r="Q153" s="67">
        <v>1.8789928598271326E-4</v>
      </c>
      <c r="R153" s="67">
        <v>1.9955432866597931E-4</v>
      </c>
      <c r="S153" s="67">
        <v>2.6922852565972207E-4</v>
      </c>
      <c r="T153" s="67">
        <v>4.6972982706113535E-4</v>
      </c>
      <c r="U153" s="67">
        <v>1.0233216261970337E-3</v>
      </c>
      <c r="V153" s="67">
        <v>5.3239929947460594E-3</v>
      </c>
      <c r="W153" s="68">
        <v>3.1367971155022925E-4</v>
      </c>
    </row>
    <row r="154" spans="1:23" x14ac:dyDescent="0.3">
      <c r="A154" s="44" t="s">
        <v>224</v>
      </c>
      <c r="B154" t="s">
        <v>197</v>
      </c>
      <c r="C154" s="45">
        <v>2017</v>
      </c>
      <c r="D154" s="91">
        <v>2661806</v>
      </c>
      <c r="E154" s="2">
        <v>1320190</v>
      </c>
      <c r="F154" s="5">
        <v>0.49597528895794812</v>
      </c>
      <c r="G154" s="2">
        <v>1341623</v>
      </c>
      <c r="H154" s="78">
        <v>0.50402734083550793</v>
      </c>
      <c r="I154" s="52">
        <v>60628</v>
      </c>
      <c r="J154" s="82">
        <v>2.2777016807385662E-2</v>
      </c>
      <c r="K154" s="59">
        <v>327</v>
      </c>
      <c r="L154" s="60">
        <v>1038</v>
      </c>
      <c r="M154" s="66">
        <v>7.0980297052543166E-4</v>
      </c>
      <c r="N154" s="67">
        <v>1.7146090405619345E-4</v>
      </c>
      <c r="O154" s="67">
        <v>1.5459933006956969E-4</v>
      </c>
      <c r="P154" s="67">
        <v>1.7456525976765363E-4</v>
      </c>
      <c r="Q154" s="67">
        <v>1.8868933244859003E-4</v>
      </c>
      <c r="R154" s="67">
        <v>1.7674922819503689E-4</v>
      </c>
      <c r="S154" s="67">
        <v>1.7539038977590953E-4</v>
      </c>
      <c r="T154" s="67">
        <v>3.3095925229685721E-4</v>
      </c>
      <c r="U154" s="67">
        <v>7.722007722007722E-4</v>
      </c>
      <c r="V154" s="67">
        <v>5.3935475357920429E-3</v>
      </c>
      <c r="W154" s="68">
        <v>3.8996080105011411E-4</v>
      </c>
    </row>
    <row r="155" spans="1:23" x14ac:dyDescent="0.3">
      <c r="A155" s="44" t="s">
        <v>264</v>
      </c>
      <c r="B155" t="s">
        <v>222</v>
      </c>
      <c r="C155" s="45">
        <v>2011</v>
      </c>
      <c r="D155" s="91">
        <v>2667325</v>
      </c>
      <c r="E155" s="2">
        <v>1347657</v>
      </c>
      <c r="F155" s="5">
        <v>0.50524664223519822</v>
      </c>
      <c r="G155" s="2">
        <v>1319668</v>
      </c>
      <c r="H155" s="78">
        <v>0.49475335776480184</v>
      </c>
      <c r="I155" s="52">
        <v>29633</v>
      </c>
      <c r="J155" s="82">
        <v>1.1109632309523587E-2</v>
      </c>
      <c r="K155" s="59">
        <v>107</v>
      </c>
      <c r="L155" s="60">
        <v>870</v>
      </c>
      <c r="M155" s="66">
        <v>6.3485681333622546E-4</v>
      </c>
      <c r="N155" s="67">
        <v>1.6567354580045173E-4</v>
      </c>
      <c r="O155" s="67">
        <v>1.6803992628648567E-4</v>
      </c>
      <c r="P155" s="67">
        <v>1.5581946756487933E-4</v>
      </c>
      <c r="Q155" s="67">
        <v>1.5563798604446057E-4</v>
      </c>
      <c r="R155" s="67">
        <v>1.6263335935467083E-4</v>
      </c>
      <c r="S155" s="67">
        <v>1.9554165037152912E-4</v>
      </c>
      <c r="T155" s="67">
        <v>4.6067751003805822E-4</v>
      </c>
      <c r="U155" s="67">
        <v>1.4364758459246647E-3</v>
      </c>
      <c r="V155" s="67">
        <v>3.6108392670333748E-3</v>
      </c>
      <c r="W155" s="68">
        <v>3.2616947691038777E-4</v>
      </c>
    </row>
    <row r="156" spans="1:23" x14ac:dyDescent="0.3">
      <c r="A156" s="44" t="s">
        <v>247</v>
      </c>
      <c r="B156" t="s">
        <v>222</v>
      </c>
      <c r="C156" s="45">
        <v>2012</v>
      </c>
      <c r="D156" s="91">
        <v>2669454</v>
      </c>
      <c r="E156" s="2">
        <v>1346506</v>
      </c>
      <c r="F156" s="5">
        <v>0.50441251282097388</v>
      </c>
      <c r="G156" s="2">
        <v>1322949</v>
      </c>
      <c r="H156" s="78">
        <v>0.49558786178746667</v>
      </c>
      <c r="I156" s="52">
        <v>32369</v>
      </c>
      <c r="J156" s="82">
        <v>1.2125700611435896E-2</v>
      </c>
      <c r="K156" s="59">
        <v>137</v>
      </c>
      <c r="L156" s="60">
        <v>914</v>
      </c>
      <c r="M156" s="66">
        <v>6.5224480921839331E-4</v>
      </c>
      <c r="N156" s="67">
        <v>1.6684045881126174E-4</v>
      </c>
      <c r="O156" s="67">
        <v>1.6734907902223511E-4</v>
      </c>
      <c r="P156" s="67">
        <v>1.5680125441003528E-4</v>
      </c>
      <c r="Q156" s="67">
        <v>1.5812610029411454E-4</v>
      </c>
      <c r="R156" s="67">
        <v>1.6277454640159736E-4</v>
      </c>
      <c r="S156" s="67">
        <v>1.9206822263267913E-4</v>
      </c>
      <c r="T156" s="67">
        <v>4.0403428230885392E-4</v>
      </c>
      <c r="U156" s="67">
        <v>1.6356211193065799E-3</v>
      </c>
      <c r="V156" s="67">
        <v>4.2324446229417036E-3</v>
      </c>
      <c r="W156" s="68">
        <v>3.4239211464217028E-4</v>
      </c>
    </row>
    <row r="157" spans="1:23" x14ac:dyDescent="0.3">
      <c r="A157" s="44" t="s">
        <v>193</v>
      </c>
      <c r="B157" t="s">
        <v>194</v>
      </c>
      <c r="C157" s="45">
        <v>2013</v>
      </c>
      <c r="D157" s="91">
        <v>2670889</v>
      </c>
      <c r="E157" s="2">
        <v>1325647</v>
      </c>
      <c r="F157" s="5">
        <v>0.49633174572211725</v>
      </c>
      <c r="G157" s="2">
        <v>1345246</v>
      </c>
      <c r="H157" s="78">
        <v>0.50366975190657493</v>
      </c>
      <c r="I157" s="52">
        <v>55169</v>
      </c>
      <c r="J157" s="82">
        <v>2.0655669329575285E-2</v>
      </c>
      <c r="K157" s="59">
        <v>403</v>
      </c>
      <c r="L157" s="60">
        <v>1153</v>
      </c>
      <c r="M157" s="66">
        <v>6.3952589813418318E-4</v>
      </c>
      <c r="N157" s="67">
        <v>1.6039521380682001E-4</v>
      </c>
      <c r="O157" s="67">
        <v>1.562947719398786E-4</v>
      </c>
      <c r="P157" s="67">
        <v>1.6897124672618209E-4</v>
      </c>
      <c r="Q157" s="67">
        <v>1.8444172563678507E-4</v>
      </c>
      <c r="R157" s="67">
        <v>1.6281695032997569E-4</v>
      </c>
      <c r="S157" s="67">
        <v>2.0587684821261464E-4</v>
      </c>
      <c r="T157" s="67">
        <v>3.6562678108634168E-4</v>
      </c>
      <c r="U157" s="67">
        <v>1.187627713642E-3</v>
      </c>
      <c r="V157" s="67">
        <v>7.3048269861697695E-3</v>
      </c>
      <c r="W157" s="68">
        <v>4.3169147051786875E-4</v>
      </c>
    </row>
    <row r="158" spans="1:23" x14ac:dyDescent="0.3">
      <c r="A158" s="44" t="s">
        <v>195</v>
      </c>
      <c r="B158" t="s">
        <v>183</v>
      </c>
      <c r="C158" s="45">
        <v>2014</v>
      </c>
      <c r="D158" s="91">
        <v>2684563</v>
      </c>
      <c r="E158" s="2">
        <v>1305102</v>
      </c>
      <c r="F158" s="5">
        <v>0.48615063233755362</v>
      </c>
      <c r="G158" s="2">
        <v>1379469</v>
      </c>
      <c r="H158" s="78">
        <v>0.51385234766328824</v>
      </c>
      <c r="I158" s="52">
        <v>42920</v>
      </c>
      <c r="J158" s="82">
        <v>1.5987704516526525E-2</v>
      </c>
      <c r="K158" s="59">
        <v>241</v>
      </c>
      <c r="L158" s="60">
        <v>1152</v>
      </c>
      <c r="M158" s="66">
        <v>6.6859444732311497E-4</v>
      </c>
      <c r="N158" s="67">
        <v>1.608458346290359E-4</v>
      </c>
      <c r="O158" s="67">
        <v>1.5634486550432944E-4</v>
      </c>
      <c r="P158" s="67">
        <v>1.7180851368454812E-4</v>
      </c>
      <c r="Q158" s="67">
        <v>1.7823405696360461E-4</v>
      </c>
      <c r="R158" s="67">
        <v>1.8338529249954154E-4</v>
      </c>
      <c r="S158" s="67">
        <v>3.3389589733004698E-4</v>
      </c>
      <c r="T158" s="67">
        <v>5.564274504208874E-4</v>
      </c>
      <c r="U158" s="67">
        <v>1.7115105601070346E-3</v>
      </c>
      <c r="V158" s="67">
        <v>5.6150978564771664E-3</v>
      </c>
      <c r="W158" s="68">
        <v>4.2912012122643423E-4</v>
      </c>
    </row>
    <row r="159" spans="1:23" x14ac:dyDescent="0.3">
      <c r="A159" s="44" t="s">
        <v>221</v>
      </c>
      <c r="B159" t="s">
        <v>222</v>
      </c>
      <c r="C159" s="45">
        <v>2014</v>
      </c>
      <c r="D159" s="91">
        <v>2710163</v>
      </c>
      <c r="E159" s="2">
        <v>1363769</v>
      </c>
      <c r="F159" s="5">
        <v>0.50320552675244989</v>
      </c>
      <c r="G159" s="2">
        <v>1346394</v>
      </c>
      <c r="H159" s="78">
        <v>0.49679447324755005</v>
      </c>
      <c r="I159" s="52">
        <v>35471</v>
      </c>
      <c r="J159" s="82">
        <v>1.3088142668909583E-2</v>
      </c>
      <c r="K159" s="59">
        <v>171</v>
      </c>
      <c r="L159" s="60">
        <v>1060</v>
      </c>
      <c r="M159" s="66">
        <v>6.7702133181379658E-4</v>
      </c>
      <c r="N159" s="67">
        <v>1.6518823199035301E-4</v>
      </c>
      <c r="O159" s="67">
        <v>1.6820433462570332E-4</v>
      </c>
      <c r="P159" s="67">
        <v>1.5413585020050506E-4</v>
      </c>
      <c r="Q159" s="67">
        <v>1.6013194872575002E-4</v>
      </c>
      <c r="R159" s="67">
        <v>1.6185245530174691E-4</v>
      </c>
      <c r="S159" s="67">
        <v>2.378290225536042E-4</v>
      </c>
      <c r="T159" s="67">
        <v>7.1680005843974997E-4</v>
      </c>
      <c r="U159" s="67">
        <v>1.7538936438894345E-3</v>
      </c>
      <c r="V159" s="67">
        <v>4.8208395590764288E-3</v>
      </c>
      <c r="W159" s="68">
        <v>3.9112038648597886E-4</v>
      </c>
    </row>
    <row r="160" spans="1:23" x14ac:dyDescent="0.3">
      <c r="A160" s="44" t="s">
        <v>231</v>
      </c>
      <c r="B160" t="s">
        <v>194</v>
      </c>
      <c r="C160" s="45">
        <v>2017</v>
      </c>
      <c r="D160" s="91">
        <v>2713827</v>
      </c>
      <c r="E160" s="2">
        <v>1349283</v>
      </c>
      <c r="F160" s="5">
        <v>0.49718828797856313</v>
      </c>
      <c r="G160" s="2">
        <v>1364553</v>
      </c>
      <c r="H160" s="78">
        <v>0.50281502837137371</v>
      </c>
      <c r="I160" s="52">
        <v>57322</v>
      </c>
      <c r="J160" s="82">
        <v>2.1122201230955401E-2</v>
      </c>
      <c r="K160" s="59">
        <v>285</v>
      </c>
      <c r="L160" s="60">
        <v>1024</v>
      </c>
      <c r="M160" s="66">
        <v>6.5535451948860505E-4</v>
      </c>
      <c r="N160" s="67">
        <v>1.6020848464134659E-4</v>
      </c>
      <c r="O160" s="67">
        <v>1.5352768232051976E-4</v>
      </c>
      <c r="P160" s="67">
        <v>1.6544148059095698E-4</v>
      </c>
      <c r="Q160" s="67">
        <v>1.8305295722052391E-4</v>
      </c>
      <c r="R160" s="67">
        <v>1.7840682703458119E-4</v>
      </c>
      <c r="S160" s="67">
        <v>1.7550479566854165E-4</v>
      </c>
      <c r="T160" s="67">
        <v>3.5829289310172795E-4</v>
      </c>
      <c r="U160" s="67">
        <v>1.0079883073356348E-3</v>
      </c>
      <c r="V160" s="67">
        <v>4.9719130525801613E-3</v>
      </c>
      <c r="W160" s="68">
        <v>3.7732692614525542E-4</v>
      </c>
    </row>
    <row r="161" spans="1:23" x14ac:dyDescent="0.3">
      <c r="A161" s="44" t="s">
        <v>226</v>
      </c>
      <c r="B161" t="s">
        <v>197</v>
      </c>
      <c r="C161" s="45">
        <v>2014</v>
      </c>
      <c r="D161" s="91">
        <v>2715451</v>
      </c>
      <c r="E161" s="2">
        <v>1346769</v>
      </c>
      <c r="F161" s="5">
        <v>0.49596512697154177</v>
      </c>
      <c r="G161" s="2">
        <v>1368688</v>
      </c>
      <c r="H161" s="78">
        <v>0.50403708260616742</v>
      </c>
      <c r="I161" s="52">
        <v>62575</v>
      </c>
      <c r="J161" s="82">
        <v>2.3044054192102894E-2</v>
      </c>
      <c r="K161" s="59">
        <v>333</v>
      </c>
      <c r="L161" s="60">
        <v>1050</v>
      </c>
      <c r="M161" s="66">
        <v>6.8707272664811575E-4</v>
      </c>
      <c r="N161" s="67">
        <v>1.6757155305315369E-4</v>
      </c>
      <c r="O161" s="67">
        <v>1.5274132492916622E-4</v>
      </c>
      <c r="P161" s="67">
        <v>1.713213731979133E-4</v>
      </c>
      <c r="Q161" s="67">
        <v>1.8556261037109428E-4</v>
      </c>
      <c r="R161" s="67">
        <v>1.6175079055698885E-4</v>
      </c>
      <c r="S161" s="67">
        <v>1.745373306260654E-4</v>
      </c>
      <c r="T161" s="67">
        <v>2.8713904229558094E-4</v>
      </c>
      <c r="U161" s="67">
        <v>8.9614656975007471E-4</v>
      </c>
      <c r="V161" s="67">
        <v>5.3216140631242512E-3</v>
      </c>
      <c r="W161" s="68">
        <v>3.8667609910839859E-4</v>
      </c>
    </row>
    <row r="162" spans="1:23" x14ac:dyDescent="0.3">
      <c r="A162" s="44" t="s">
        <v>223</v>
      </c>
      <c r="B162" t="s">
        <v>194</v>
      </c>
      <c r="C162" s="45">
        <v>2014</v>
      </c>
      <c r="D162" s="91">
        <v>2723656</v>
      </c>
      <c r="E162" s="2">
        <v>1352370</v>
      </c>
      <c r="F162" s="5">
        <v>0.49652746161776673</v>
      </c>
      <c r="G162" s="2">
        <v>1371294</v>
      </c>
      <c r="H162" s="78">
        <v>0.50347547561072326</v>
      </c>
      <c r="I162" s="52">
        <v>55898</v>
      </c>
      <c r="J162" s="82">
        <v>2.0523149766343472E-2</v>
      </c>
      <c r="K162" s="59">
        <v>307</v>
      </c>
      <c r="L162" s="60">
        <v>1065</v>
      </c>
      <c r="M162" s="66">
        <v>6.2936952907424986E-4</v>
      </c>
      <c r="N162" s="67">
        <v>1.5781541383146891E-4</v>
      </c>
      <c r="O162" s="67">
        <v>1.5266165597186955E-4</v>
      </c>
      <c r="P162" s="67">
        <v>1.6387353333187669E-4</v>
      </c>
      <c r="Q162" s="67">
        <v>1.8179779842866103E-4</v>
      </c>
      <c r="R162" s="67">
        <v>1.6425620683141565E-4</v>
      </c>
      <c r="S162" s="67">
        <v>2.0238940325333413E-4</v>
      </c>
      <c r="T162" s="67">
        <v>3.6480411046885036E-4</v>
      </c>
      <c r="U162" s="67">
        <v>1.1915096427173228E-3</v>
      </c>
      <c r="V162" s="67">
        <v>5.4921464095316471E-3</v>
      </c>
      <c r="W162" s="68">
        <v>3.9101854272345703E-4</v>
      </c>
    </row>
    <row r="163" spans="1:23" x14ac:dyDescent="0.3">
      <c r="A163" s="44" t="s">
        <v>263</v>
      </c>
      <c r="B163" t="s">
        <v>222</v>
      </c>
      <c r="C163" s="45">
        <v>2013</v>
      </c>
      <c r="D163" s="91">
        <v>2724670</v>
      </c>
      <c r="E163" s="2">
        <v>1374060</v>
      </c>
      <c r="F163" s="5">
        <v>0.50430327342393755</v>
      </c>
      <c r="G163" s="2">
        <v>1350610</v>
      </c>
      <c r="H163" s="78">
        <v>0.4956967265760624</v>
      </c>
      <c r="I163" s="52">
        <v>33444</v>
      </c>
      <c r="J163" s="82">
        <v>1.2274513977839518E-2</v>
      </c>
      <c r="K163" s="59">
        <v>122</v>
      </c>
      <c r="L163" s="60">
        <v>891</v>
      </c>
      <c r="M163" s="66">
        <v>6.5782260717026639E-4</v>
      </c>
      <c r="N163" s="67">
        <v>1.6367728295710291E-4</v>
      </c>
      <c r="O163" s="67">
        <v>1.6645120482930428E-4</v>
      </c>
      <c r="P163" s="67">
        <v>1.5375665958531829E-4</v>
      </c>
      <c r="Q163" s="67">
        <v>1.5730690577316344E-4</v>
      </c>
      <c r="R163" s="67">
        <v>1.5989468270232674E-4</v>
      </c>
      <c r="S163" s="67">
        <v>2.2662995054499845E-4</v>
      </c>
      <c r="T163" s="67">
        <v>4.6850376932578049E-4</v>
      </c>
      <c r="U163" s="67">
        <v>1.1807328617129708E-3</v>
      </c>
      <c r="V163" s="67">
        <v>3.6478890084918072E-3</v>
      </c>
      <c r="W163" s="68">
        <v>3.2701207852694087E-4</v>
      </c>
    </row>
    <row r="164" spans="1:23" x14ac:dyDescent="0.3">
      <c r="A164" s="44" t="s">
        <v>238</v>
      </c>
      <c r="B164" t="s">
        <v>197</v>
      </c>
      <c r="C164" s="45">
        <v>2016</v>
      </c>
      <c r="D164" s="91">
        <v>2728338</v>
      </c>
      <c r="E164" s="2">
        <v>1355303</v>
      </c>
      <c r="F164" s="5">
        <v>0.49675040262606757</v>
      </c>
      <c r="G164" s="2">
        <v>1373039</v>
      </c>
      <c r="H164" s="78">
        <v>0.50325106346794279</v>
      </c>
      <c r="I164" s="52">
        <v>62424</v>
      </c>
      <c r="J164" s="82">
        <v>2.2879863125463196E-2</v>
      </c>
      <c r="K164" s="59">
        <v>294</v>
      </c>
      <c r="L164" s="60">
        <v>992</v>
      </c>
      <c r="M164" s="66">
        <v>6.8886337543053958E-4</v>
      </c>
      <c r="N164" s="67">
        <v>1.6756874507766812E-4</v>
      </c>
      <c r="O164" s="67">
        <v>1.5107984317912278E-4</v>
      </c>
      <c r="P164" s="67">
        <v>1.7004489185144879E-4</v>
      </c>
      <c r="Q164" s="67">
        <v>1.8430405253894191E-4</v>
      </c>
      <c r="R164" s="67">
        <v>1.6846834199073425E-4</v>
      </c>
      <c r="S164" s="67">
        <v>1.7185723246841407E-4</v>
      </c>
      <c r="T164" s="67">
        <v>2.6547028060208661E-4</v>
      </c>
      <c r="U164" s="67">
        <v>7.6682316118935833E-4</v>
      </c>
      <c r="V164" s="67">
        <v>4.7097270280661288E-3</v>
      </c>
      <c r="W164" s="68">
        <v>3.6359131456586389E-4</v>
      </c>
    </row>
    <row r="165" spans="1:23" x14ac:dyDescent="0.3">
      <c r="A165" s="44" t="s">
        <v>232</v>
      </c>
      <c r="B165" t="s">
        <v>194</v>
      </c>
      <c r="C165" s="45">
        <v>2010</v>
      </c>
      <c r="D165" s="91">
        <v>2728504</v>
      </c>
      <c r="E165" s="2">
        <v>1350925</v>
      </c>
      <c r="F165" s="5">
        <v>0.4951156384597567</v>
      </c>
      <c r="G165" s="2">
        <v>1377581</v>
      </c>
      <c r="H165" s="78">
        <v>0.50488509454265051</v>
      </c>
      <c r="I165" s="52">
        <v>56069</v>
      </c>
      <c r="J165" s="82">
        <v>2.0549355984085051E-2</v>
      </c>
      <c r="K165" s="59">
        <v>303</v>
      </c>
      <c r="L165" s="60">
        <v>1027</v>
      </c>
      <c r="M165" s="66">
        <v>6.2130131560553584E-4</v>
      </c>
      <c r="N165" s="67">
        <v>1.5647044403704178E-4</v>
      </c>
      <c r="O165" s="67">
        <v>1.4953680973185557E-4</v>
      </c>
      <c r="P165" s="67">
        <v>1.7091533708777357E-4</v>
      </c>
      <c r="Q165" s="67">
        <v>1.7254369669118705E-4</v>
      </c>
      <c r="R165" s="67">
        <v>1.5140847736064741E-4</v>
      </c>
      <c r="S165" s="67">
        <v>1.9934614464556255E-4</v>
      </c>
      <c r="T165" s="67">
        <v>3.4055885708447563E-4</v>
      </c>
      <c r="U165" s="67">
        <v>1.0040892343819588E-3</v>
      </c>
      <c r="V165" s="67">
        <v>5.4040557170629043E-3</v>
      </c>
      <c r="W165" s="68">
        <v>3.7639673608688131E-4</v>
      </c>
    </row>
    <row r="166" spans="1:23" x14ac:dyDescent="0.3">
      <c r="A166" s="44" t="s">
        <v>213</v>
      </c>
      <c r="B166" t="s">
        <v>194</v>
      </c>
      <c r="C166" s="45">
        <v>2011</v>
      </c>
      <c r="D166" s="91">
        <v>2734051</v>
      </c>
      <c r="E166" s="2">
        <v>1355641</v>
      </c>
      <c r="F166" s="5">
        <v>0.49583603231980677</v>
      </c>
      <c r="G166" s="2">
        <v>1378415</v>
      </c>
      <c r="H166" s="78">
        <v>0.5041657964683175</v>
      </c>
      <c r="I166" s="52">
        <v>55140</v>
      </c>
      <c r="J166" s="82">
        <v>2.0167875434657218E-2</v>
      </c>
      <c r="K166" s="59">
        <v>374</v>
      </c>
      <c r="L166" s="60">
        <v>1101</v>
      </c>
      <c r="M166" s="66">
        <v>6.1571931408868413E-4</v>
      </c>
      <c r="N166" s="67">
        <v>1.550736212016655E-4</v>
      </c>
      <c r="O166" s="67">
        <v>1.5439365750854954E-4</v>
      </c>
      <c r="P166" s="67">
        <v>1.6758325396404222E-4</v>
      </c>
      <c r="Q166" s="67">
        <v>1.7332724762108353E-4</v>
      </c>
      <c r="R166" s="67">
        <v>1.5233800757119898E-4</v>
      </c>
      <c r="S166" s="67">
        <v>1.9287581048022862E-4</v>
      </c>
      <c r="T166" s="67">
        <v>3.3508695506483934E-4</v>
      </c>
      <c r="U166" s="67">
        <v>1.0521083588766464E-3</v>
      </c>
      <c r="V166" s="67">
        <v>6.7827348567283275E-3</v>
      </c>
      <c r="W166" s="68">
        <v>4.0269914496840036E-4</v>
      </c>
    </row>
    <row r="167" spans="1:23" x14ac:dyDescent="0.3">
      <c r="A167" s="44" t="s">
        <v>192</v>
      </c>
      <c r="B167" t="s">
        <v>183</v>
      </c>
      <c r="C167" s="45">
        <v>2016</v>
      </c>
      <c r="D167" s="91">
        <v>2734347</v>
      </c>
      <c r="E167" s="2">
        <v>1329287</v>
      </c>
      <c r="F167" s="5">
        <v>0.48614422383113776</v>
      </c>
      <c r="G167" s="2">
        <v>1405064</v>
      </c>
      <c r="H167" s="78">
        <v>0.5138572390409849</v>
      </c>
      <c r="I167" s="52">
        <v>44624</v>
      </c>
      <c r="J167" s="82">
        <v>1.6319801400480626E-2</v>
      </c>
      <c r="K167" s="59">
        <v>263</v>
      </c>
      <c r="L167" s="60">
        <v>1186</v>
      </c>
      <c r="M167" s="66">
        <v>6.8355425427079003E-4</v>
      </c>
      <c r="N167" s="67">
        <v>1.5870412789436653E-4</v>
      </c>
      <c r="O167" s="67">
        <v>1.517366256809181E-4</v>
      </c>
      <c r="P167" s="67">
        <v>1.6742192557537335E-4</v>
      </c>
      <c r="Q167" s="67">
        <v>1.762523463593609E-4</v>
      </c>
      <c r="R167" s="67">
        <v>1.6754581679981906E-4</v>
      </c>
      <c r="S167" s="67">
        <v>2.6358873128886105E-4</v>
      </c>
      <c r="T167" s="67">
        <v>6.4730904383206958E-4</v>
      </c>
      <c r="U167" s="67">
        <v>1.7775936904053087E-3</v>
      </c>
      <c r="V167" s="67">
        <v>5.8936894944424528E-3</v>
      </c>
      <c r="W167" s="68">
        <v>4.3374158437096684E-4</v>
      </c>
    </row>
    <row r="168" spans="1:23" x14ac:dyDescent="0.3">
      <c r="A168" s="44" t="s">
        <v>215</v>
      </c>
      <c r="B168" t="s">
        <v>199</v>
      </c>
      <c r="C168" s="45">
        <v>2015</v>
      </c>
      <c r="D168" s="91">
        <v>2739882</v>
      </c>
      <c r="E168" s="2">
        <v>1346510</v>
      </c>
      <c r="F168" s="5">
        <v>0.49144817185557627</v>
      </c>
      <c r="G168" s="2">
        <v>1393376</v>
      </c>
      <c r="H168" s="78">
        <v>0.50855328806131062</v>
      </c>
      <c r="I168" s="52">
        <v>49972</v>
      </c>
      <c r="J168" s="82">
        <v>1.8238741668436816E-2</v>
      </c>
      <c r="K168" s="59">
        <v>268</v>
      </c>
      <c r="L168" s="60">
        <v>1096</v>
      </c>
      <c r="M168" s="66">
        <v>6.7240075084750513E-4</v>
      </c>
      <c r="N168" s="67">
        <v>1.6298855820321413E-4</v>
      </c>
      <c r="O168" s="67">
        <v>1.6221784234047903E-4</v>
      </c>
      <c r="P168" s="67">
        <v>1.6660742846987738E-4</v>
      </c>
      <c r="Q168" s="67">
        <v>1.7621559390528998E-4</v>
      </c>
      <c r="R168" s="67">
        <v>1.6611433649781144E-4</v>
      </c>
      <c r="S168" s="67">
        <v>1.757170720850002E-4</v>
      </c>
      <c r="T168" s="67">
        <v>4.3487444553508194E-4</v>
      </c>
      <c r="U168" s="67">
        <v>1.4184287220189743E-3</v>
      </c>
      <c r="V168" s="67">
        <v>5.363003281837829E-3</v>
      </c>
      <c r="W168" s="68">
        <v>4.0001722701926582E-4</v>
      </c>
    </row>
    <row r="169" spans="1:23" x14ac:dyDescent="0.3">
      <c r="A169" s="44" t="s">
        <v>236</v>
      </c>
      <c r="B169" t="s">
        <v>194</v>
      </c>
      <c r="C169" s="45">
        <v>2016</v>
      </c>
      <c r="D169" s="91">
        <v>2741881</v>
      </c>
      <c r="E169" s="2">
        <v>1365043</v>
      </c>
      <c r="F169" s="5">
        <v>0.4978491043192611</v>
      </c>
      <c r="G169" s="2">
        <v>1376847</v>
      </c>
      <c r="H169" s="78">
        <v>0.50215417809890361</v>
      </c>
      <c r="I169" s="52">
        <v>55861</v>
      </c>
      <c r="J169" s="82">
        <v>2.0373240122383139E-2</v>
      </c>
      <c r="K169" s="59">
        <v>272</v>
      </c>
      <c r="L169" s="60">
        <v>999</v>
      </c>
      <c r="M169" s="66">
        <v>6.3813155081920135E-4</v>
      </c>
      <c r="N169" s="67">
        <v>1.5719357078295497E-4</v>
      </c>
      <c r="O169" s="67">
        <v>1.5033035094620429E-4</v>
      </c>
      <c r="P169" s="67">
        <v>1.631299193866315E-4</v>
      </c>
      <c r="Q169" s="67">
        <v>1.8133023863059405E-4</v>
      </c>
      <c r="R169" s="67">
        <v>1.7122261508300017E-4</v>
      </c>
      <c r="S169" s="67">
        <v>1.7589479146206682E-4</v>
      </c>
      <c r="T169" s="67">
        <v>3.7317839344339733E-4</v>
      </c>
      <c r="U169" s="67">
        <v>9.1657472630060253E-4</v>
      </c>
      <c r="V169" s="67">
        <v>4.8692289790730568E-3</v>
      </c>
      <c r="W169" s="68">
        <v>3.643484162879425E-4</v>
      </c>
    </row>
    <row r="170" spans="1:23" x14ac:dyDescent="0.3">
      <c r="A170" s="44" t="s">
        <v>295</v>
      </c>
      <c r="B170" t="s">
        <v>270</v>
      </c>
      <c r="C170" s="45">
        <v>2012</v>
      </c>
      <c r="D170" s="91">
        <v>2746115</v>
      </c>
      <c r="E170" s="2">
        <v>1379707</v>
      </c>
      <c r="F170" s="5">
        <v>0.50242142080721308</v>
      </c>
      <c r="G170" s="2">
        <v>1366411</v>
      </c>
      <c r="H170" s="78">
        <v>0.49757967164521516</v>
      </c>
      <c r="I170" s="52">
        <v>30176</v>
      </c>
      <c r="J170" s="82">
        <v>1.0988614824943602E-2</v>
      </c>
      <c r="K170" s="59">
        <v>143</v>
      </c>
      <c r="L170" s="60">
        <v>822</v>
      </c>
      <c r="M170" s="66">
        <v>4.6356029760571108E-4</v>
      </c>
      <c r="N170" s="67">
        <v>1.2678127694102135E-4</v>
      </c>
      <c r="O170" s="67">
        <v>1.3375033716230827E-4</v>
      </c>
      <c r="P170" s="67">
        <v>1.3655046222331462E-4</v>
      </c>
      <c r="Q170" s="67">
        <v>1.7987552613591394E-4</v>
      </c>
      <c r="R170" s="67">
        <v>1.9789831984326454E-4</v>
      </c>
      <c r="S170" s="67">
        <v>2.5154595954302483E-4</v>
      </c>
      <c r="T170" s="67">
        <v>4.3705338607110859E-4</v>
      </c>
      <c r="U170" s="67">
        <v>9.6931325996000054E-4</v>
      </c>
      <c r="V170" s="67">
        <v>4.7388653234358433E-3</v>
      </c>
      <c r="W170" s="68">
        <v>2.9933196534012593E-4</v>
      </c>
    </row>
    <row r="171" spans="1:23" x14ac:dyDescent="0.3">
      <c r="A171" s="44" t="s">
        <v>191</v>
      </c>
      <c r="B171" t="s">
        <v>183</v>
      </c>
      <c r="C171" s="45">
        <v>2015</v>
      </c>
      <c r="D171" s="91">
        <v>2747187</v>
      </c>
      <c r="E171" s="2">
        <v>1337702</v>
      </c>
      <c r="F171" s="5">
        <v>0.48693518133275965</v>
      </c>
      <c r="G171" s="2">
        <v>1409488</v>
      </c>
      <c r="H171" s="78">
        <v>0.5130659106933747</v>
      </c>
      <c r="I171" s="52">
        <v>43418</v>
      </c>
      <c r="J171" s="82">
        <v>1.5804530234017559E-2</v>
      </c>
      <c r="K171" s="59">
        <v>290</v>
      </c>
      <c r="L171" s="60">
        <v>1201</v>
      </c>
      <c r="M171" s="66">
        <v>6.6239056755831795E-4</v>
      </c>
      <c r="N171" s="67">
        <v>1.5738654397511194E-4</v>
      </c>
      <c r="O171" s="67">
        <v>1.5012009607686148E-4</v>
      </c>
      <c r="P171" s="67">
        <v>1.668571619265328E-4</v>
      </c>
      <c r="Q171" s="67">
        <v>1.7476406850751484E-4</v>
      </c>
      <c r="R171" s="67">
        <v>1.6418159579038389E-4</v>
      </c>
      <c r="S171" s="67">
        <v>2.3064708334935048E-4</v>
      </c>
      <c r="T171" s="67">
        <v>6.4799709987311941E-4</v>
      </c>
      <c r="U171" s="67">
        <v>1.8156666090264569E-3</v>
      </c>
      <c r="V171" s="67">
        <v>6.6792574508268464E-3</v>
      </c>
      <c r="W171" s="68">
        <v>4.3717446245923559E-4</v>
      </c>
    </row>
    <row r="172" spans="1:23" x14ac:dyDescent="0.3">
      <c r="A172" s="44" t="s">
        <v>269</v>
      </c>
      <c r="B172" t="s">
        <v>270</v>
      </c>
      <c r="C172" s="45">
        <v>2013</v>
      </c>
      <c r="D172" s="91">
        <v>2753090</v>
      </c>
      <c r="E172" s="2">
        <v>1384457</v>
      </c>
      <c r="F172" s="5">
        <v>0.50287386173354298</v>
      </c>
      <c r="G172" s="2">
        <v>1368634</v>
      </c>
      <c r="H172" s="78">
        <v>0.49712650149468418</v>
      </c>
      <c r="I172" s="52">
        <v>32037</v>
      </c>
      <c r="J172" s="82">
        <v>1.1636742714549833E-2</v>
      </c>
      <c r="K172" s="59">
        <v>177</v>
      </c>
      <c r="L172" s="60">
        <v>885</v>
      </c>
      <c r="M172" s="66">
        <v>4.7874568630188906E-4</v>
      </c>
      <c r="N172" s="67">
        <v>1.2702821720131431E-4</v>
      </c>
      <c r="O172" s="67">
        <v>1.3654797613141378E-4</v>
      </c>
      <c r="P172" s="67">
        <v>1.3860718262420358E-4</v>
      </c>
      <c r="Q172" s="67">
        <v>1.7527715700451339E-4</v>
      </c>
      <c r="R172" s="67">
        <v>1.9827173140789451E-4</v>
      </c>
      <c r="S172" s="67">
        <v>2.4016234974842993E-4</v>
      </c>
      <c r="T172" s="67">
        <v>4.0729879439556859E-4</v>
      </c>
      <c r="U172" s="67">
        <v>1.28517879454989E-3</v>
      </c>
      <c r="V172" s="67">
        <v>5.5248618784530384E-3</v>
      </c>
      <c r="W172" s="68">
        <v>3.2145698106491254E-4</v>
      </c>
    </row>
    <row r="173" spans="1:23" x14ac:dyDescent="0.3">
      <c r="A173" s="44" t="s">
        <v>233</v>
      </c>
      <c r="B173" t="s">
        <v>183</v>
      </c>
      <c r="C173" s="45">
        <v>2011</v>
      </c>
      <c r="D173" s="91">
        <v>2753252</v>
      </c>
      <c r="E173" s="2">
        <v>1337640</v>
      </c>
      <c r="F173" s="5">
        <v>0.48584001755015521</v>
      </c>
      <c r="G173" s="2">
        <v>1415615</v>
      </c>
      <c r="H173" s="78">
        <v>0.51416107207040984</v>
      </c>
      <c r="I173" s="52">
        <v>40469</v>
      </c>
      <c r="J173" s="82">
        <v>1.4698618215840759E-2</v>
      </c>
      <c r="K173" s="59">
        <v>217</v>
      </c>
      <c r="L173" s="60">
        <v>1029</v>
      </c>
      <c r="M173" s="66">
        <v>6.1729347675118442E-4</v>
      </c>
      <c r="N173" s="67">
        <v>1.5491986769843299E-4</v>
      </c>
      <c r="O173" s="67">
        <v>1.4851668956298965E-4</v>
      </c>
      <c r="P173" s="67">
        <v>1.6877114913462594E-4</v>
      </c>
      <c r="Q173" s="67">
        <v>1.6779602714939718E-4</v>
      </c>
      <c r="R173" s="67">
        <v>1.5464276233211595E-4</v>
      </c>
      <c r="S173" s="67">
        <v>1.8887584246495565E-4</v>
      </c>
      <c r="T173" s="67">
        <v>3.6163602098507612E-4</v>
      </c>
      <c r="U173" s="67">
        <v>1.7969532255757402E-3</v>
      </c>
      <c r="V173" s="67">
        <v>5.362129037040698E-3</v>
      </c>
      <c r="W173" s="68">
        <v>3.7373985381650501E-4</v>
      </c>
    </row>
    <row r="174" spans="1:23" x14ac:dyDescent="0.3">
      <c r="A174" s="44" t="s">
        <v>228</v>
      </c>
      <c r="B174" t="s">
        <v>194</v>
      </c>
      <c r="C174" s="45">
        <v>2009</v>
      </c>
      <c r="D174" s="91">
        <v>2765788</v>
      </c>
      <c r="E174" s="2">
        <v>1370683</v>
      </c>
      <c r="F174" s="5">
        <v>0.4955849833754431</v>
      </c>
      <c r="G174" s="2">
        <v>1395109</v>
      </c>
      <c r="H174" s="78">
        <v>0.50441646286700215</v>
      </c>
      <c r="I174" s="52">
        <v>57536</v>
      </c>
      <c r="J174" s="82">
        <v>2.080275133162773E-2</v>
      </c>
      <c r="K174" s="59">
        <v>322</v>
      </c>
      <c r="L174" s="60">
        <v>1059</v>
      </c>
      <c r="M174" s="66">
        <v>6.0531466273884712E-4</v>
      </c>
      <c r="N174" s="67">
        <v>1.5827292583330696E-4</v>
      </c>
      <c r="O174" s="67">
        <v>1.4245555386719345E-4</v>
      </c>
      <c r="P174" s="67">
        <v>1.692901944297883E-4</v>
      </c>
      <c r="Q174" s="67">
        <v>1.659539864913455E-4</v>
      </c>
      <c r="R174" s="67">
        <v>1.4967557818428557E-4</v>
      </c>
      <c r="S174" s="67">
        <v>2.0479423299439887E-4</v>
      </c>
      <c r="T174" s="67">
        <v>3.4390654912705052E-4</v>
      </c>
      <c r="U174" s="67">
        <v>1.0907990700340774E-3</v>
      </c>
      <c r="V174" s="67">
        <v>5.596496106785317E-3</v>
      </c>
      <c r="W174" s="68">
        <v>3.8289268736432439E-4</v>
      </c>
    </row>
    <row r="175" spans="1:23" x14ac:dyDescent="0.3">
      <c r="A175" s="44" t="s">
        <v>210</v>
      </c>
      <c r="B175" t="s">
        <v>194</v>
      </c>
      <c r="C175" s="45">
        <v>2015</v>
      </c>
      <c r="D175" s="91">
        <v>2767816</v>
      </c>
      <c r="E175" s="2">
        <v>1377333</v>
      </c>
      <c r="F175" s="5">
        <v>0.49762448081808908</v>
      </c>
      <c r="G175" s="2">
        <v>1390490</v>
      </c>
      <c r="H175" s="78">
        <v>0.50237804825176235</v>
      </c>
      <c r="I175" s="52">
        <v>56242</v>
      </c>
      <c r="J175" s="82">
        <v>2.0319992369434964E-2</v>
      </c>
      <c r="K175" s="59">
        <v>360</v>
      </c>
      <c r="L175" s="60">
        <v>1117</v>
      </c>
      <c r="M175" s="66">
        <v>6.2900993835702601E-4</v>
      </c>
      <c r="N175" s="67">
        <v>1.5570826499470593E-4</v>
      </c>
      <c r="O175" s="67">
        <v>1.4935627445708993E-4</v>
      </c>
      <c r="P175" s="67">
        <v>1.6230253191949794E-4</v>
      </c>
      <c r="Q175" s="67">
        <v>1.8041694355655922E-4</v>
      </c>
      <c r="R175" s="67">
        <v>1.6539177175935497E-4</v>
      </c>
      <c r="S175" s="67">
        <v>1.7508995246307791E-4</v>
      </c>
      <c r="T175" s="67">
        <v>3.7500180289328313E-4</v>
      </c>
      <c r="U175" s="67">
        <v>1.1673609244826659E-3</v>
      </c>
      <c r="V175" s="67">
        <v>6.4009103516944636E-3</v>
      </c>
      <c r="W175" s="68">
        <v>4.0356728915505945E-4</v>
      </c>
    </row>
    <row r="176" spans="1:23" x14ac:dyDescent="0.3">
      <c r="A176" s="44" t="s">
        <v>289</v>
      </c>
      <c r="B176" t="s">
        <v>270</v>
      </c>
      <c r="C176" s="45">
        <v>2014</v>
      </c>
      <c r="D176" s="91">
        <v>2773776</v>
      </c>
      <c r="E176" s="2">
        <v>1394045</v>
      </c>
      <c r="F176" s="5">
        <v>0.50258023719290956</v>
      </c>
      <c r="G176" s="2">
        <v>1379732</v>
      </c>
      <c r="H176" s="78">
        <v>0.49742012332646907</v>
      </c>
      <c r="I176" s="52">
        <v>31744</v>
      </c>
      <c r="J176" s="82">
        <v>1.1444327155473262E-2</v>
      </c>
      <c r="K176" s="59">
        <v>147</v>
      </c>
      <c r="L176" s="60">
        <v>841</v>
      </c>
      <c r="M176" s="66">
        <v>4.8202643915018739E-4</v>
      </c>
      <c r="N176" s="67">
        <v>1.2490944065552474E-4</v>
      </c>
      <c r="O176" s="67">
        <v>1.3521766663887193E-4</v>
      </c>
      <c r="P176" s="67">
        <v>1.3920564618100911E-4</v>
      </c>
      <c r="Q176" s="67">
        <v>1.7109810765492933E-4</v>
      </c>
      <c r="R176" s="67">
        <v>2.0090743190075174E-4</v>
      </c>
      <c r="S176" s="67">
        <v>2.3695933777763737E-4</v>
      </c>
      <c r="T176" s="67">
        <v>3.9776456315506853E-4</v>
      </c>
      <c r="U176" s="67">
        <v>1.1367209229206472E-3</v>
      </c>
      <c r="V176" s="67">
        <v>4.6307963709677422E-3</v>
      </c>
      <c r="W176" s="68">
        <v>3.0319679743425566E-4</v>
      </c>
    </row>
    <row r="177" spans="1:23" x14ac:dyDescent="0.3">
      <c r="A177" s="44" t="s">
        <v>217</v>
      </c>
      <c r="B177" t="s">
        <v>194</v>
      </c>
      <c r="C177" s="45">
        <v>2012</v>
      </c>
      <c r="D177" s="91">
        <v>2781980</v>
      </c>
      <c r="E177" s="2">
        <v>1380266</v>
      </c>
      <c r="F177" s="5">
        <v>0.49614519155421677</v>
      </c>
      <c r="G177" s="2">
        <v>1401717</v>
      </c>
      <c r="H177" s="78">
        <v>0.50385588681442717</v>
      </c>
      <c r="I177" s="52">
        <v>57115</v>
      </c>
      <c r="J177" s="82">
        <v>2.0530341699077637E-2</v>
      </c>
      <c r="K177" s="59">
        <v>348</v>
      </c>
      <c r="L177" s="60">
        <v>1102</v>
      </c>
      <c r="M177" s="66">
        <v>6.0479603253802653E-4</v>
      </c>
      <c r="N177" s="67">
        <v>1.533409151896955E-4</v>
      </c>
      <c r="O177" s="67">
        <v>1.4965243222615475E-4</v>
      </c>
      <c r="P177" s="67">
        <v>1.62381157290508E-4</v>
      </c>
      <c r="Q177" s="67">
        <v>1.7527766904070532E-4</v>
      </c>
      <c r="R177" s="67">
        <v>1.5272888332276959E-4</v>
      </c>
      <c r="S177" s="67">
        <v>1.852818291022169E-4</v>
      </c>
      <c r="T177" s="67">
        <v>3.2176239991848685E-4</v>
      </c>
      <c r="U177" s="67">
        <v>1.2674479852515144E-3</v>
      </c>
      <c r="V177" s="67">
        <v>6.092970323032478E-3</v>
      </c>
      <c r="W177" s="68">
        <v>3.9612074853162137E-4</v>
      </c>
    </row>
    <row r="178" spans="1:23" x14ac:dyDescent="0.3">
      <c r="A178" s="44" t="s">
        <v>235</v>
      </c>
      <c r="B178" t="s">
        <v>222</v>
      </c>
      <c r="C178" s="45">
        <v>2015</v>
      </c>
      <c r="D178" s="91">
        <v>2786183</v>
      </c>
      <c r="E178" s="2">
        <v>1399888</v>
      </c>
      <c r="F178" s="5">
        <v>0.50243935879301538</v>
      </c>
      <c r="G178" s="2">
        <v>1386295</v>
      </c>
      <c r="H178" s="78">
        <v>0.49756064120698462</v>
      </c>
      <c r="I178" s="52">
        <v>36239</v>
      </c>
      <c r="J178" s="82">
        <v>1.3006683337024165E-2</v>
      </c>
      <c r="K178" s="59">
        <v>175</v>
      </c>
      <c r="L178" s="60">
        <v>1024</v>
      </c>
      <c r="M178" s="66">
        <v>6.6783909530063895E-4</v>
      </c>
      <c r="N178" s="67">
        <v>1.6172986261048171E-4</v>
      </c>
      <c r="O178" s="67">
        <v>1.6600954554886905E-4</v>
      </c>
      <c r="P178" s="67">
        <v>1.5067918643284605E-4</v>
      </c>
      <c r="Q178" s="67">
        <v>1.5734980960673038E-4</v>
      </c>
      <c r="R178" s="67">
        <v>1.5838071556407293E-4</v>
      </c>
      <c r="S178" s="67">
        <v>2.2943980929678189E-4</v>
      </c>
      <c r="T178" s="67">
        <v>5.3541674697917875E-4</v>
      </c>
      <c r="U178" s="67">
        <v>1.5591884750763255E-3</v>
      </c>
      <c r="V178" s="67">
        <v>4.8290515742708132E-3</v>
      </c>
      <c r="W178" s="68">
        <v>3.6752790466383579E-4</v>
      </c>
    </row>
    <row r="179" spans="1:23" x14ac:dyDescent="0.3">
      <c r="A179" s="44" t="s">
        <v>241</v>
      </c>
      <c r="B179" t="s">
        <v>183</v>
      </c>
      <c r="C179" s="45">
        <v>2012</v>
      </c>
      <c r="D179" s="91">
        <v>2787856</v>
      </c>
      <c r="E179" s="2">
        <v>1353152</v>
      </c>
      <c r="F179" s="5">
        <v>0.48537370653290557</v>
      </c>
      <c r="G179" s="2">
        <v>1434709</v>
      </c>
      <c r="H179" s="78">
        <v>0.51462808696001516</v>
      </c>
      <c r="I179" s="52">
        <v>41661</v>
      </c>
      <c r="J179" s="82">
        <v>1.4943741714062707E-2</v>
      </c>
      <c r="K179" s="59">
        <v>237</v>
      </c>
      <c r="L179" s="60">
        <v>990</v>
      </c>
      <c r="M179" s="66">
        <v>6.1370401055570894E-4</v>
      </c>
      <c r="N179" s="67">
        <v>1.5366057914672281E-4</v>
      </c>
      <c r="O179" s="67">
        <v>1.4544185234743149E-4</v>
      </c>
      <c r="P179" s="67">
        <v>1.6610100048169291E-4</v>
      </c>
      <c r="Q179" s="67">
        <v>1.6955810332305624E-4</v>
      </c>
      <c r="R179" s="67">
        <v>1.5456627415420048E-4</v>
      </c>
      <c r="S179" s="67">
        <v>1.826378382985459E-4</v>
      </c>
      <c r="T179" s="67">
        <v>4.471546712921787E-4</v>
      </c>
      <c r="U179" s="67">
        <v>1.0767872903795234E-3</v>
      </c>
      <c r="V179" s="67">
        <v>5.6887736732195576E-3</v>
      </c>
      <c r="W179" s="68">
        <v>3.5511159830349916E-4</v>
      </c>
    </row>
    <row r="180" spans="1:23" x14ac:dyDescent="0.3">
      <c r="A180" s="44" t="s">
        <v>207</v>
      </c>
      <c r="B180" t="s">
        <v>199</v>
      </c>
      <c r="C180" s="45">
        <v>2012</v>
      </c>
      <c r="D180" s="91">
        <v>2802853</v>
      </c>
      <c r="E180" s="2">
        <v>1375074</v>
      </c>
      <c r="F180" s="5">
        <v>0.49059797285123408</v>
      </c>
      <c r="G180" s="2">
        <v>1427783</v>
      </c>
      <c r="H180" s="78">
        <v>0.50940345426606393</v>
      </c>
      <c r="I180" s="52">
        <v>48292</v>
      </c>
      <c r="J180" s="82">
        <v>1.7229587138533488E-2</v>
      </c>
      <c r="K180" s="59">
        <v>353</v>
      </c>
      <c r="L180" s="60">
        <v>1141</v>
      </c>
      <c r="M180" s="66">
        <v>6.3619976672675224E-4</v>
      </c>
      <c r="N180" s="67">
        <v>1.5865418939608282E-4</v>
      </c>
      <c r="O180" s="67">
        <v>1.5532452470695441E-4</v>
      </c>
      <c r="P180" s="67">
        <v>1.6587186398507153E-4</v>
      </c>
      <c r="Q180" s="67">
        <v>1.6875595919480906E-4</v>
      </c>
      <c r="R180" s="67">
        <v>1.546236331915091E-4</v>
      </c>
      <c r="S180" s="67">
        <v>1.9068237889468759E-4</v>
      </c>
      <c r="T180" s="67">
        <v>3.5416878799013639E-4</v>
      </c>
      <c r="U180" s="67">
        <v>1.2539426109700745E-3</v>
      </c>
      <c r="V180" s="67">
        <v>7.3096993290814212E-3</v>
      </c>
      <c r="W180" s="68">
        <v>4.0708520924928994E-4</v>
      </c>
    </row>
    <row r="181" spans="1:23" x14ac:dyDescent="0.3">
      <c r="A181" s="44" t="s">
        <v>214</v>
      </c>
      <c r="B181" t="s">
        <v>199</v>
      </c>
      <c r="C181" s="45">
        <v>2017</v>
      </c>
      <c r="D181" s="91">
        <v>2804554</v>
      </c>
      <c r="E181" s="2">
        <v>1378812</v>
      </c>
      <c r="F181" s="5">
        <v>0.49163325077712894</v>
      </c>
      <c r="G181" s="2">
        <v>1425744</v>
      </c>
      <c r="H181" s="78">
        <v>0.50836746234873709</v>
      </c>
      <c r="I181" s="52">
        <v>51022</v>
      </c>
      <c r="J181" s="82">
        <v>1.8192553967582726E-2</v>
      </c>
      <c r="K181" s="59">
        <v>240</v>
      </c>
      <c r="L181" s="60">
        <v>1125</v>
      </c>
      <c r="M181" s="66">
        <v>6.6192288598378288E-4</v>
      </c>
      <c r="N181" s="67">
        <v>1.5945911468299528E-4</v>
      </c>
      <c r="O181" s="67">
        <v>1.5445446682318053E-4</v>
      </c>
      <c r="P181" s="67">
        <v>1.6206711199107552E-4</v>
      </c>
      <c r="Q181" s="67">
        <v>1.7187397054653058E-4</v>
      </c>
      <c r="R181" s="67">
        <v>1.6821235127224609E-4</v>
      </c>
      <c r="S181" s="67">
        <v>1.8992641790142818E-4</v>
      </c>
      <c r="T181" s="67">
        <v>4.6831771618372224E-4</v>
      </c>
      <c r="U181" s="67">
        <v>1.6928936939709901E-3</v>
      </c>
      <c r="V181" s="67">
        <v>4.703853239778919E-3</v>
      </c>
      <c r="W181" s="68">
        <v>4.0113329962625075E-4</v>
      </c>
    </row>
    <row r="182" spans="1:23" x14ac:dyDescent="0.3">
      <c r="A182" s="44" t="s">
        <v>203</v>
      </c>
      <c r="B182" t="s">
        <v>183</v>
      </c>
      <c r="C182" s="45">
        <v>2013</v>
      </c>
      <c r="D182" s="91">
        <v>2810919</v>
      </c>
      <c r="E182" s="2">
        <v>1364091</v>
      </c>
      <c r="F182" s="5">
        <v>0.48528292704272163</v>
      </c>
      <c r="G182" s="2">
        <v>1446831</v>
      </c>
      <c r="H182" s="78">
        <v>0.51471814022389117</v>
      </c>
      <c r="I182" s="52">
        <v>43739</v>
      </c>
      <c r="J182" s="82">
        <v>1.5560391459163355E-2</v>
      </c>
      <c r="K182" s="59">
        <v>282</v>
      </c>
      <c r="L182" s="60">
        <v>1158</v>
      </c>
      <c r="M182" s="66">
        <v>6.1801832424331386E-4</v>
      </c>
      <c r="N182" s="67">
        <v>1.526713672484294E-4</v>
      </c>
      <c r="O182" s="67">
        <v>1.453977962540681E-4</v>
      </c>
      <c r="P182" s="67">
        <v>1.6425890488588112E-4</v>
      </c>
      <c r="Q182" s="67">
        <v>1.7031858090558389E-4</v>
      </c>
      <c r="R182" s="67">
        <v>1.5590935430140915E-4</v>
      </c>
      <c r="S182" s="67">
        <v>2.4627983917629781E-4</v>
      </c>
      <c r="T182" s="67">
        <v>5.1049347702779356E-4</v>
      </c>
      <c r="U182" s="67">
        <v>1.7585245550075059E-3</v>
      </c>
      <c r="V182" s="67">
        <v>6.447335330025835E-3</v>
      </c>
      <c r="W182" s="68">
        <v>4.1196491254283743E-4</v>
      </c>
    </row>
    <row r="183" spans="1:23" x14ac:dyDescent="0.3">
      <c r="A183" s="44" t="s">
        <v>198</v>
      </c>
      <c r="B183" t="s">
        <v>199</v>
      </c>
      <c r="C183" s="45">
        <v>2013</v>
      </c>
      <c r="D183" s="91">
        <v>2812703</v>
      </c>
      <c r="E183" s="2">
        <v>1382700</v>
      </c>
      <c r="F183" s="5">
        <v>0.49159118470737934</v>
      </c>
      <c r="G183" s="2">
        <v>1430008</v>
      </c>
      <c r="H183" s="78">
        <v>0.50841059294209168</v>
      </c>
      <c r="I183" s="52">
        <v>48819</v>
      </c>
      <c r="J183" s="82">
        <v>1.7356613904845268E-2</v>
      </c>
      <c r="K183" s="59">
        <v>335</v>
      </c>
      <c r="L183" s="60">
        <v>1194</v>
      </c>
      <c r="M183" s="66">
        <v>6.3744681303153766E-4</v>
      </c>
      <c r="N183" s="67">
        <v>1.576628065556195E-4</v>
      </c>
      <c r="O183" s="67">
        <v>1.5373538552991307E-4</v>
      </c>
      <c r="P183" s="67">
        <v>1.6268936364055412E-4</v>
      </c>
      <c r="Q183" s="67">
        <v>1.695633743111488E-4</v>
      </c>
      <c r="R183" s="67">
        <v>1.5629965770374963E-4</v>
      </c>
      <c r="S183" s="67">
        <v>1.7586591982272717E-4</v>
      </c>
      <c r="T183" s="67">
        <v>5.6937382019174761E-4</v>
      </c>
      <c r="U183" s="67">
        <v>1.4680637869831678E-3</v>
      </c>
      <c r="V183" s="67">
        <v>6.8620823859562871E-3</v>
      </c>
      <c r="W183" s="68">
        <v>4.2450269367224339E-4</v>
      </c>
    </row>
    <row r="184" spans="1:23" x14ac:dyDescent="0.3">
      <c r="A184" s="44" t="s">
        <v>239</v>
      </c>
      <c r="B184" t="s">
        <v>222</v>
      </c>
      <c r="C184" s="45">
        <v>2017</v>
      </c>
      <c r="D184" s="91">
        <v>2818364</v>
      </c>
      <c r="E184" s="2">
        <v>1411573</v>
      </c>
      <c r="F184" s="5">
        <v>0.50084836451217796</v>
      </c>
      <c r="G184" s="2">
        <v>1406792</v>
      </c>
      <c r="H184" s="78">
        <v>0.49915199030359458</v>
      </c>
      <c r="I184" s="52">
        <v>38309</v>
      </c>
      <c r="J184" s="82">
        <v>1.3592637430793184E-2</v>
      </c>
      <c r="K184" s="59">
        <v>154</v>
      </c>
      <c r="L184" s="60">
        <v>1017</v>
      </c>
      <c r="M184" s="66">
        <v>6.7762154836523798E-4</v>
      </c>
      <c r="N184" s="67">
        <v>1.6316230298151914E-4</v>
      </c>
      <c r="O184" s="67">
        <v>1.6968853669090386E-4</v>
      </c>
      <c r="P184" s="67">
        <v>1.4667452190217299E-4</v>
      </c>
      <c r="Q184" s="67">
        <v>1.5818988586599735E-4</v>
      </c>
      <c r="R184" s="67">
        <v>1.5863279680196281E-4</v>
      </c>
      <c r="S184" s="67">
        <v>2.5910506856094791E-4</v>
      </c>
      <c r="T184" s="67">
        <v>6.2087789791830182E-4</v>
      </c>
      <c r="U184" s="67">
        <v>1.1689829848032212E-3</v>
      </c>
      <c r="V184" s="67">
        <v>4.0199430943120415E-3</v>
      </c>
      <c r="W184" s="68">
        <v>3.6084764068800197E-4</v>
      </c>
    </row>
    <row r="185" spans="1:23" x14ac:dyDescent="0.3">
      <c r="A185" s="44" t="s">
        <v>244</v>
      </c>
      <c r="B185" t="s">
        <v>183</v>
      </c>
      <c r="C185" s="45">
        <v>2010</v>
      </c>
      <c r="D185" s="91">
        <v>2821637</v>
      </c>
      <c r="E185" s="2">
        <v>1369939</v>
      </c>
      <c r="F185" s="5">
        <v>0.48551213355934869</v>
      </c>
      <c r="G185" s="2">
        <v>1451698</v>
      </c>
      <c r="H185" s="78">
        <v>0.51448786644065125</v>
      </c>
      <c r="I185" s="52">
        <v>41357</v>
      </c>
      <c r="J185" s="82">
        <v>1.4657094445529316E-2</v>
      </c>
      <c r="K185" s="59">
        <v>222</v>
      </c>
      <c r="L185" s="60">
        <v>981</v>
      </c>
      <c r="M185" s="66">
        <v>5.9998500037499066E-4</v>
      </c>
      <c r="N185" s="67">
        <v>1.5063568258048967E-4</v>
      </c>
      <c r="O185" s="67">
        <v>1.4132278123233464E-4</v>
      </c>
      <c r="P185" s="67">
        <v>1.6462215100789912E-4</v>
      </c>
      <c r="Q185" s="67">
        <v>1.6224503868192132E-4</v>
      </c>
      <c r="R185" s="67">
        <v>1.5111104395064713E-4</v>
      </c>
      <c r="S185" s="67">
        <v>2.0570922210266473E-4</v>
      </c>
      <c r="T185" s="67">
        <v>3.8795105691139914E-4</v>
      </c>
      <c r="U185" s="67">
        <v>1.2112594465070964E-3</v>
      </c>
      <c r="V185" s="67">
        <v>5.3678941896172349E-3</v>
      </c>
      <c r="W185" s="68">
        <v>3.4767051892217179E-4</v>
      </c>
    </row>
    <row r="186" spans="1:23" x14ac:dyDescent="0.3">
      <c r="A186" s="44" t="s">
        <v>252</v>
      </c>
      <c r="B186" t="s">
        <v>222</v>
      </c>
      <c r="C186" s="45">
        <v>2016</v>
      </c>
      <c r="D186" s="91">
        <v>2821915</v>
      </c>
      <c r="E186" s="2">
        <v>1415326</v>
      </c>
      <c r="F186" s="5">
        <v>0.50154806222015902</v>
      </c>
      <c r="G186" s="2">
        <v>1406590</v>
      </c>
      <c r="H186" s="78">
        <v>0.49845229214912568</v>
      </c>
      <c r="I186" s="52">
        <v>37282</v>
      </c>
      <c r="J186" s="82">
        <v>1.3211595671733557E-2</v>
      </c>
      <c r="K186" s="59">
        <v>121</v>
      </c>
      <c r="L186" s="60">
        <v>954</v>
      </c>
      <c r="M186" s="66">
        <v>6.7293241515443795E-4</v>
      </c>
      <c r="N186" s="67">
        <v>1.618201530818648E-4</v>
      </c>
      <c r="O186" s="67">
        <v>1.6636812830310056E-4</v>
      </c>
      <c r="P186" s="67">
        <v>1.4819022685453895E-4</v>
      </c>
      <c r="Q186" s="67">
        <v>1.5731185502139441E-4</v>
      </c>
      <c r="R186" s="67">
        <v>1.754666233674402E-4</v>
      </c>
      <c r="S186" s="67">
        <v>2.3394275420804528E-4</v>
      </c>
      <c r="T186" s="67">
        <v>4.4969444868263618E-4</v>
      </c>
      <c r="U186" s="67">
        <v>1.3536795471326606E-3</v>
      </c>
      <c r="V186" s="67">
        <v>3.2455340378735047E-3</v>
      </c>
      <c r="W186" s="68">
        <v>3.3806829759223787E-4</v>
      </c>
    </row>
    <row r="187" spans="1:23" x14ac:dyDescent="0.3">
      <c r="A187" s="44" t="s">
        <v>206</v>
      </c>
      <c r="B187" t="s">
        <v>199</v>
      </c>
      <c r="C187" s="45">
        <v>2011</v>
      </c>
      <c r="D187" s="91">
        <v>2827543</v>
      </c>
      <c r="E187" s="2">
        <v>1389008</v>
      </c>
      <c r="F187" s="5">
        <v>0.49124204300341323</v>
      </c>
      <c r="G187" s="2">
        <v>1438537</v>
      </c>
      <c r="H187" s="78">
        <v>0.50875866432446826</v>
      </c>
      <c r="I187" s="52">
        <v>48747</v>
      </c>
      <c r="J187" s="82">
        <v>1.7240056119394116E-2</v>
      </c>
      <c r="K187" s="59">
        <v>343</v>
      </c>
      <c r="L187" s="60">
        <v>1159</v>
      </c>
      <c r="M187" s="66">
        <v>6.2256163360172652E-4</v>
      </c>
      <c r="N187" s="67">
        <v>1.5645534764378247E-4</v>
      </c>
      <c r="O187" s="67">
        <v>1.5166451808599379E-4</v>
      </c>
      <c r="P187" s="67">
        <v>1.6338223000405733E-4</v>
      </c>
      <c r="Q187" s="67">
        <v>1.6476183676495626E-4</v>
      </c>
      <c r="R187" s="67">
        <v>1.5304482682977844E-4</v>
      </c>
      <c r="S187" s="67">
        <v>1.9757521329142344E-4</v>
      </c>
      <c r="T187" s="67">
        <v>3.5413337207612958E-4</v>
      </c>
      <c r="U187" s="67">
        <v>1.4862406626156288E-3</v>
      </c>
      <c r="V187" s="67">
        <v>7.0363304408476417E-3</v>
      </c>
      <c r="W187" s="68">
        <v>4.0989650732102041E-4</v>
      </c>
    </row>
    <row r="188" spans="1:23" x14ac:dyDescent="0.3">
      <c r="A188" s="44" t="s">
        <v>299</v>
      </c>
      <c r="B188" t="s">
        <v>270</v>
      </c>
      <c r="C188" s="45">
        <v>2015</v>
      </c>
      <c r="D188" s="91">
        <v>2832822</v>
      </c>
      <c r="E188" s="2">
        <v>1421166</v>
      </c>
      <c r="F188" s="5">
        <v>0.5016785382208977</v>
      </c>
      <c r="G188" s="2">
        <v>1411657</v>
      </c>
      <c r="H188" s="78">
        <v>0.49832181478398574</v>
      </c>
      <c r="I188" s="52">
        <v>32751</v>
      </c>
      <c r="J188" s="82">
        <v>1.1561262938511492E-2</v>
      </c>
      <c r="K188" s="59">
        <v>161</v>
      </c>
      <c r="L188" s="60">
        <v>840</v>
      </c>
      <c r="M188" s="66">
        <v>4.8222789286503647E-4</v>
      </c>
      <c r="N188" s="67">
        <v>1.2294401744165795E-4</v>
      </c>
      <c r="O188" s="67">
        <v>1.3137036809977141E-4</v>
      </c>
      <c r="P188" s="67">
        <v>1.3858765322597409E-4</v>
      </c>
      <c r="Q188" s="67">
        <v>1.6452600059229359E-4</v>
      </c>
      <c r="R188" s="67">
        <v>1.9936204146730463E-4</v>
      </c>
      <c r="S188" s="67">
        <v>2.2680451340981685E-4</v>
      </c>
      <c r="T188" s="67">
        <v>3.777029366403324E-4</v>
      </c>
      <c r="U188" s="67">
        <v>9.2044554224728526E-4</v>
      </c>
      <c r="V188" s="67">
        <v>4.9158804311318742E-3</v>
      </c>
      <c r="W188" s="68">
        <v>2.9652410211442867E-4</v>
      </c>
    </row>
    <row r="189" spans="1:23" x14ac:dyDescent="0.3">
      <c r="A189" s="44" t="s">
        <v>225</v>
      </c>
      <c r="B189" t="s">
        <v>199</v>
      </c>
      <c r="C189" s="45">
        <v>2009</v>
      </c>
      <c r="D189" s="91">
        <v>2838143</v>
      </c>
      <c r="E189" s="2">
        <v>1388758</v>
      </c>
      <c r="F189" s="5">
        <v>0.48931924853680736</v>
      </c>
      <c r="G189" s="2">
        <v>1449385</v>
      </c>
      <c r="H189" s="78">
        <v>0.51068075146319269</v>
      </c>
      <c r="I189" s="52">
        <v>51335</v>
      </c>
      <c r="J189" s="82">
        <v>1.8087531177956855E-2</v>
      </c>
      <c r="K189" s="59">
        <v>288</v>
      </c>
      <c r="L189" s="60">
        <v>1098</v>
      </c>
      <c r="M189" s="66">
        <v>6.0307265517813263E-4</v>
      </c>
      <c r="N189" s="67">
        <v>1.5692797790454072E-4</v>
      </c>
      <c r="O189" s="67">
        <v>1.5333699638380249E-4</v>
      </c>
      <c r="P189" s="67">
        <v>1.5905542286209629E-4</v>
      </c>
      <c r="Q189" s="67">
        <v>1.5992110558790996E-4</v>
      </c>
      <c r="R189" s="67">
        <v>1.5247078913798099E-4</v>
      </c>
      <c r="S189" s="67">
        <v>2.0150540034472923E-4</v>
      </c>
      <c r="T189" s="67">
        <v>3.1786998643122146E-4</v>
      </c>
      <c r="U189" s="67">
        <v>1.4417090805828E-3</v>
      </c>
      <c r="V189" s="67">
        <v>5.610207460796727E-3</v>
      </c>
      <c r="W189" s="68">
        <v>3.8687268400499904E-4</v>
      </c>
    </row>
    <row r="190" spans="1:23" x14ac:dyDescent="0.3">
      <c r="A190" s="44" t="s">
        <v>219</v>
      </c>
      <c r="B190" t="s">
        <v>197</v>
      </c>
      <c r="C190" s="45">
        <v>2011</v>
      </c>
      <c r="D190" s="91">
        <v>2839845</v>
      </c>
      <c r="E190" s="2">
        <v>1404196</v>
      </c>
      <c r="F190" s="5">
        <v>0.49446219776079331</v>
      </c>
      <c r="G190" s="2">
        <v>1435653</v>
      </c>
      <c r="H190" s="78">
        <v>0.50553921076678476</v>
      </c>
      <c r="I190" s="52">
        <v>65731</v>
      </c>
      <c r="J190" s="82">
        <v>2.3145981558852682E-2</v>
      </c>
      <c r="K190" s="59">
        <v>388</v>
      </c>
      <c r="L190" s="60">
        <v>1117</v>
      </c>
      <c r="M190" s="66">
        <v>6.4076550118541615E-4</v>
      </c>
      <c r="N190" s="67">
        <v>1.601593051221615E-4</v>
      </c>
      <c r="O190" s="67">
        <v>1.4662935764122239E-4</v>
      </c>
      <c r="P190" s="67">
        <v>1.6817604668567057E-4</v>
      </c>
      <c r="Q190" s="67">
        <v>1.7146090405619345E-4</v>
      </c>
      <c r="R190" s="67">
        <v>1.4676996010303252E-4</v>
      </c>
      <c r="S190" s="67">
        <v>1.7734374538167329E-4</v>
      </c>
      <c r="T190" s="67">
        <v>2.918642831083546E-4</v>
      </c>
      <c r="U190" s="67">
        <v>8.9691087208938519E-4</v>
      </c>
      <c r="V190" s="67">
        <v>5.9028464499246928E-3</v>
      </c>
      <c r="W190" s="68">
        <v>3.9333132618153455E-4</v>
      </c>
    </row>
    <row r="191" spans="1:23" x14ac:dyDescent="0.3">
      <c r="A191" s="44" t="s">
        <v>234</v>
      </c>
      <c r="B191" t="s">
        <v>199</v>
      </c>
      <c r="C191" s="45">
        <v>2010</v>
      </c>
      <c r="D191" s="91">
        <v>2850866</v>
      </c>
      <c r="E191" s="2">
        <v>1399104</v>
      </c>
      <c r="F191" s="5">
        <v>0.49076456066332125</v>
      </c>
      <c r="G191" s="2">
        <v>1451767</v>
      </c>
      <c r="H191" s="78">
        <v>0.5092371931897185</v>
      </c>
      <c r="I191" s="52">
        <v>48881</v>
      </c>
      <c r="J191" s="82">
        <v>1.7146018087135628E-2</v>
      </c>
      <c r="K191" s="59">
        <v>263</v>
      </c>
      <c r="L191" s="60">
        <v>1062</v>
      </c>
      <c r="M191" s="66">
        <v>6.1923977996346485E-4</v>
      </c>
      <c r="N191" s="67">
        <v>1.5514700178419051E-4</v>
      </c>
      <c r="O191" s="67">
        <v>1.5045399492970036E-4</v>
      </c>
      <c r="P191" s="67">
        <v>1.6345878795308733E-4</v>
      </c>
      <c r="Q191" s="67">
        <v>1.6103362113619956E-4</v>
      </c>
      <c r="R191" s="67">
        <v>1.5092668987583765E-4</v>
      </c>
      <c r="S191" s="67">
        <v>1.7939686773068943E-4</v>
      </c>
      <c r="T191" s="67">
        <v>3.4397078058737537E-4</v>
      </c>
      <c r="U191" s="67">
        <v>1.3976400504066904E-3</v>
      </c>
      <c r="V191" s="67">
        <v>5.3804136576583944E-3</v>
      </c>
      <c r="W191" s="68">
        <v>3.7251838564141562E-4</v>
      </c>
    </row>
    <row r="192" spans="1:23" x14ac:dyDescent="0.3">
      <c r="A192" s="44" t="s">
        <v>230</v>
      </c>
      <c r="B192" t="s">
        <v>197</v>
      </c>
      <c r="C192" s="45">
        <v>2015</v>
      </c>
      <c r="D192" s="91">
        <v>2860431</v>
      </c>
      <c r="E192" s="2">
        <v>1424155</v>
      </c>
      <c r="F192" s="5">
        <v>0.49788126334807586</v>
      </c>
      <c r="G192" s="2">
        <v>1436280</v>
      </c>
      <c r="H192" s="78">
        <v>0.50212013504258624</v>
      </c>
      <c r="I192" s="52">
        <v>67110</v>
      </c>
      <c r="J192" s="82">
        <v>2.346149933349205E-2</v>
      </c>
      <c r="K192" s="59">
        <v>353</v>
      </c>
      <c r="L192" s="60">
        <v>1087</v>
      </c>
      <c r="M192" s="66">
        <v>6.6056742742015388E-4</v>
      </c>
      <c r="N192" s="67">
        <v>1.6020762908729714E-4</v>
      </c>
      <c r="O192" s="67">
        <v>1.448225923244026E-4</v>
      </c>
      <c r="P192" s="67">
        <v>1.6362505863231269E-4</v>
      </c>
      <c r="Q192" s="67">
        <v>1.7763935066896018E-4</v>
      </c>
      <c r="R192" s="67">
        <v>1.5709273707912238E-4</v>
      </c>
      <c r="S192" s="67">
        <v>1.793648852472382E-4</v>
      </c>
      <c r="T192" s="67">
        <v>2.9496733670521485E-4</v>
      </c>
      <c r="U192" s="67">
        <v>8.6779190350154032E-4</v>
      </c>
      <c r="V192" s="67">
        <v>5.2600208612725375E-3</v>
      </c>
      <c r="W192" s="68">
        <v>3.8001266242744536E-4</v>
      </c>
    </row>
    <row r="193" spans="1:23" x14ac:dyDescent="0.3">
      <c r="A193" s="44" t="s">
        <v>196</v>
      </c>
      <c r="B193" t="s">
        <v>197</v>
      </c>
      <c r="C193" s="45">
        <v>2013</v>
      </c>
      <c r="D193" s="91">
        <v>2869335</v>
      </c>
      <c r="E193" s="2">
        <v>1419708</v>
      </c>
      <c r="F193" s="5">
        <v>0.49478642263799799</v>
      </c>
      <c r="G193" s="2">
        <v>1449630</v>
      </c>
      <c r="H193" s="78">
        <v>0.50521462290042818</v>
      </c>
      <c r="I193" s="52">
        <v>67781</v>
      </c>
      <c r="J193" s="82">
        <v>2.3622546687647138E-2</v>
      </c>
      <c r="K193" s="59">
        <v>452</v>
      </c>
      <c r="L193" s="60">
        <v>1226</v>
      </c>
      <c r="M193" s="66">
        <v>6.4485619706805379E-4</v>
      </c>
      <c r="N193" s="67">
        <v>1.5844889098980383E-4</v>
      </c>
      <c r="O193" s="67">
        <v>1.4564520827264782E-4</v>
      </c>
      <c r="P193" s="67">
        <v>1.6374383913805244E-4</v>
      </c>
      <c r="Q193" s="67">
        <v>1.7502968211692565E-4</v>
      </c>
      <c r="R193" s="67">
        <v>1.4968864761296503E-4</v>
      </c>
      <c r="S193" s="67">
        <v>1.6684463427656167E-4</v>
      </c>
      <c r="T193" s="67">
        <v>3.2523951567189836E-4</v>
      </c>
      <c r="U193" s="67">
        <v>1.1730121378146212E-3</v>
      </c>
      <c r="V193" s="67">
        <v>6.668535430282823E-3</v>
      </c>
      <c r="W193" s="68">
        <v>4.2727670348704491E-4</v>
      </c>
    </row>
    <row r="194" spans="1:23" x14ac:dyDescent="0.3">
      <c r="A194" s="44" t="s">
        <v>303</v>
      </c>
      <c r="B194" t="s">
        <v>270</v>
      </c>
      <c r="C194" s="45">
        <v>2016</v>
      </c>
      <c r="D194" s="91">
        <v>2876836</v>
      </c>
      <c r="E194" s="2">
        <v>1446212</v>
      </c>
      <c r="F194" s="5">
        <v>0.50270922638621041</v>
      </c>
      <c r="G194" s="2">
        <v>1430624</v>
      </c>
      <c r="H194" s="78">
        <v>0.49729077361378959</v>
      </c>
      <c r="I194" s="52">
        <v>33117</v>
      </c>
      <c r="J194" s="82">
        <v>1.1511605110614578E-2</v>
      </c>
      <c r="K194" s="59">
        <v>160</v>
      </c>
      <c r="L194" s="60">
        <v>843</v>
      </c>
      <c r="M194" s="66">
        <v>4.8462917790737122E-4</v>
      </c>
      <c r="N194" s="67">
        <v>1.2115166775366635E-4</v>
      </c>
      <c r="O194" s="67">
        <v>1.2908583562639978E-4</v>
      </c>
      <c r="P194" s="67">
        <v>1.3873955117755195E-4</v>
      </c>
      <c r="Q194" s="67">
        <v>1.5936170325788442E-4</v>
      </c>
      <c r="R194" s="67">
        <v>1.9930972398925058E-4</v>
      </c>
      <c r="S194" s="67">
        <v>2.2158455112509555E-4</v>
      </c>
      <c r="T194" s="67">
        <v>3.5635378804076687E-4</v>
      </c>
      <c r="U194" s="67">
        <v>9.462463660719375E-4</v>
      </c>
      <c r="V194" s="67">
        <v>4.8313554971766764E-3</v>
      </c>
      <c r="W194" s="68">
        <v>2.930302596324573E-4</v>
      </c>
    </row>
    <row r="195" spans="1:23" x14ac:dyDescent="0.3">
      <c r="A195" s="44" t="s">
        <v>324</v>
      </c>
      <c r="B195" t="s">
        <v>270</v>
      </c>
      <c r="C195" s="45">
        <v>2017</v>
      </c>
      <c r="D195" s="91">
        <v>2887710</v>
      </c>
      <c r="E195" s="2">
        <v>1451756</v>
      </c>
      <c r="F195" s="5">
        <v>0.50273607806878118</v>
      </c>
      <c r="G195" s="2">
        <v>1435955</v>
      </c>
      <c r="H195" s="78">
        <v>0.49726426822638009</v>
      </c>
      <c r="I195" s="52">
        <v>33937</v>
      </c>
      <c r="J195" s="82">
        <v>1.1752218886245502E-2</v>
      </c>
      <c r="K195" s="59">
        <v>107</v>
      </c>
      <c r="L195" s="60">
        <v>794</v>
      </c>
      <c r="M195" s="66">
        <v>4.920775514221041E-4</v>
      </c>
      <c r="N195" s="67">
        <v>1.221592875670349E-4</v>
      </c>
      <c r="O195" s="67">
        <v>1.2842355801748274E-4</v>
      </c>
      <c r="P195" s="67">
        <v>1.3922664241029163E-4</v>
      </c>
      <c r="Q195" s="67">
        <v>1.5677011752533143E-4</v>
      </c>
      <c r="R195" s="67">
        <v>2.0097540061096521E-4</v>
      </c>
      <c r="S195" s="67">
        <v>2.1917327839389821E-4</v>
      </c>
      <c r="T195" s="67">
        <v>3.4016112298525399E-4</v>
      </c>
      <c r="U195" s="67">
        <v>9.7531445483285131E-4</v>
      </c>
      <c r="V195" s="67">
        <v>3.1529009635501075E-3</v>
      </c>
      <c r="W195" s="68">
        <v>2.7495835800686358E-4</v>
      </c>
    </row>
    <row r="196" spans="1:23" x14ac:dyDescent="0.3">
      <c r="A196" s="44" t="s">
        <v>237</v>
      </c>
      <c r="B196" t="s">
        <v>197</v>
      </c>
      <c r="C196" s="45">
        <v>2010</v>
      </c>
      <c r="D196" s="91">
        <v>2898743</v>
      </c>
      <c r="E196" s="2">
        <v>1430884</v>
      </c>
      <c r="F196" s="5">
        <v>0.49362223556900353</v>
      </c>
      <c r="G196" s="2">
        <v>1467862</v>
      </c>
      <c r="H196" s="78">
        <v>0.50637879936234431</v>
      </c>
      <c r="I196" s="52">
        <v>67506</v>
      </c>
      <c r="J196" s="82">
        <v>2.3288025188849096E-2</v>
      </c>
      <c r="K196" s="59">
        <v>319</v>
      </c>
      <c r="L196" s="60">
        <v>1054</v>
      </c>
      <c r="M196" s="66">
        <v>6.3019914292916559E-4</v>
      </c>
      <c r="N196" s="67">
        <v>1.5668946498382182E-4</v>
      </c>
      <c r="O196" s="67">
        <v>1.4239334738281028E-4</v>
      </c>
      <c r="P196" s="67">
        <v>1.6830861066852181E-4</v>
      </c>
      <c r="Q196" s="67">
        <v>1.6452645174027856E-4</v>
      </c>
      <c r="R196" s="67">
        <v>1.4208413749008372E-4</v>
      </c>
      <c r="S196" s="67">
        <v>1.7871397424135918E-4</v>
      </c>
      <c r="T196" s="67">
        <v>3.1223880023441926E-4</v>
      </c>
      <c r="U196" s="67">
        <v>8.6581239843354558E-4</v>
      </c>
      <c r="V196" s="67">
        <v>4.7255058809587292E-3</v>
      </c>
      <c r="W196" s="68">
        <v>3.6360588020393667E-4</v>
      </c>
    </row>
    <row r="197" spans="1:23" x14ac:dyDescent="0.3">
      <c r="A197" s="44" t="s">
        <v>248</v>
      </c>
      <c r="B197" t="s">
        <v>183</v>
      </c>
      <c r="C197" s="45">
        <v>2009</v>
      </c>
      <c r="D197" s="91">
        <v>2922240</v>
      </c>
      <c r="E197" s="2">
        <v>1416675</v>
      </c>
      <c r="F197" s="5">
        <v>0.48479077693823913</v>
      </c>
      <c r="G197" s="2">
        <v>1505566</v>
      </c>
      <c r="H197" s="78">
        <v>0.51520956526500217</v>
      </c>
      <c r="I197" s="52">
        <v>46624</v>
      </c>
      <c r="J197" s="82">
        <v>1.5954883924660535E-2</v>
      </c>
      <c r="K197" s="59">
        <v>219</v>
      </c>
      <c r="L197" s="60">
        <v>999</v>
      </c>
      <c r="M197" s="66">
        <v>5.5830832577290809E-4</v>
      </c>
      <c r="N197" s="67">
        <v>1.4406834602335349E-4</v>
      </c>
      <c r="O197" s="67">
        <v>1.3431262158090433E-4</v>
      </c>
      <c r="P197" s="67">
        <v>1.5748362170334284E-4</v>
      </c>
      <c r="Q197" s="67">
        <v>1.5624267612455666E-4</v>
      </c>
      <c r="R197" s="67">
        <v>1.4859761005510494E-4</v>
      </c>
      <c r="S197" s="67">
        <v>1.9283365847230747E-4</v>
      </c>
      <c r="T197" s="67">
        <v>3.9003561641023536E-4</v>
      </c>
      <c r="U197" s="67">
        <v>1.3147978899097279E-3</v>
      </c>
      <c r="V197" s="67">
        <v>4.6971516815374056E-3</v>
      </c>
      <c r="W197" s="68">
        <v>3.4186103810775295E-4</v>
      </c>
    </row>
    <row r="198" spans="1:23" x14ac:dyDescent="0.3">
      <c r="A198" s="44" t="s">
        <v>229</v>
      </c>
      <c r="B198" t="s">
        <v>197</v>
      </c>
      <c r="C198" s="45">
        <v>2009</v>
      </c>
      <c r="D198" s="91">
        <v>2939403</v>
      </c>
      <c r="E198" s="2">
        <v>1448667</v>
      </c>
      <c r="F198" s="5">
        <v>0.49284395504801487</v>
      </c>
      <c r="G198" s="2">
        <v>1490736</v>
      </c>
      <c r="H198" s="78">
        <v>0.50715604495198519</v>
      </c>
      <c r="I198" s="52">
        <v>69877</v>
      </c>
      <c r="J198" s="82">
        <v>2.3772514350703187E-2</v>
      </c>
      <c r="K198" s="59">
        <v>342</v>
      </c>
      <c r="L198" s="60">
        <v>1123</v>
      </c>
      <c r="M198" s="66">
        <v>6.1626318546440569E-4</v>
      </c>
      <c r="N198" s="67">
        <v>1.57331242575932E-4</v>
      </c>
      <c r="O198" s="67">
        <v>1.3598781549173193E-4</v>
      </c>
      <c r="P198" s="67">
        <v>1.7078981751107998E-4</v>
      </c>
      <c r="Q198" s="67">
        <v>1.575464762104821E-4</v>
      </c>
      <c r="R198" s="67">
        <v>1.5497456797947858E-4</v>
      </c>
      <c r="S198" s="67">
        <v>1.9896538002387584E-4</v>
      </c>
      <c r="T198" s="67">
        <v>3.4354118381388777E-4</v>
      </c>
      <c r="U198" s="67">
        <v>1.0222765711032176E-3</v>
      </c>
      <c r="V198" s="67">
        <v>4.8943142951185653E-3</v>
      </c>
      <c r="W198" s="68">
        <v>3.8205036873133761E-4</v>
      </c>
    </row>
    <row r="199" spans="1:23" x14ac:dyDescent="0.3">
      <c r="A199" s="44" t="s">
        <v>227</v>
      </c>
      <c r="B199" t="s">
        <v>197</v>
      </c>
      <c r="C199" s="45">
        <v>2012</v>
      </c>
      <c r="D199" s="91">
        <v>2960615</v>
      </c>
      <c r="E199" s="2">
        <v>1465174</v>
      </c>
      <c r="F199" s="5">
        <v>0.49488839312102384</v>
      </c>
      <c r="G199" s="2">
        <v>1495446</v>
      </c>
      <c r="H199" s="78">
        <v>0.50511329571727492</v>
      </c>
      <c r="I199" s="52">
        <v>69297</v>
      </c>
      <c r="J199" s="82">
        <v>2.3406285518380473E-2</v>
      </c>
      <c r="K199" s="59">
        <v>411</v>
      </c>
      <c r="L199" s="60">
        <v>1138</v>
      </c>
      <c r="M199" s="66">
        <v>6.1718235681369326E-4</v>
      </c>
      <c r="N199" s="67">
        <v>1.5320035542482459E-4</v>
      </c>
      <c r="O199" s="67">
        <v>1.414967526495267E-4</v>
      </c>
      <c r="P199" s="67">
        <v>1.6036906266955688E-4</v>
      </c>
      <c r="Q199" s="67">
        <v>1.6777444403743606E-4</v>
      </c>
      <c r="R199" s="67">
        <v>1.4248024867552736E-4</v>
      </c>
      <c r="S199" s="67">
        <v>1.6600633037473162E-4</v>
      </c>
      <c r="T199" s="67">
        <v>2.7374136003832379E-4</v>
      </c>
      <c r="U199" s="67">
        <v>8.6119210686919372E-4</v>
      </c>
      <c r="V199" s="67">
        <v>5.9309926836659593E-3</v>
      </c>
      <c r="W199" s="68">
        <v>3.8437959680674455E-4</v>
      </c>
    </row>
    <row r="200" spans="1:23" x14ac:dyDescent="0.3">
      <c r="A200" s="44" t="s">
        <v>259</v>
      </c>
      <c r="B200" t="s">
        <v>260</v>
      </c>
      <c r="C200" s="45">
        <v>2009</v>
      </c>
      <c r="D200" s="91">
        <v>3494487</v>
      </c>
      <c r="E200" s="2">
        <v>1704135</v>
      </c>
      <c r="F200" s="5">
        <v>0.48766385452285271</v>
      </c>
      <c r="G200" s="2">
        <v>1790352</v>
      </c>
      <c r="H200" s="78">
        <v>0.51233614547714734</v>
      </c>
      <c r="I200" s="52">
        <v>77310</v>
      </c>
      <c r="J200" s="82">
        <v>2.2123418973943813E-2</v>
      </c>
      <c r="K200" s="59">
        <v>364</v>
      </c>
      <c r="L200" s="60">
        <v>1146</v>
      </c>
      <c r="M200" s="66">
        <v>5.6454382506668677E-4</v>
      </c>
      <c r="N200" s="67">
        <v>1.3057813469134592E-4</v>
      </c>
      <c r="O200" s="67">
        <v>1.2550935881452228E-4</v>
      </c>
      <c r="P200" s="67">
        <v>1.4878111075017917E-4</v>
      </c>
      <c r="Q200" s="67">
        <v>1.1542723467126323E-4</v>
      </c>
      <c r="R200" s="67">
        <v>1.0941717120140054E-4</v>
      </c>
      <c r="S200" s="67">
        <v>1.511129468535766E-4</v>
      </c>
      <c r="T200" s="67">
        <v>2.8637618717889535E-4</v>
      </c>
      <c r="U200" s="67">
        <v>1.0610626390749958E-3</v>
      </c>
      <c r="V200" s="67">
        <v>4.7083171646617513E-3</v>
      </c>
      <c r="W200" s="68">
        <v>3.2794513186055633E-4</v>
      </c>
    </row>
    <row r="201" spans="1:23" x14ac:dyDescent="0.3">
      <c r="A201" s="44" t="s">
        <v>242</v>
      </c>
      <c r="B201" t="s">
        <v>243</v>
      </c>
      <c r="C201" s="45">
        <v>2011</v>
      </c>
      <c r="D201" s="91">
        <v>3517847</v>
      </c>
      <c r="E201" s="2">
        <v>1742948</v>
      </c>
      <c r="F201" s="5">
        <v>0.49545872802313462</v>
      </c>
      <c r="G201" s="2">
        <v>1774899</v>
      </c>
      <c r="H201" s="78">
        <v>0.50454127197686538</v>
      </c>
      <c r="I201" s="52">
        <v>56357</v>
      </c>
      <c r="J201" s="82">
        <v>1.6020310149929773E-2</v>
      </c>
      <c r="K201" s="59">
        <v>326</v>
      </c>
      <c r="L201" s="60">
        <v>1241</v>
      </c>
      <c r="M201" s="66">
        <v>4.8651146950789363E-4</v>
      </c>
      <c r="N201" s="67">
        <v>1.2520580704533077E-4</v>
      </c>
      <c r="O201" s="67">
        <v>1.1798829949363354E-4</v>
      </c>
      <c r="P201" s="67">
        <v>1.2706480304955527E-4</v>
      </c>
      <c r="Q201" s="67">
        <v>1.3544201501600474E-4</v>
      </c>
      <c r="R201" s="67">
        <v>1.2138893216179526E-4</v>
      </c>
      <c r="S201" s="67">
        <v>1.9964261507178507E-4</v>
      </c>
      <c r="T201" s="67">
        <v>5.251610493884791E-4</v>
      </c>
      <c r="U201" s="67">
        <v>1.4258462299714179E-3</v>
      </c>
      <c r="V201" s="67">
        <v>5.7845520520964566E-3</v>
      </c>
      <c r="W201" s="68">
        <v>3.5277259073518549E-4</v>
      </c>
    </row>
    <row r="202" spans="1:23" x14ac:dyDescent="0.3">
      <c r="A202" s="44" t="s">
        <v>292</v>
      </c>
      <c r="B202" t="s">
        <v>260</v>
      </c>
      <c r="C202" s="45">
        <v>2010</v>
      </c>
      <c r="D202" s="91">
        <v>3545837</v>
      </c>
      <c r="E202" s="2">
        <v>1724834</v>
      </c>
      <c r="F202" s="5">
        <v>0.48643916795949727</v>
      </c>
      <c r="G202" s="2">
        <v>1821003</v>
      </c>
      <c r="H202" s="78">
        <v>0.51356083204050273</v>
      </c>
      <c r="I202" s="52">
        <v>80637</v>
      </c>
      <c r="J202" s="82">
        <v>2.2741316084185483E-2</v>
      </c>
      <c r="K202" s="59">
        <v>339</v>
      </c>
      <c r="L202" s="60">
        <v>1069</v>
      </c>
      <c r="M202" s="66">
        <v>5.8454463972565374E-4</v>
      </c>
      <c r="N202" s="67">
        <v>1.2818102579002238E-4</v>
      </c>
      <c r="O202" s="67">
        <v>1.2651101594671356E-4</v>
      </c>
      <c r="P202" s="67">
        <v>1.4603265777003263E-4</v>
      </c>
      <c r="Q202" s="67">
        <v>1.1705558384398832E-4</v>
      </c>
      <c r="R202" s="67">
        <v>1.0634828353870368E-4</v>
      </c>
      <c r="S202" s="67">
        <v>1.4292213840103474E-4</v>
      </c>
      <c r="T202" s="67">
        <v>2.9165937518228709E-4</v>
      </c>
      <c r="U202" s="67">
        <v>7.0164770268848012E-4</v>
      </c>
      <c r="V202" s="67">
        <v>4.2040254473752741E-3</v>
      </c>
      <c r="W202" s="68">
        <v>3.0148029929181742E-4</v>
      </c>
    </row>
    <row r="203" spans="1:23" x14ac:dyDescent="0.3">
      <c r="A203" s="44" t="s">
        <v>339</v>
      </c>
      <c r="B203" t="s">
        <v>243</v>
      </c>
      <c r="C203" s="45">
        <v>2016</v>
      </c>
      <c r="D203" s="91">
        <v>3556790</v>
      </c>
      <c r="E203" s="2">
        <v>1759183</v>
      </c>
      <c r="F203" s="5">
        <v>0.4945985003331656</v>
      </c>
      <c r="G203" s="2">
        <v>1797609</v>
      </c>
      <c r="H203" s="78">
        <v>0.5054020619716092</v>
      </c>
      <c r="I203" s="52">
        <v>60381</v>
      </c>
      <c r="J203" s="82">
        <v>1.6976262303931355E-2</v>
      </c>
      <c r="K203" s="59">
        <v>196</v>
      </c>
      <c r="L203" s="60">
        <v>958</v>
      </c>
      <c r="M203" s="66">
        <v>4.9145885465513926E-4</v>
      </c>
      <c r="N203" s="67">
        <v>1.2310192223651572E-4</v>
      </c>
      <c r="O203" s="67">
        <v>1.1931441934643539E-4</v>
      </c>
      <c r="P203" s="67">
        <v>1.2171718606094786E-4</v>
      </c>
      <c r="Q203" s="67">
        <v>1.3762730525736306E-4</v>
      </c>
      <c r="R203" s="67">
        <v>1.3358298508991248E-4</v>
      </c>
      <c r="S203" s="67">
        <v>1.673594123621291E-4</v>
      </c>
      <c r="T203" s="67">
        <v>2.7610843903287056E-4</v>
      </c>
      <c r="U203" s="67">
        <v>8.2119188303148114E-4</v>
      </c>
      <c r="V203" s="67">
        <v>3.246054222354714E-3</v>
      </c>
      <c r="W203" s="68">
        <v>2.6934398713446674E-4</v>
      </c>
    </row>
    <row r="204" spans="1:23" x14ac:dyDescent="0.3">
      <c r="A204" s="44" t="s">
        <v>265</v>
      </c>
      <c r="B204" t="s">
        <v>260</v>
      </c>
      <c r="C204" s="45">
        <v>2011</v>
      </c>
      <c r="D204" s="91">
        <v>3558172</v>
      </c>
      <c r="E204" s="2">
        <v>1731389</v>
      </c>
      <c r="F204" s="5">
        <v>0.4865950830932288</v>
      </c>
      <c r="G204" s="2">
        <v>1826783</v>
      </c>
      <c r="H204" s="78">
        <v>0.51340491690677126</v>
      </c>
      <c r="I204" s="52">
        <v>84419</v>
      </c>
      <c r="J204" s="82">
        <v>2.3725384832436431E-2</v>
      </c>
      <c r="K204" s="59">
        <v>415</v>
      </c>
      <c r="L204" s="60">
        <v>1154</v>
      </c>
      <c r="M204" s="66">
        <v>5.9066163947982394E-4</v>
      </c>
      <c r="N204" s="67">
        <v>1.2957955752900422E-4</v>
      </c>
      <c r="O204" s="67">
        <v>1.2576348918224387E-4</v>
      </c>
      <c r="P204" s="67">
        <v>1.4464314126331318E-4</v>
      </c>
      <c r="Q204" s="67">
        <v>1.2063696316551391E-4</v>
      </c>
      <c r="R204" s="67">
        <v>1.0554683816855127E-4</v>
      </c>
      <c r="S204" s="67">
        <v>1.3904789272918569E-4</v>
      </c>
      <c r="T204" s="67">
        <v>2.4134088998475529E-4</v>
      </c>
      <c r="U204" s="67">
        <v>8.3423358540391304E-4</v>
      </c>
      <c r="V204" s="67">
        <v>4.9159549390540049E-3</v>
      </c>
      <c r="W204" s="68">
        <v>3.2432383819556786E-4</v>
      </c>
    </row>
    <row r="205" spans="1:23" x14ac:dyDescent="0.3">
      <c r="A205" s="44" t="s">
        <v>307</v>
      </c>
      <c r="B205" t="s">
        <v>243</v>
      </c>
      <c r="C205" s="45">
        <v>2017</v>
      </c>
      <c r="D205" s="91">
        <v>3565277</v>
      </c>
      <c r="E205" s="2">
        <v>1764926</v>
      </c>
      <c r="F205" s="5">
        <v>0.49503194281959018</v>
      </c>
      <c r="G205" s="2">
        <v>1800352</v>
      </c>
      <c r="H205" s="78">
        <v>0.50496833766352511</v>
      </c>
      <c r="I205" s="52">
        <v>60181</v>
      </c>
      <c r="J205" s="82">
        <v>1.6879754364106912E-2</v>
      </c>
      <c r="K205" s="59">
        <v>206</v>
      </c>
      <c r="L205" s="60">
        <v>1038</v>
      </c>
      <c r="M205" s="66">
        <v>4.9324663153654542E-4</v>
      </c>
      <c r="N205" s="67">
        <v>1.2225088326263156E-4</v>
      </c>
      <c r="O205" s="67">
        <v>1.2136707877532526E-4</v>
      </c>
      <c r="P205" s="67">
        <v>1.20775864151308E-4</v>
      </c>
      <c r="Q205" s="67">
        <v>1.3598935656635941E-4</v>
      </c>
      <c r="R205" s="67">
        <v>1.3520121320555317E-4</v>
      </c>
      <c r="S205" s="67">
        <v>1.5885875867765968E-4</v>
      </c>
      <c r="T205" s="67">
        <v>4.053519862247325E-4</v>
      </c>
      <c r="U205" s="67">
        <v>1.0335817781458442E-3</v>
      </c>
      <c r="V205" s="67">
        <v>3.4230072614280255E-3</v>
      </c>
      <c r="W205" s="68">
        <v>2.9114147371999424E-4</v>
      </c>
    </row>
    <row r="206" spans="1:23" x14ac:dyDescent="0.3">
      <c r="A206" s="44" t="s">
        <v>301</v>
      </c>
      <c r="B206" t="s">
        <v>260</v>
      </c>
      <c r="C206" s="45">
        <v>2012</v>
      </c>
      <c r="D206" s="91">
        <v>3572213</v>
      </c>
      <c r="E206" s="2">
        <v>1739522</v>
      </c>
      <c r="F206" s="5">
        <v>0.48695920428037187</v>
      </c>
      <c r="G206" s="2">
        <v>1832691</v>
      </c>
      <c r="H206" s="78">
        <v>0.51304079571962813</v>
      </c>
      <c r="I206" s="52">
        <v>84752</v>
      </c>
      <c r="J206" s="82">
        <v>2.3725348964353469E-2</v>
      </c>
      <c r="K206" s="59">
        <v>317</v>
      </c>
      <c r="L206" s="60">
        <v>1050</v>
      </c>
      <c r="M206" s="66">
        <v>6.0203487788725897E-4</v>
      </c>
      <c r="N206" s="67">
        <v>1.307397472800685E-4</v>
      </c>
      <c r="O206" s="67">
        <v>1.2521233925865947E-4</v>
      </c>
      <c r="P206" s="67">
        <v>1.4255438449768586E-4</v>
      </c>
      <c r="Q206" s="67">
        <v>1.2368022889087694E-4</v>
      </c>
      <c r="R206" s="67">
        <v>1.0537518835814919E-4</v>
      </c>
      <c r="S206" s="67">
        <v>1.3508584705580396E-4</v>
      </c>
      <c r="T206" s="67">
        <v>2.3217657802680866E-4</v>
      </c>
      <c r="U206" s="67">
        <v>7.9585437660068458E-4</v>
      </c>
      <c r="V206" s="67">
        <v>3.7403247121011894E-3</v>
      </c>
      <c r="W206" s="68">
        <v>2.9393544001995401E-4</v>
      </c>
    </row>
    <row r="207" spans="1:23" x14ac:dyDescent="0.3">
      <c r="A207" s="44" t="s">
        <v>288</v>
      </c>
      <c r="B207" t="s">
        <v>260</v>
      </c>
      <c r="C207" s="45">
        <v>2013</v>
      </c>
      <c r="D207" s="91">
        <v>3583561</v>
      </c>
      <c r="E207" s="2">
        <v>1745364</v>
      </c>
      <c r="F207" s="5">
        <v>0.4870473810826717</v>
      </c>
      <c r="G207" s="2">
        <v>1838197</v>
      </c>
      <c r="H207" s="78">
        <v>0.51295261891732835</v>
      </c>
      <c r="I207" s="52">
        <v>86894</v>
      </c>
      <c r="J207" s="82">
        <v>2.424794778155025E-2</v>
      </c>
      <c r="K207" s="59">
        <v>377</v>
      </c>
      <c r="L207" s="60">
        <v>1092</v>
      </c>
      <c r="M207" s="66">
        <v>6.081831036597418E-4</v>
      </c>
      <c r="N207" s="67">
        <v>1.3137410747715732E-4</v>
      </c>
      <c r="O207" s="67">
        <v>1.2367232604972039E-4</v>
      </c>
      <c r="P207" s="67">
        <v>1.403784603290471E-4</v>
      </c>
      <c r="Q207" s="67">
        <v>1.2791104213389728E-4</v>
      </c>
      <c r="R207" s="67">
        <v>1.0562896768809879E-4</v>
      </c>
      <c r="S207" s="67">
        <v>1.3120375067788605E-4</v>
      </c>
      <c r="T207" s="67">
        <v>2.4521095572827651E-4</v>
      </c>
      <c r="U207" s="67">
        <v>6.6553911721426091E-4</v>
      </c>
      <c r="V207" s="67">
        <v>4.3386194673970587E-3</v>
      </c>
      <c r="W207" s="68">
        <v>3.0472482539016358E-4</v>
      </c>
    </row>
    <row r="208" spans="1:23" x14ac:dyDescent="0.3">
      <c r="A208" s="44" t="s">
        <v>279</v>
      </c>
      <c r="B208" t="s">
        <v>243</v>
      </c>
      <c r="C208" s="45">
        <v>2014</v>
      </c>
      <c r="D208" s="91">
        <v>3585355</v>
      </c>
      <c r="E208" s="2">
        <v>1774242</v>
      </c>
      <c r="F208" s="5">
        <v>0.49485811028475563</v>
      </c>
      <c r="G208" s="2">
        <v>1811117</v>
      </c>
      <c r="H208" s="78">
        <v>0.50514300536488022</v>
      </c>
      <c r="I208" s="52">
        <v>60898</v>
      </c>
      <c r="J208" s="82">
        <v>1.6985207880391203E-2</v>
      </c>
      <c r="K208" s="59">
        <v>257</v>
      </c>
      <c r="L208" s="60">
        <v>1118</v>
      </c>
      <c r="M208" s="66">
        <v>4.8168590065228299E-4</v>
      </c>
      <c r="N208" s="67">
        <v>1.225237440805716E-4</v>
      </c>
      <c r="O208" s="67">
        <v>1.1695222501608094E-4</v>
      </c>
      <c r="P208" s="67">
        <v>1.2161406182858903E-4</v>
      </c>
      <c r="Q208" s="67">
        <v>1.3672159836663263E-4</v>
      </c>
      <c r="R208" s="67">
        <v>1.477076822765552E-4</v>
      </c>
      <c r="S208" s="67">
        <v>2.3149541407584717E-4</v>
      </c>
      <c r="T208" s="67">
        <v>4.2338673507830859E-4</v>
      </c>
      <c r="U208" s="67">
        <v>9.8127874088469011E-4</v>
      </c>
      <c r="V208" s="67">
        <v>4.2201714342014517E-3</v>
      </c>
      <c r="W208" s="68">
        <v>3.1182407320892909E-4</v>
      </c>
    </row>
    <row r="209" spans="1:23" x14ac:dyDescent="0.3">
      <c r="A209" s="44" t="s">
        <v>249</v>
      </c>
      <c r="B209" t="s">
        <v>243</v>
      </c>
      <c r="C209" s="45">
        <v>2009</v>
      </c>
      <c r="D209" s="91">
        <v>3585543</v>
      </c>
      <c r="E209" s="2">
        <v>1769082</v>
      </c>
      <c r="F209" s="5">
        <v>0.49339305092701441</v>
      </c>
      <c r="G209" s="2">
        <v>1816462</v>
      </c>
      <c r="H209" s="78">
        <v>0.5066072279707704</v>
      </c>
      <c r="I209" s="52">
        <v>60731</v>
      </c>
      <c r="J209" s="82">
        <v>1.6937741368601631E-2</v>
      </c>
      <c r="K209" s="59">
        <v>326</v>
      </c>
      <c r="L209" s="60">
        <v>1224</v>
      </c>
      <c r="M209" s="66">
        <v>4.6439089329458247E-4</v>
      </c>
      <c r="N209" s="67">
        <v>1.2387378087553989E-4</v>
      </c>
      <c r="O209" s="67">
        <v>1.1205779193856245E-4</v>
      </c>
      <c r="P209" s="67">
        <v>1.2575083729099163E-4</v>
      </c>
      <c r="Q209" s="67">
        <v>1.3011825580815363E-4</v>
      </c>
      <c r="R209" s="67">
        <v>1.3776854883795224E-4</v>
      </c>
      <c r="S209" s="67">
        <v>1.8373440171485443E-4</v>
      </c>
      <c r="T209" s="67">
        <v>4.0830079479911997E-4</v>
      </c>
      <c r="U209" s="67">
        <v>1.4221811640005835E-3</v>
      </c>
      <c r="V209" s="67">
        <v>5.36793400405065E-3</v>
      </c>
      <c r="W209" s="68">
        <v>3.4137088859344315E-4</v>
      </c>
    </row>
    <row r="210" spans="1:23" x14ac:dyDescent="0.3">
      <c r="A210" s="44" t="s">
        <v>311</v>
      </c>
      <c r="B210" t="s">
        <v>260</v>
      </c>
      <c r="C210" s="45">
        <v>2016</v>
      </c>
      <c r="D210" s="91">
        <v>3588570</v>
      </c>
      <c r="E210" s="2">
        <v>1750270</v>
      </c>
      <c r="F210" s="5">
        <v>0.48773466868418341</v>
      </c>
      <c r="G210" s="2">
        <v>1838300</v>
      </c>
      <c r="H210" s="78">
        <v>0.51226533131581664</v>
      </c>
      <c r="I210" s="52">
        <v>87330</v>
      </c>
      <c r="J210" s="82">
        <v>2.4335598859712922E-2</v>
      </c>
      <c r="K210" s="59">
        <v>307</v>
      </c>
      <c r="L210" s="60">
        <v>1024</v>
      </c>
      <c r="M210" s="66">
        <v>6.3577843121672101E-4</v>
      </c>
      <c r="N210" s="67">
        <v>1.3642347666135372E-4</v>
      </c>
      <c r="O210" s="67">
        <v>1.2126748778230061E-4</v>
      </c>
      <c r="P210" s="67">
        <v>1.3679453916199666E-4</v>
      </c>
      <c r="Q210" s="67">
        <v>1.3637138473776919E-4</v>
      </c>
      <c r="R210" s="67">
        <v>1.0982071767839003E-4</v>
      </c>
      <c r="S210" s="67">
        <v>1.2272598968283513E-4</v>
      </c>
      <c r="T210" s="67">
        <v>1.976720817835293E-4</v>
      </c>
      <c r="U210" s="67">
        <v>7.1870412118457184E-4</v>
      </c>
      <c r="V210" s="67">
        <v>3.5154013511966105E-3</v>
      </c>
      <c r="W210" s="68">
        <v>2.8535043206625481E-4</v>
      </c>
    </row>
    <row r="211" spans="1:23" x14ac:dyDescent="0.3">
      <c r="A211" s="44" t="s">
        <v>284</v>
      </c>
      <c r="B211" t="s">
        <v>260</v>
      </c>
      <c r="C211" s="45">
        <v>2014</v>
      </c>
      <c r="D211" s="91">
        <v>3592053</v>
      </c>
      <c r="E211" s="2">
        <v>1750621</v>
      </c>
      <c r="F211" s="5">
        <v>0.48735945711268736</v>
      </c>
      <c r="G211" s="2">
        <v>1841432</v>
      </c>
      <c r="H211" s="78">
        <v>0.51264054288731264</v>
      </c>
      <c r="I211" s="52">
        <v>86815</v>
      </c>
      <c r="J211" s="82">
        <v>2.4168630028565837E-2</v>
      </c>
      <c r="K211" s="59">
        <v>364</v>
      </c>
      <c r="L211" s="60">
        <v>1107</v>
      </c>
      <c r="M211" s="66">
        <v>6.1828580261225746E-4</v>
      </c>
      <c r="N211" s="67">
        <v>1.3230400814992691E-4</v>
      </c>
      <c r="O211" s="67">
        <v>1.2244947938563016E-4</v>
      </c>
      <c r="P211" s="67">
        <v>1.3842331233144078E-4</v>
      </c>
      <c r="Q211" s="67">
        <v>1.3046910165500055E-4</v>
      </c>
      <c r="R211" s="67">
        <v>1.0637298268070554E-4</v>
      </c>
      <c r="S211" s="67">
        <v>1.2782057399959097E-4</v>
      </c>
      <c r="T211" s="67">
        <v>2.6669795922721598E-4</v>
      </c>
      <c r="U211" s="67">
        <v>7.8310451998140121E-4</v>
      </c>
      <c r="V211" s="67">
        <v>4.1928238207683006E-3</v>
      </c>
      <c r="W211" s="68">
        <v>3.0818030802997617E-4</v>
      </c>
    </row>
    <row r="212" spans="1:23" x14ac:dyDescent="0.3">
      <c r="A212" s="44" t="s">
        <v>266</v>
      </c>
      <c r="B212" t="s">
        <v>260</v>
      </c>
      <c r="C212" s="45">
        <v>2015</v>
      </c>
      <c r="D212" s="91">
        <v>3593222</v>
      </c>
      <c r="E212" s="2">
        <v>1751607</v>
      </c>
      <c r="F212" s="5">
        <v>0.48747530767650871</v>
      </c>
      <c r="G212" s="2">
        <v>1841615</v>
      </c>
      <c r="H212" s="78">
        <v>0.51252469232349129</v>
      </c>
      <c r="I212" s="52">
        <v>87960</v>
      </c>
      <c r="J212" s="82">
        <v>2.4479422646304625E-2</v>
      </c>
      <c r="K212" s="59">
        <v>397</v>
      </c>
      <c r="L212" s="60">
        <v>1158</v>
      </c>
      <c r="M212" s="66">
        <v>6.2685444439801083E-4</v>
      </c>
      <c r="N212" s="67">
        <v>1.3418496054962159E-4</v>
      </c>
      <c r="O212" s="67">
        <v>1.2143880698516017E-4</v>
      </c>
      <c r="P212" s="67">
        <v>1.3718769792183503E-4</v>
      </c>
      <c r="Q212" s="67">
        <v>1.3351075429125816E-4</v>
      </c>
      <c r="R212" s="67">
        <v>1.0798786216429274E-4</v>
      </c>
      <c r="S212" s="67">
        <v>1.2551776076314799E-4</v>
      </c>
      <c r="T212" s="67">
        <v>2.3605642090570401E-4</v>
      </c>
      <c r="U212" s="67">
        <v>9.3727069240872403E-4</v>
      </c>
      <c r="V212" s="67">
        <v>4.5134151887221462E-3</v>
      </c>
      <c r="W212" s="68">
        <v>3.2227343593020413E-4</v>
      </c>
    </row>
    <row r="213" spans="1:23" x14ac:dyDescent="0.3">
      <c r="A213" s="44" t="s">
        <v>276</v>
      </c>
      <c r="B213" t="s">
        <v>260</v>
      </c>
      <c r="C213" s="45">
        <v>2017</v>
      </c>
      <c r="D213" s="91">
        <v>3594478</v>
      </c>
      <c r="E213" s="2">
        <v>1754046</v>
      </c>
      <c r="F213" s="5">
        <v>0.48798351248776595</v>
      </c>
      <c r="G213" s="2">
        <v>1840432</v>
      </c>
      <c r="H213" s="78">
        <v>0.51201648751223405</v>
      </c>
      <c r="I213" s="52">
        <v>90109</v>
      </c>
      <c r="J213" s="82">
        <v>2.5068730424834984E-2</v>
      </c>
      <c r="K213" s="59">
        <v>389</v>
      </c>
      <c r="L213" s="60">
        <v>1137</v>
      </c>
      <c r="M213" s="66">
        <v>6.4450985025887809E-4</v>
      </c>
      <c r="N213" s="67">
        <v>1.3877099778660258E-4</v>
      </c>
      <c r="O213" s="67">
        <v>1.210590243449698E-4</v>
      </c>
      <c r="P213" s="67">
        <v>1.3659989208608526E-4</v>
      </c>
      <c r="Q213" s="67">
        <v>1.3843992053548561E-4</v>
      </c>
      <c r="R213" s="67">
        <v>1.120215977640489E-4</v>
      </c>
      <c r="S213" s="67">
        <v>1.3097207473871072E-4</v>
      </c>
      <c r="T213" s="67">
        <v>2.4488642607098566E-4</v>
      </c>
      <c r="U213" s="67">
        <v>7.4790735522009414E-4</v>
      </c>
      <c r="V213" s="67">
        <v>4.3169938629881591E-3</v>
      </c>
      <c r="W213" s="68">
        <v>3.163185308130972E-4</v>
      </c>
    </row>
    <row r="214" spans="1:23" x14ac:dyDescent="0.3">
      <c r="A214" s="44" t="s">
        <v>267</v>
      </c>
      <c r="B214" t="s">
        <v>243</v>
      </c>
      <c r="C214" s="45">
        <v>2010</v>
      </c>
      <c r="D214" s="91">
        <v>3615153</v>
      </c>
      <c r="E214" s="2">
        <v>1786907</v>
      </c>
      <c r="F214" s="5">
        <v>0.49428253797280503</v>
      </c>
      <c r="G214" s="2">
        <v>1828246</v>
      </c>
      <c r="H214" s="78">
        <v>0.50571746202719503</v>
      </c>
      <c r="I214" s="52">
        <v>58710</v>
      </c>
      <c r="J214" s="82">
        <v>1.6239976565307193E-2</v>
      </c>
      <c r="K214" s="59">
        <v>298</v>
      </c>
      <c r="L214" s="60">
        <v>1164</v>
      </c>
      <c r="M214" s="66">
        <v>4.7442081125958726E-4</v>
      </c>
      <c r="N214" s="67">
        <v>1.2160420264124329E-4</v>
      </c>
      <c r="O214" s="67">
        <v>1.1316121512512801E-4</v>
      </c>
      <c r="P214" s="67">
        <v>1.258426212179049E-4</v>
      </c>
      <c r="Q214" s="67">
        <v>1.3028438910735651E-4</v>
      </c>
      <c r="R214" s="67">
        <v>1.1732499022291749E-4</v>
      </c>
      <c r="S214" s="67">
        <v>1.5859499474196596E-4</v>
      </c>
      <c r="T214" s="67">
        <v>3.662612358264532E-4</v>
      </c>
      <c r="U214" s="67">
        <v>1.4167784347431853E-3</v>
      </c>
      <c r="V214" s="67">
        <v>5.0757962868335886E-3</v>
      </c>
      <c r="W214" s="68">
        <v>3.2197807395703586E-4</v>
      </c>
    </row>
    <row r="215" spans="1:23" x14ac:dyDescent="0.3">
      <c r="A215" s="44" t="s">
        <v>280</v>
      </c>
      <c r="B215" t="s">
        <v>243</v>
      </c>
      <c r="C215" s="45">
        <v>2013</v>
      </c>
      <c r="D215" s="91">
        <v>3651309</v>
      </c>
      <c r="E215" s="2">
        <v>1803974</v>
      </c>
      <c r="F215" s="5">
        <v>0.49406226643650264</v>
      </c>
      <c r="G215" s="2">
        <v>1847339</v>
      </c>
      <c r="H215" s="78">
        <v>0.50593882906102994</v>
      </c>
      <c r="I215" s="52">
        <v>61174</v>
      </c>
      <c r="J215" s="82">
        <v>1.6753991513728365E-2</v>
      </c>
      <c r="K215" s="59">
        <v>305</v>
      </c>
      <c r="L215" s="60">
        <v>1133</v>
      </c>
      <c r="M215" s="66">
        <v>4.7115916934638443E-4</v>
      </c>
      <c r="N215" s="67">
        <v>1.1973634057804714E-4</v>
      </c>
      <c r="O215" s="67">
        <v>1.1514811886356483E-4</v>
      </c>
      <c r="P215" s="67">
        <v>1.2128513731498964E-4</v>
      </c>
      <c r="Q215" s="67">
        <v>1.3378821325841193E-4</v>
      </c>
      <c r="R215" s="67">
        <v>1.210731927808091E-4</v>
      </c>
      <c r="S215" s="67">
        <v>1.9951291330131952E-4</v>
      </c>
      <c r="T215" s="67">
        <v>3.5985449052086264E-4</v>
      </c>
      <c r="U215" s="67">
        <v>9.9959391497204259E-4</v>
      </c>
      <c r="V215" s="67">
        <v>4.985778271814823E-3</v>
      </c>
      <c r="W215" s="68">
        <v>3.1029967608876705E-4</v>
      </c>
    </row>
    <row r="216" spans="1:23" x14ac:dyDescent="0.3">
      <c r="A216" s="44" t="s">
        <v>282</v>
      </c>
      <c r="B216" t="s">
        <v>243</v>
      </c>
      <c r="C216" s="45">
        <v>2015</v>
      </c>
      <c r="D216" s="91">
        <v>3657767</v>
      </c>
      <c r="E216" s="2">
        <v>1810473</v>
      </c>
      <c r="F216" s="5">
        <v>0.49496673790320705</v>
      </c>
      <c r="G216" s="2">
        <v>1847301</v>
      </c>
      <c r="H216" s="78">
        <v>0.50503517583268698</v>
      </c>
      <c r="I216" s="52">
        <v>62985</v>
      </c>
      <c r="J216" s="82">
        <v>1.721952218388979E-2</v>
      </c>
      <c r="K216" s="59">
        <v>256</v>
      </c>
      <c r="L216" s="60">
        <v>1131</v>
      </c>
      <c r="M216" s="66">
        <v>4.7591286035526895E-4</v>
      </c>
      <c r="N216" s="67">
        <v>1.1987006085403423E-4</v>
      </c>
      <c r="O216" s="67">
        <v>1.1609008590666357E-4</v>
      </c>
      <c r="P216" s="67">
        <v>1.1957217077297429E-4</v>
      </c>
      <c r="Q216" s="67">
        <v>1.3434690610270822E-4</v>
      </c>
      <c r="R216" s="67">
        <v>1.2646088670158394E-4</v>
      </c>
      <c r="S216" s="67">
        <v>1.7001742678624559E-4</v>
      </c>
      <c r="T216" s="67">
        <v>3.671221700999388E-4</v>
      </c>
      <c r="U216" s="67">
        <v>1.3110394492391621E-3</v>
      </c>
      <c r="V216" s="67">
        <v>4.0644597920139712E-3</v>
      </c>
      <c r="W216" s="68">
        <v>3.0920504231133364E-4</v>
      </c>
    </row>
    <row r="217" spans="1:23" x14ac:dyDescent="0.3">
      <c r="A217" s="44" t="s">
        <v>401</v>
      </c>
      <c r="B217" t="s">
        <v>353</v>
      </c>
      <c r="C217" s="45">
        <v>2012</v>
      </c>
      <c r="D217" s="91">
        <v>3683908</v>
      </c>
      <c r="E217" s="2">
        <v>1824112</v>
      </c>
      <c r="F217" s="5">
        <v>0.49515677373050576</v>
      </c>
      <c r="G217" s="2">
        <v>1859797</v>
      </c>
      <c r="H217" s="78">
        <v>0.50484349772035564</v>
      </c>
      <c r="I217" s="52">
        <v>71959</v>
      </c>
      <c r="J217" s="82">
        <v>1.9533332537077473E-2</v>
      </c>
      <c r="K217" s="59">
        <v>193</v>
      </c>
      <c r="L217" s="60">
        <v>870</v>
      </c>
      <c r="M217" s="66">
        <v>5.2580382259379021E-4</v>
      </c>
      <c r="N217" s="67">
        <v>1.2912250497659655E-4</v>
      </c>
      <c r="O217" s="67">
        <v>1.2168509519830615E-4</v>
      </c>
      <c r="P217" s="67">
        <v>1.172229874278346E-4</v>
      </c>
      <c r="Q217" s="67">
        <v>1.2281466652747672E-4</v>
      </c>
      <c r="R217" s="67">
        <v>1.1663009017449805E-4</v>
      </c>
      <c r="S217" s="67">
        <v>1.2465020037519711E-4</v>
      </c>
      <c r="T217" s="67">
        <v>2.1907964640545071E-4</v>
      </c>
      <c r="U217" s="67">
        <v>4.9629071034024922E-4</v>
      </c>
      <c r="V217" s="67">
        <v>2.6820828527355854E-3</v>
      </c>
      <c r="W217" s="68">
        <v>2.3616224943728237E-4</v>
      </c>
    </row>
    <row r="218" spans="1:23" x14ac:dyDescent="0.3">
      <c r="A218" s="44" t="s">
        <v>367</v>
      </c>
      <c r="B218" t="s">
        <v>353</v>
      </c>
      <c r="C218" s="45">
        <v>2009</v>
      </c>
      <c r="D218" s="91">
        <v>3694697</v>
      </c>
      <c r="E218" s="2">
        <v>1830719</v>
      </c>
      <c r="F218" s="5">
        <v>0.49549908964118033</v>
      </c>
      <c r="G218" s="2">
        <v>1863978</v>
      </c>
      <c r="H218" s="78">
        <v>0.50450091035881972</v>
      </c>
      <c r="I218" s="52">
        <v>73084</v>
      </c>
      <c r="J218" s="82">
        <v>1.9780783106165403E-2</v>
      </c>
      <c r="K218" s="59">
        <v>211</v>
      </c>
      <c r="L218" s="60">
        <v>929</v>
      </c>
      <c r="M218" s="66">
        <v>5.0735667174023336E-4</v>
      </c>
      <c r="N218" s="67">
        <v>1.2808333955960678E-4</v>
      </c>
      <c r="O218" s="67">
        <v>1.18805999702985E-4</v>
      </c>
      <c r="P218" s="67">
        <v>1.200261657041235E-4</v>
      </c>
      <c r="Q218" s="67">
        <v>1.197903668579985E-4</v>
      </c>
      <c r="R218" s="67">
        <v>1.0962848732786044E-4</v>
      </c>
      <c r="S218" s="67">
        <v>1.3326551599297248E-4</v>
      </c>
      <c r="T218" s="67">
        <v>2.5928334084590192E-4</v>
      </c>
      <c r="U218" s="67">
        <v>6.8640433467374536E-4</v>
      </c>
      <c r="V218" s="67">
        <v>2.8870888292923213E-3</v>
      </c>
      <c r="W218" s="68">
        <v>2.5144145785161814E-4</v>
      </c>
    </row>
    <row r="219" spans="1:23" x14ac:dyDescent="0.3">
      <c r="A219" s="44" t="s">
        <v>338</v>
      </c>
      <c r="B219" t="s">
        <v>243</v>
      </c>
      <c r="C219" s="45">
        <v>2012</v>
      </c>
      <c r="D219" s="91">
        <v>3700201</v>
      </c>
      <c r="E219" s="2">
        <v>1830348</v>
      </c>
      <c r="F219" s="5">
        <v>0.49466177648187221</v>
      </c>
      <c r="G219" s="2">
        <v>1869854</v>
      </c>
      <c r="H219" s="78">
        <v>0.50533849377371665</v>
      </c>
      <c r="I219" s="52">
        <v>61568</v>
      </c>
      <c r="J219" s="82">
        <v>1.6639096092347417E-2</v>
      </c>
      <c r="K219" s="59">
        <v>229</v>
      </c>
      <c r="L219" s="60">
        <v>997</v>
      </c>
      <c r="M219" s="66">
        <v>4.6562702499253059E-4</v>
      </c>
      <c r="N219" s="67">
        <v>1.1856465627118109E-4</v>
      </c>
      <c r="O219" s="67">
        <v>1.1293820021684134E-4</v>
      </c>
      <c r="P219" s="67">
        <v>1.2052815437246012E-4</v>
      </c>
      <c r="Q219" s="67">
        <v>1.3103040123692698E-4</v>
      </c>
      <c r="R219" s="67">
        <v>1.1708939189624319E-4</v>
      </c>
      <c r="S219" s="67">
        <v>1.7908843984120826E-4</v>
      </c>
      <c r="T219" s="67">
        <v>2.8059269811463291E-4</v>
      </c>
      <c r="U219" s="67">
        <v>8.1611959861754282E-4</v>
      </c>
      <c r="V219" s="67">
        <v>3.7194646569646572E-3</v>
      </c>
      <c r="W219" s="68">
        <v>2.694448220515588E-4</v>
      </c>
    </row>
    <row r="220" spans="1:23" x14ac:dyDescent="0.3">
      <c r="A220" s="44" t="s">
        <v>400</v>
      </c>
      <c r="B220" t="s">
        <v>353</v>
      </c>
      <c r="C220" s="45">
        <v>2011</v>
      </c>
      <c r="D220" s="91">
        <v>3745417</v>
      </c>
      <c r="E220" s="2">
        <v>1853820</v>
      </c>
      <c r="F220" s="5">
        <v>0.49495690333012321</v>
      </c>
      <c r="G220" s="2">
        <v>1891597</v>
      </c>
      <c r="H220" s="78">
        <v>0.50504309666987679</v>
      </c>
      <c r="I220" s="52">
        <v>72594</v>
      </c>
      <c r="J220" s="82">
        <v>1.9382087495197466E-2</v>
      </c>
      <c r="K220" s="59">
        <v>208</v>
      </c>
      <c r="L220" s="60">
        <v>887</v>
      </c>
      <c r="M220" s="66">
        <v>5.1522047142673136E-4</v>
      </c>
      <c r="N220" s="67">
        <v>1.2705646177400468E-4</v>
      </c>
      <c r="O220" s="67">
        <v>1.1934859536648969E-4</v>
      </c>
      <c r="P220" s="67">
        <v>1.1714151280454353E-4</v>
      </c>
      <c r="Q220" s="67">
        <v>1.2095042846689284E-4</v>
      </c>
      <c r="R220" s="67">
        <v>1.1230171728042675E-4</v>
      </c>
      <c r="S220" s="67">
        <v>1.2348092734176434E-4</v>
      </c>
      <c r="T220" s="67">
        <v>2.1964344547351465E-4</v>
      </c>
      <c r="U220" s="67">
        <v>4.8178663560464221E-4</v>
      </c>
      <c r="V220" s="67">
        <v>2.8652505716725901E-3</v>
      </c>
      <c r="W220" s="68">
        <v>2.3682276232526311E-4</v>
      </c>
    </row>
    <row r="221" spans="1:23" x14ac:dyDescent="0.3">
      <c r="A221" s="44" t="s">
        <v>389</v>
      </c>
      <c r="B221" t="s">
        <v>353</v>
      </c>
      <c r="C221" s="45">
        <v>2010</v>
      </c>
      <c r="D221" s="91">
        <v>3754561</v>
      </c>
      <c r="E221" s="2">
        <v>1858302</v>
      </c>
      <c r="F221" s="5">
        <v>0.49494521463361496</v>
      </c>
      <c r="G221" s="2">
        <v>1896259</v>
      </c>
      <c r="H221" s="78">
        <v>0.50505478536638504</v>
      </c>
      <c r="I221" s="52">
        <v>74219</v>
      </c>
      <c r="J221" s="82">
        <v>1.9767690550240094E-2</v>
      </c>
      <c r="K221" s="59">
        <v>227</v>
      </c>
      <c r="L221" s="60">
        <v>906</v>
      </c>
      <c r="M221" s="66">
        <v>5.1291695874437933E-4</v>
      </c>
      <c r="N221" s="67">
        <v>1.257866909295217E-4</v>
      </c>
      <c r="O221" s="67">
        <v>1.1808234275368023E-4</v>
      </c>
      <c r="P221" s="67">
        <v>1.1804052724768837E-4</v>
      </c>
      <c r="Q221" s="67">
        <v>1.19393005957711E-4</v>
      </c>
      <c r="R221" s="67">
        <v>1.1006145097679538E-4</v>
      </c>
      <c r="S221" s="67">
        <v>1.2627325532452226E-4</v>
      </c>
      <c r="T221" s="67">
        <v>2.2501153184100684E-4</v>
      </c>
      <c r="U221" s="67">
        <v>4.7515081527459504E-4</v>
      </c>
      <c r="V221" s="67">
        <v>3.0585160134197443E-3</v>
      </c>
      <c r="W221" s="68">
        <v>2.4130650693916013E-4</v>
      </c>
    </row>
    <row r="222" spans="1:23" x14ac:dyDescent="0.3">
      <c r="A222" s="44" t="s">
        <v>368</v>
      </c>
      <c r="B222" t="s">
        <v>353</v>
      </c>
      <c r="C222" s="45">
        <v>2013</v>
      </c>
      <c r="D222" s="91">
        <v>3766332</v>
      </c>
      <c r="E222" s="2">
        <v>1862882</v>
      </c>
      <c r="F222" s="5">
        <v>0.49461438874746039</v>
      </c>
      <c r="G222" s="2">
        <v>1903450</v>
      </c>
      <c r="H222" s="78">
        <v>0.50538561125253956</v>
      </c>
      <c r="I222" s="52">
        <v>76092</v>
      </c>
      <c r="J222" s="82">
        <v>2.0203210975559244E-2</v>
      </c>
      <c r="K222" s="59">
        <v>236</v>
      </c>
      <c r="L222" s="60">
        <v>943</v>
      </c>
      <c r="M222" s="66">
        <v>5.2439530666200534E-4</v>
      </c>
      <c r="N222" s="67">
        <v>1.278933199187451E-4</v>
      </c>
      <c r="O222" s="67">
        <v>1.1985282073613603E-4</v>
      </c>
      <c r="P222" s="67">
        <v>1.1569119705681595E-4</v>
      </c>
      <c r="Q222" s="67">
        <v>1.2190042766733374E-4</v>
      </c>
      <c r="R222" s="67">
        <v>1.1652634952078539E-4</v>
      </c>
      <c r="S222" s="67">
        <v>1.1913366002430326E-4</v>
      </c>
      <c r="T222" s="67">
        <v>1.9922104571126894E-4</v>
      </c>
      <c r="U222" s="67">
        <v>6.6145334281210401E-4</v>
      </c>
      <c r="V222" s="67">
        <v>3.1015086999947434E-3</v>
      </c>
      <c r="W222" s="68">
        <v>2.5037622811796729E-4</v>
      </c>
    </row>
    <row r="223" spans="1:23" x14ac:dyDescent="0.3">
      <c r="A223" s="44" t="s">
        <v>380</v>
      </c>
      <c r="B223" t="s">
        <v>353</v>
      </c>
      <c r="C223" s="45">
        <v>2015</v>
      </c>
      <c r="D223" s="91">
        <v>3777831</v>
      </c>
      <c r="E223" s="2">
        <v>1867140</v>
      </c>
      <c r="F223" s="5">
        <v>0.49423597826371801</v>
      </c>
      <c r="G223" s="2">
        <v>1910692</v>
      </c>
      <c r="H223" s="78">
        <v>0.50576428643843518</v>
      </c>
      <c r="I223" s="52">
        <v>78428</v>
      </c>
      <c r="J223" s="82">
        <v>2.0760060468559868E-2</v>
      </c>
      <c r="K223" s="59">
        <v>225</v>
      </c>
      <c r="L223" s="60">
        <v>923</v>
      </c>
      <c r="M223" s="66">
        <v>5.3751881315846056E-4</v>
      </c>
      <c r="N223" s="67">
        <v>1.2943168703418074E-4</v>
      </c>
      <c r="O223" s="67">
        <v>1.2131309291774164E-4</v>
      </c>
      <c r="P223" s="67">
        <v>1.1505626251236855E-4</v>
      </c>
      <c r="Q223" s="67">
        <v>1.2150397621762172E-4</v>
      </c>
      <c r="R223" s="67">
        <v>1.2063283987799999E-4</v>
      </c>
      <c r="S223" s="67">
        <v>1.1769852307969956E-4</v>
      </c>
      <c r="T223" s="67">
        <v>1.9601102486626018E-4</v>
      </c>
      <c r="U223" s="67">
        <v>5.7108819935276669E-4</v>
      </c>
      <c r="V223" s="67">
        <v>2.8688733615545468E-3</v>
      </c>
      <c r="W223" s="68">
        <v>2.4432008737288672E-4</v>
      </c>
    </row>
    <row r="224" spans="1:23" x14ac:dyDescent="0.3">
      <c r="A224" s="44" t="s">
        <v>394</v>
      </c>
      <c r="B224" t="s">
        <v>353</v>
      </c>
      <c r="C224" s="45">
        <v>2014</v>
      </c>
      <c r="D224" s="91">
        <v>3795375</v>
      </c>
      <c r="E224" s="2">
        <v>1876621</v>
      </c>
      <c r="F224" s="5">
        <v>0.49444942858083851</v>
      </c>
      <c r="G224" s="2">
        <v>1918757</v>
      </c>
      <c r="H224" s="78">
        <v>0.50555136185488914</v>
      </c>
      <c r="I224" s="52">
        <v>76936</v>
      </c>
      <c r="J224" s="82">
        <v>2.0270987715311398E-2</v>
      </c>
      <c r="K224" s="59">
        <v>186</v>
      </c>
      <c r="L224" s="60">
        <v>908</v>
      </c>
      <c r="M224" s="66">
        <v>5.3009152913736435E-4</v>
      </c>
      <c r="N224" s="67">
        <v>1.2767886212598073E-4</v>
      </c>
      <c r="O224" s="67">
        <v>1.2013286695084764E-4</v>
      </c>
      <c r="P224" s="67">
        <v>1.1484792220967403E-4</v>
      </c>
      <c r="Q224" s="67">
        <v>1.2031208956031947E-4</v>
      </c>
      <c r="R224" s="67">
        <v>1.2929261269026583E-4</v>
      </c>
      <c r="S224" s="67">
        <v>1.5077640055611037E-4</v>
      </c>
      <c r="T224" s="67">
        <v>2.428470505121865E-4</v>
      </c>
      <c r="U224" s="67">
        <v>5.0284228535686475E-4</v>
      </c>
      <c r="V224" s="67">
        <v>2.4175938442341687E-3</v>
      </c>
      <c r="W224" s="68">
        <v>2.3923854691565392E-4</v>
      </c>
    </row>
    <row r="225" spans="1:23" x14ac:dyDescent="0.3">
      <c r="A225" s="44" t="s">
        <v>253</v>
      </c>
      <c r="B225" t="s">
        <v>246</v>
      </c>
      <c r="C225" s="45">
        <v>2017</v>
      </c>
      <c r="D225" s="91">
        <v>3889371</v>
      </c>
      <c r="E225" s="2">
        <v>1918374</v>
      </c>
      <c r="F225" s="5">
        <v>0.49323502437797784</v>
      </c>
      <c r="G225" s="2">
        <v>1971003</v>
      </c>
      <c r="H225" s="78">
        <v>0.50676651828791852</v>
      </c>
      <c r="I225" s="52">
        <v>69804</v>
      </c>
      <c r="J225" s="82">
        <v>1.7947375038277397E-2</v>
      </c>
      <c r="K225" s="59">
        <v>328</v>
      </c>
      <c r="L225" s="60">
        <v>1308</v>
      </c>
      <c r="M225" s="66">
        <v>5.0149193851708833E-4</v>
      </c>
      <c r="N225" s="67">
        <v>1.2084397431662732E-4</v>
      </c>
      <c r="O225" s="67">
        <v>1.1372079270973905E-4</v>
      </c>
      <c r="P225" s="67">
        <v>1.1875708831370872E-4</v>
      </c>
      <c r="Q225" s="67">
        <v>1.2266100790550195E-4</v>
      </c>
      <c r="R225" s="67">
        <v>1.1391078507313073E-4</v>
      </c>
      <c r="S225" s="67">
        <v>1.6383115249364667E-4</v>
      </c>
      <c r="T225" s="67">
        <v>4.1861638682447931E-4</v>
      </c>
      <c r="U225" s="67">
        <v>1.5547084633722203E-3</v>
      </c>
      <c r="V225" s="67">
        <v>4.6988711248639042E-3</v>
      </c>
      <c r="W225" s="68">
        <v>3.3630116540695143E-4</v>
      </c>
    </row>
    <row r="226" spans="1:23" x14ac:dyDescent="0.3">
      <c r="A226" s="44" t="s">
        <v>352</v>
      </c>
      <c r="B226" t="s">
        <v>353</v>
      </c>
      <c r="C226" s="45">
        <v>2017</v>
      </c>
      <c r="D226" s="91">
        <v>3917871</v>
      </c>
      <c r="E226" s="2">
        <v>1940582</v>
      </c>
      <c r="F226" s="5">
        <v>0.4953154404522252</v>
      </c>
      <c r="G226" s="2">
        <v>1977290</v>
      </c>
      <c r="H226" s="78">
        <v>0.50468481478843996</v>
      </c>
      <c r="I226" s="52">
        <v>80304</v>
      </c>
      <c r="J226" s="82">
        <v>2.0496846373961777E-2</v>
      </c>
      <c r="K226" s="59">
        <v>264</v>
      </c>
      <c r="L226" s="60">
        <v>1025</v>
      </c>
      <c r="M226" s="66">
        <v>5.2996745116570755E-4</v>
      </c>
      <c r="N226" s="67">
        <v>1.2675315456913433E-4</v>
      </c>
      <c r="O226" s="67">
        <v>1.2030509371766801E-4</v>
      </c>
      <c r="P226" s="67">
        <v>1.0960826007847952E-4</v>
      </c>
      <c r="Q226" s="67">
        <v>1.1614514271334411E-4</v>
      </c>
      <c r="R226" s="67">
        <v>1.196088789657819E-4</v>
      </c>
      <c r="S226" s="67">
        <v>1.3554843661105998E-4</v>
      </c>
      <c r="T226" s="67">
        <v>2.2534464475079533E-4</v>
      </c>
      <c r="U226" s="67">
        <v>7.249318564054979E-4</v>
      </c>
      <c r="V226" s="67">
        <v>3.2875074716078902E-3</v>
      </c>
      <c r="W226" s="68">
        <v>2.6162168177563787E-4</v>
      </c>
    </row>
    <row r="227" spans="1:23" x14ac:dyDescent="0.3">
      <c r="A227" s="44" t="s">
        <v>435</v>
      </c>
      <c r="B227" t="s">
        <v>353</v>
      </c>
      <c r="C227" s="45">
        <v>2016</v>
      </c>
      <c r="D227" s="91">
        <v>3967316</v>
      </c>
      <c r="E227" s="2">
        <v>1963674</v>
      </c>
      <c r="F227" s="5">
        <v>0.49496284137689056</v>
      </c>
      <c r="G227" s="2">
        <v>2003643</v>
      </c>
      <c r="H227" s="78">
        <v>0.50503741068268826</v>
      </c>
      <c r="I227" s="52">
        <v>84506</v>
      </c>
      <c r="J227" s="82">
        <v>2.1300546767638373E-2</v>
      </c>
      <c r="K227" s="59">
        <v>175</v>
      </c>
      <c r="L227" s="60">
        <v>885</v>
      </c>
      <c r="M227" s="66">
        <v>5.1939282978198491E-4</v>
      </c>
      <c r="N227" s="67">
        <v>1.2496485363491517E-4</v>
      </c>
      <c r="O227" s="67">
        <v>1.1757490011032445E-4</v>
      </c>
      <c r="P227" s="67">
        <v>1.0963650018364113E-4</v>
      </c>
      <c r="Q227" s="67">
        <v>1.1599290896683183E-4</v>
      </c>
      <c r="R227" s="67">
        <v>1.1670903853148907E-4</v>
      </c>
      <c r="S227" s="67">
        <v>1.1191294664923312E-4</v>
      </c>
      <c r="T227" s="67">
        <v>2.2822406770468343E-4</v>
      </c>
      <c r="U227" s="67">
        <v>4.8714230859605586E-4</v>
      </c>
      <c r="V227" s="67">
        <v>2.0708588739261117E-3</v>
      </c>
      <c r="W227" s="68">
        <v>2.2307272725439567E-4</v>
      </c>
    </row>
    <row r="228" spans="1:23" x14ac:dyDescent="0.3">
      <c r="A228" s="44" t="s">
        <v>245</v>
      </c>
      <c r="B228" t="s">
        <v>246</v>
      </c>
      <c r="C228" s="45">
        <v>2014</v>
      </c>
      <c r="D228" s="91">
        <v>4028763</v>
      </c>
      <c r="E228" s="2">
        <v>1979534</v>
      </c>
      <c r="F228" s="5">
        <v>0.49135032266728024</v>
      </c>
      <c r="G228" s="2">
        <v>2049234</v>
      </c>
      <c r="H228" s="78">
        <v>0.50865091840845444</v>
      </c>
      <c r="I228" s="52">
        <v>68936</v>
      </c>
      <c r="J228" s="82">
        <v>1.7110959368917954E-2</v>
      </c>
      <c r="K228" s="59">
        <v>374</v>
      </c>
      <c r="L228" s="60">
        <v>1385</v>
      </c>
      <c r="M228" s="66">
        <v>4.6773778619705795E-4</v>
      </c>
      <c r="N228" s="67">
        <v>1.145652535042647E-4</v>
      </c>
      <c r="O228" s="67">
        <v>1.0883642972975914E-4</v>
      </c>
      <c r="P228" s="67">
        <v>1.1434822464852214E-4</v>
      </c>
      <c r="Q228" s="67">
        <v>1.1537818083222282E-4</v>
      </c>
      <c r="R228" s="67">
        <v>1.1706267046159383E-4</v>
      </c>
      <c r="S228" s="67">
        <v>1.9900651311607488E-4</v>
      </c>
      <c r="T228" s="67">
        <v>5.0748698017396903E-4</v>
      </c>
      <c r="U228" s="67">
        <v>1.499241628748104E-3</v>
      </c>
      <c r="V228" s="67">
        <v>5.425322037832192E-3</v>
      </c>
      <c r="W228" s="68">
        <v>3.4377797850109327E-4</v>
      </c>
    </row>
    <row r="229" spans="1:23" x14ac:dyDescent="0.3">
      <c r="A229" s="44" t="s">
        <v>261</v>
      </c>
      <c r="B229" t="s">
        <v>246</v>
      </c>
      <c r="C229" s="45">
        <v>2010</v>
      </c>
      <c r="D229" s="91">
        <v>4032267</v>
      </c>
      <c r="E229" s="2">
        <v>1982371</v>
      </c>
      <c r="F229" s="5">
        <v>0.49162691855474849</v>
      </c>
      <c r="G229" s="2">
        <v>2049897</v>
      </c>
      <c r="H229" s="78">
        <v>0.50837332944470193</v>
      </c>
      <c r="I229" s="52">
        <v>64764</v>
      </c>
      <c r="J229" s="82">
        <v>1.606143640785692E-2</v>
      </c>
      <c r="K229" s="59">
        <v>407</v>
      </c>
      <c r="L229" s="60">
        <v>1320</v>
      </c>
      <c r="M229" s="66">
        <v>4.5768859630721583E-4</v>
      </c>
      <c r="N229" s="67">
        <v>1.1307910637351536E-4</v>
      </c>
      <c r="O229" s="67">
        <v>1.0818998160770312E-4</v>
      </c>
      <c r="P229" s="67">
        <v>1.1333371111237037E-4</v>
      </c>
      <c r="Q229" s="67">
        <v>1.0751185318181329E-4</v>
      </c>
      <c r="R229" s="67">
        <v>1.0058338362502515E-4</v>
      </c>
      <c r="S229" s="67">
        <v>1.3849136737143384E-4</v>
      </c>
      <c r="T229" s="67">
        <v>3.4887134937220429E-4</v>
      </c>
      <c r="U229" s="67">
        <v>1.5538109257441936E-3</v>
      </c>
      <c r="V229" s="67">
        <v>6.2843555061453896E-3</v>
      </c>
      <c r="W229" s="68">
        <v>3.2735927457184757E-4</v>
      </c>
    </row>
    <row r="230" spans="1:23" x14ac:dyDescent="0.3">
      <c r="A230" s="44" t="s">
        <v>277</v>
      </c>
      <c r="B230" t="s">
        <v>246</v>
      </c>
      <c r="C230" s="45">
        <v>2016</v>
      </c>
      <c r="D230" s="91">
        <v>4058257</v>
      </c>
      <c r="E230" s="2">
        <v>2000439</v>
      </c>
      <c r="F230" s="5">
        <v>0.49293058571697157</v>
      </c>
      <c r="G230" s="2">
        <v>2057827</v>
      </c>
      <c r="H230" s="78">
        <v>0.50707163198387883</v>
      </c>
      <c r="I230" s="52">
        <v>70757</v>
      </c>
      <c r="J230" s="82">
        <v>1.7435317674558314E-2</v>
      </c>
      <c r="K230" s="59">
        <v>318</v>
      </c>
      <c r="L230" s="60">
        <v>1274</v>
      </c>
      <c r="M230" s="66">
        <v>4.7422395226145547E-4</v>
      </c>
      <c r="N230" s="67">
        <v>1.1497005988023953E-4</v>
      </c>
      <c r="O230" s="67">
        <v>1.0731340881043087E-4</v>
      </c>
      <c r="P230" s="67">
        <v>1.1415850908987129E-4</v>
      </c>
      <c r="Q230" s="67">
        <v>1.1696590443885607E-4</v>
      </c>
      <c r="R230" s="67">
        <v>1.0748334903784489E-4</v>
      </c>
      <c r="S230" s="67">
        <v>1.759281153937101E-4</v>
      </c>
      <c r="T230" s="67">
        <v>4.6914584180402213E-4</v>
      </c>
      <c r="U230" s="67">
        <v>1.2282797322575557E-3</v>
      </c>
      <c r="V230" s="67">
        <v>4.4942549853724716E-3</v>
      </c>
      <c r="W230" s="68">
        <v>3.1392787593294361E-4</v>
      </c>
    </row>
    <row r="231" spans="1:23" x14ac:dyDescent="0.3">
      <c r="A231" s="44" t="s">
        <v>262</v>
      </c>
      <c r="B231" t="s">
        <v>246</v>
      </c>
      <c r="C231" s="45">
        <v>2011</v>
      </c>
      <c r="D231" s="91">
        <v>4079475</v>
      </c>
      <c r="E231" s="2">
        <v>2004053</v>
      </c>
      <c r="F231" s="5">
        <v>0.49125267344449958</v>
      </c>
      <c r="G231" s="2">
        <v>2075427</v>
      </c>
      <c r="H231" s="78">
        <v>0.50874855220340853</v>
      </c>
      <c r="I231" s="52">
        <v>67884</v>
      </c>
      <c r="J231" s="82">
        <v>1.6640376519037377E-2</v>
      </c>
      <c r="K231" s="59">
        <v>386</v>
      </c>
      <c r="L231" s="60">
        <v>1335</v>
      </c>
      <c r="M231" s="66">
        <v>4.5373423273541245E-4</v>
      </c>
      <c r="N231" s="67">
        <v>1.1201030494805522E-4</v>
      </c>
      <c r="O231" s="67">
        <v>1.0874293170943889E-4</v>
      </c>
      <c r="P231" s="67">
        <v>1.1280273433828036E-4</v>
      </c>
      <c r="Q231" s="67">
        <v>1.0838639750711285E-4</v>
      </c>
      <c r="R231" s="67">
        <v>1.2265688063662237E-4</v>
      </c>
      <c r="S231" s="67">
        <v>1.5643237909582084E-4</v>
      </c>
      <c r="T231" s="67">
        <v>4.0082948514943322E-4</v>
      </c>
      <c r="U231" s="67">
        <v>1.4822878186050283E-3</v>
      </c>
      <c r="V231" s="67">
        <v>5.6861705261917386E-3</v>
      </c>
      <c r="W231" s="68">
        <v>3.2724799146949057E-4</v>
      </c>
    </row>
    <row r="232" spans="1:23" x14ac:dyDescent="0.3">
      <c r="A232" s="44" t="s">
        <v>272</v>
      </c>
      <c r="B232" t="s">
        <v>246</v>
      </c>
      <c r="C232" s="45">
        <v>2013</v>
      </c>
      <c r="D232" s="91">
        <v>4095114</v>
      </c>
      <c r="E232" s="2">
        <v>2013759</v>
      </c>
      <c r="F232" s="5">
        <v>0.49174674990732858</v>
      </c>
      <c r="G232" s="2">
        <v>2081361</v>
      </c>
      <c r="H232" s="78">
        <v>0.50825471525334831</v>
      </c>
      <c r="I232" s="52">
        <v>68823</v>
      </c>
      <c r="J232" s="82">
        <v>1.6806125543757756E-2</v>
      </c>
      <c r="K232" s="59">
        <v>377</v>
      </c>
      <c r="L232" s="60">
        <v>1302</v>
      </c>
      <c r="M232" s="66">
        <v>4.5737110710487898E-4</v>
      </c>
      <c r="N232" s="67">
        <v>1.121803560978437E-4</v>
      </c>
      <c r="O232" s="67">
        <v>1.072470399816965E-4</v>
      </c>
      <c r="P232" s="67">
        <v>1.1224625331360293E-4</v>
      </c>
      <c r="Q232" s="67">
        <v>1.1218811703464369E-4</v>
      </c>
      <c r="R232" s="67">
        <v>1.0136898818544442E-4</v>
      </c>
      <c r="S232" s="67">
        <v>1.3682263161951747E-4</v>
      </c>
      <c r="T232" s="67">
        <v>4.5468086107147899E-4</v>
      </c>
      <c r="U232" s="67">
        <v>1.3197706250180101E-3</v>
      </c>
      <c r="V232" s="67">
        <v>5.4778199148540459E-3</v>
      </c>
      <c r="W232" s="68">
        <v>3.179398668755009E-4</v>
      </c>
    </row>
    <row r="233" spans="1:23" x14ac:dyDescent="0.3">
      <c r="A233" s="44" t="s">
        <v>255</v>
      </c>
      <c r="B233" t="s">
        <v>246</v>
      </c>
      <c r="C233" s="45">
        <v>2015</v>
      </c>
      <c r="D233" s="91">
        <v>4139395</v>
      </c>
      <c r="E233" s="2">
        <v>2036315</v>
      </c>
      <c r="F233" s="5">
        <v>0.49193541568272658</v>
      </c>
      <c r="G233" s="2">
        <v>2103090</v>
      </c>
      <c r="H233" s="78">
        <v>0.50806700012924599</v>
      </c>
      <c r="I233" s="52">
        <v>72428</v>
      </c>
      <c r="J233" s="82">
        <v>1.7497242954586358E-2</v>
      </c>
      <c r="K233" s="59">
        <v>390</v>
      </c>
      <c r="L233" s="60">
        <v>1365</v>
      </c>
      <c r="M233" s="66">
        <v>4.5963099291785247E-4</v>
      </c>
      <c r="N233" s="67">
        <v>1.1185619767227252E-4</v>
      </c>
      <c r="O233" s="67">
        <v>1.0562803790638188E-4</v>
      </c>
      <c r="P233" s="67">
        <v>1.1285174478201745E-4</v>
      </c>
      <c r="Q233" s="67">
        <v>1.1379131810173324E-4</v>
      </c>
      <c r="R233" s="67">
        <v>1.0354968313796959E-4</v>
      </c>
      <c r="S233" s="67">
        <v>1.6931429570834775E-4</v>
      </c>
      <c r="T233" s="67">
        <v>4.7768547001660386E-4</v>
      </c>
      <c r="U233" s="67">
        <v>1.3324748761302243E-3</v>
      </c>
      <c r="V233" s="67">
        <v>5.3846578671232119E-3</v>
      </c>
      <c r="W233" s="68">
        <v>3.2975833424932872E-4</v>
      </c>
    </row>
    <row r="234" spans="1:23" x14ac:dyDescent="0.3">
      <c r="A234" s="44" t="s">
        <v>290</v>
      </c>
      <c r="B234" t="s">
        <v>246</v>
      </c>
      <c r="C234" s="45">
        <v>2012</v>
      </c>
      <c r="D234" s="91">
        <v>4188969</v>
      </c>
      <c r="E234" s="2">
        <v>2058676</v>
      </c>
      <c r="F234" s="5">
        <v>0.49145171520725028</v>
      </c>
      <c r="G234" s="2">
        <v>2130294</v>
      </c>
      <c r="H234" s="78">
        <v>0.5085485235149747</v>
      </c>
      <c r="I234" s="52">
        <v>69100</v>
      </c>
      <c r="J234" s="82">
        <v>1.6495705745256172E-2</v>
      </c>
      <c r="K234" s="59">
        <v>357</v>
      </c>
      <c r="L234" s="60">
        <v>1269</v>
      </c>
      <c r="M234" s="66">
        <v>4.4338196987219516E-4</v>
      </c>
      <c r="N234" s="67">
        <v>1.094387252577282E-4</v>
      </c>
      <c r="O234" s="67">
        <v>1.05224760087547E-4</v>
      </c>
      <c r="P234" s="67">
        <v>1.1023474488924164E-4</v>
      </c>
      <c r="Q234" s="67">
        <v>1.0744793252269837E-4</v>
      </c>
      <c r="R234" s="67">
        <v>9.7810352247681897E-5</v>
      </c>
      <c r="S234" s="67">
        <v>1.4033927500346042E-4</v>
      </c>
      <c r="T234" s="67">
        <v>3.6139315489939127E-4</v>
      </c>
      <c r="U234" s="67">
        <v>1.379364926820168E-3</v>
      </c>
      <c r="V234" s="67">
        <v>5.1664254703328513E-3</v>
      </c>
      <c r="W234" s="68">
        <v>3.0293850348379279E-4</v>
      </c>
    </row>
    <row r="235" spans="1:23" x14ac:dyDescent="0.3">
      <c r="A235" s="44" t="s">
        <v>268</v>
      </c>
      <c r="B235" t="s">
        <v>246</v>
      </c>
      <c r="C235" s="45">
        <v>2009</v>
      </c>
      <c r="D235" s="91">
        <v>4238868</v>
      </c>
      <c r="E235" s="2">
        <v>2077373</v>
      </c>
      <c r="F235" s="5">
        <v>0.49007730365748592</v>
      </c>
      <c r="G235" s="2">
        <v>2161499</v>
      </c>
      <c r="H235" s="78">
        <v>0.5099236399906768</v>
      </c>
      <c r="I235" s="52">
        <v>67411</v>
      </c>
      <c r="J235" s="82">
        <v>1.5903066573434228E-2</v>
      </c>
      <c r="K235" s="59">
        <v>398</v>
      </c>
      <c r="L235" s="60">
        <v>1363</v>
      </c>
      <c r="M235" s="66">
        <v>4.2436266032951759E-4</v>
      </c>
      <c r="N235" s="67">
        <v>1.0888521502107836E-4</v>
      </c>
      <c r="O235" s="67">
        <v>1.0236689318185308E-4</v>
      </c>
      <c r="P235" s="67">
        <v>1.0631756702879611E-4</v>
      </c>
      <c r="Q235" s="67">
        <v>1.0022015026341196E-4</v>
      </c>
      <c r="R235" s="67">
        <v>9.6257662511009469E-5</v>
      </c>
      <c r="S235" s="67">
        <v>1.6302811306309189E-4</v>
      </c>
      <c r="T235" s="67">
        <v>4.6494703646801974E-4</v>
      </c>
      <c r="U235" s="67">
        <v>1.4532676832310263E-3</v>
      </c>
      <c r="V235" s="67">
        <v>5.9040809363457005E-3</v>
      </c>
      <c r="W235" s="68">
        <v>3.2154811142974966E-4</v>
      </c>
    </row>
    <row r="236" spans="1:23" x14ac:dyDescent="0.3">
      <c r="A236" s="44" t="s">
        <v>305</v>
      </c>
      <c r="B236" t="s">
        <v>306</v>
      </c>
      <c r="C236" s="45">
        <v>2013</v>
      </c>
      <c r="D236" s="91">
        <v>4325940</v>
      </c>
      <c r="E236" s="2">
        <v>2112594</v>
      </c>
      <c r="F236" s="5">
        <v>0.48835490090015116</v>
      </c>
      <c r="G236" s="2">
        <v>2213350</v>
      </c>
      <c r="H236" s="78">
        <v>0.51164602375437473</v>
      </c>
      <c r="I236" s="52">
        <v>64959</v>
      </c>
      <c r="J236" s="82">
        <v>1.5016158337841024E-2</v>
      </c>
      <c r="K236" s="59">
        <v>344</v>
      </c>
      <c r="L236" s="60">
        <v>1260</v>
      </c>
      <c r="M236" s="66">
        <v>4.0616146949219663E-4</v>
      </c>
      <c r="N236" s="67">
        <v>1.029005963089556E-4</v>
      </c>
      <c r="O236" s="67">
        <v>9.5511743964851679E-5</v>
      </c>
      <c r="P236" s="67">
        <v>9.8789987305486626E-5</v>
      </c>
      <c r="Q236" s="67">
        <v>1.1203101018361883E-4</v>
      </c>
      <c r="R236" s="67">
        <v>1.1373788856324321E-4</v>
      </c>
      <c r="S236" s="67">
        <v>2.0976833947382472E-4</v>
      </c>
      <c r="T236" s="67">
        <v>4.1021731827695806E-4</v>
      </c>
      <c r="U236" s="67">
        <v>1.1019411563422514E-3</v>
      </c>
      <c r="V236" s="67">
        <v>5.2956480241383025E-3</v>
      </c>
      <c r="W236" s="68">
        <v>2.9126617567511339E-4</v>
      </c>
    </row>
    <row r="237" spans="1:23" x14ac:dyDescent="0.3">
      <c r="A237" s="44" t="s">
        <v>336</v>
      </c>
      <c r="B237" t="s">
        <v>306</v>
      </c>
      <c r="C237" s="45">
        <v>2017</v>
      </c>
      <c r="D237" s="91">
        <v>4336750</v>
      </c>
      <c r="E237" s="2">
        <v>2119181</v>
      </c>
      <c r="F237" s="5">
        <v>0.4886564823888857</v>
      </c>
      <c r="G237" s="2">
        <v>2217571</v>
      </c>
      <c r="H237" s="78">
        <v>0.51134397878595728</v>
      </c>
      <c r="I237" s="52">
        <v>69698</v>
      </c>
      <c r="J237" s="82">
        <v>1.6071482100651409E-2</v>
      </c>
      <c r="K237" s="59">
        <v>271</v>
      </c>
      <c r="L237" s="60">
        <v>1173</v>
      </c>
      <c r="M237" s="66">
        <v>4.1524646607955432E-4</v>
      </c>
      <c r="N237" s="67">
        <v>1.047738456541555E-4</v>
      </c>
      <c r="O237" s="67">
        <v>9.9735203035939576E-5</v>
      </c>
      <c r="P237" s="67">
        <v>9.5698053501591779E-5</v>
      </c>
      <c r="Q237" s="67">
        <v>1.1288338017993611E-4</v>
      </c>
      <c r="R237" s="67">
        <v>1.0775707245585552E-4</v>
      </c>
      <c r="S237" s="67">
        <v>1.6888732309960902E-4</v>
      </c>
      <c r="T237" s="67">
        <v>3.7791214654099234E-4</v>
      </c>
      <c r="U237" s="67">
        <v>1.0843244883168249E-3</v>
      </c>
      <c r="V237" s="67">
        <v>3.8882033917759479E-3</v>
      </c>
      <c r="W237" s="68">
        <v>2.7047904536807519E-4</v>
      </c>
    </row>
    <row r="238" spans="1:23" x14ac:dyDescent="0.3">
      <c r="A238" s="44" t="s">
        <v>342</v>
      </c>
      <c r="B238" t="s">
        <v>329</v>
      </c>
      <c r="C238" s="45">
        <v>2011</v>
      </c>
      <c r="D238" s="91">
        <v>4365242</v>
      </c>
      <c r="E238" s="2">
        <v>2121009</v>
      </c>
      <c r="F238" s="5">
        <v>0.48588577677938588</v>
      </c>
      <c r="G238" s="2">
        <v>2244234</v>
      </c>
      <c r="H238" s="78">
        <v>0.51411445230298802</v>
      </c>
      <c r="I238" s="52">
        <v>63600</v>
      </c>
      <c r="J238" s="82">
        <v>1.456963897992368E-2</v>
      </c>
      <c r="K238" s="59">
        <v>313</v>
      </c>
      <c r="L238" s="60">
        <v>1166</v>
      </c>
      <c r="M238" s="66">
        <v>4.2006216920104176E-4</v>
      </c>
      <c r="N238" s="67">
        <v>1.0652974044028742E-4</v>
      </c>
      <c r="O238" s="67">
        <v>9.560625519859013E-5</v>
      </c>
      <c r="P238" s="67">
        <v>1.0714706649189789E-4</v>
      </c>
      <c r="Q238" s="67">
        <v>1.0315588229226125E-4</v>
      </c>
      <c r="R238" s="67">
        <v>9.6732692103065459E-5</v>
      </c>
      <c r="S238" s="67">
        <v>1.2028750564425988E-4</v>
      </c>
      <c r="T238" s="67">
        <v>2.8183982690337296E-4</v>
      </c>
      <c r="U238" s="67">
        <v>1.1606263002299354E-3</v>
      </c>
      <c r="V238" s="67">
        <v>4.9213836477987423E-3</v>
      </c>
      <c r="W238" s="68">
        <v>2.6711004796526743E-4</v>
      </c>
    </row>
    <row r="239" spans="1:23" x14ac:dyDescent="0.3">
      <c r="A239" s="44" t="s">
        <v>355</v>
      </c>
      <c r="B239" t="s">
        <v>329</v>
      </c>
      <c r="C239" s="45">
        <v>2009</v>
      </c>
      <c r="D239" s="91">
        <v>4386090</v>
      </c>
      <c r="E239" s="2">
        <v>2136292</v>
      </c>
      <c r="F239" s="5">
        <v>0.48706068502926297</v>
      </c>
      <c r="G239" s="2">
        <v>2249798</v>
      </c>
      <c r="H239" s="78">
        <v>0.51293931497073708</v>
      </c>
      <c r="I239" s="52">
        <v>66026</v>
      </c>
      <c r="J239" s="82">
        <v>1.5053498674217812E-2</v>
      </c>
      <c r="K239" s="59">
        <v>296</v>
      </c>
      <c r="L239" s="60">
        <v>1132</v>
      </c>
      <c r="M239" s="66">
        <v>4.0571380272166343E-4</v>
      </c>
      <c r="N239" s="67">
        <v>1.049281242348991E-4</v>
      </c>
      <c r="O239" s="67">
        <v>9.6407379020790245E-5</v>
      </c>
      <c r="P239" s="67">
        <v>1.0403157011381054E-4</v>
      </c>
      <c r="Q239" s="67">
        <v>9.8871709013968924E-5</v>
      </c>
      <c r="R239" s="67">
        <v>1.0448665705389422E-4</v>
      </c>
      <c r="S239" s="67">
        <v>1.301779746638688E-4</v>
      </c>
      <c r="T239" s="67">
        <v>2.7669995547357037E-4</v>
      </c>
      <c r="U239" s="67">
        <v>1.0079407310384348E-3</v>
      </c>
      <c r="V239" s="67">
        <v>4.483082422076152E-3</v>
      </c>
      <c r="W239" s="68">
        <v>2.5808863931200683E-4</v>
      </c>
    </row>
    <row r="240" spans="1:23" x14ac:dyDescent="0.3">
      <c r="A240" s="44" t="s">
        <v>337</v>
      </c>
      <c r="B240" t="s">
        <v>306</v>
      </c>
      <c r="C240" s="45">
        <v>2012</v>
      </c>
      <c r="D240" s="91">
        <v>4386451</v>
      </c>
      <c r="E240" s="2">
        <v>2143052</v>
      </c>
      <c r="F240" s="5">
        <v>0.4885617096828393</v>
      </c>
      <c r="G240" s="2">
        <v>2243401</v>
      </c>
      <c r="H240" s="78">
        <v>0.51143874626662877</v>
      </c>
      <c r="I240" s="52">
        <v>65022</v>
      </c>
      <c r="J240" s="82">
        <v>1.4823373155199956E-2</v>
      </c>
      <c r="K240" s="59">
        <v>313</v>
      </c>
      <c r="L240" s="60">
        <v>1182</v>
      </c>
      <c r="M240" s="66">
        <v>3.9668503538761084E-4</v>
      </c>
      <c r="N240" s="67">
        <v>1.0084236993014985E-4</v>
      </c>
      <c r="O240" s="67">
        <v>9.3239078984377787E-5</v>
      </c>
      <c r="P240" s="67">
        <v>9.9515030086710763E-5</v>
      </c>
      <c r="Q240" s="67">
        <v>1.0860750695088044E-4</v>
      </c>
      <c r="R240" s="67">
        <v>9.5626216245937873E-5</v>
      </c>
      <c r="S240" s="67">
        <v>1.2873450142280446E-4</v>
      </c>
      <c r="T240" s="67">
        <v>3.548301250776191E-4</v>
      </c>
      <c r="U240" s="67">
        <v>1.2361367837338262E-3</v>
      </c>
      <c r="V240" s="67">
        <v>4.8137553443449912E-3</v>
      </c>
      <c r="W240" s="68">
        <v>2.6946613560712291E-4</v>
      </c>
    </row>
    <row r="241" spans="1:23" x14ac:dyDescent="0.3">
      <c r="A241" s="44" t="s">
        <v>354</v>
      </c>
      <c r="B241" t="s">
        <v>306</v>
      </c>
      <c r="C241" s="45">
        <v>2015</v>
      </c>
      <c r="D241" s="91">
        <v>4389964</v>
      </c>
      <c r="E241" s="2">
        <v>2142049</v>
      </c>
      <c r="F241" s="5">
        <v>0.487942270141623</v>
      </c>
      <c r="G241" s="2">
        <v>2247918</v>
      </c>
      <c r="H241" s="78">
        <v>0.51205841323527934</v>
      </c>
      <c r="I241" s="52">
        <v>68869</v>
      </c>
      <c r="J241" s="82">
        <v>1.5687827963965079E-2</v>
      </c>
      <c r="K241" s="59">
        <v>291</v>
      </c>
      <c r="L241" s="60">
        <v>1144</v>
      </c>
      <c r="M241" s="66">
        <v>4.0753532821876499E-4</v>
      </c>
      <c r="N241" s="67">
        <v>1.0228173503916538E-4</v>
      </c>
      <c r="O241" s="67">
        <v>9.6625670541892862E-5</v>
      </c>
      <c r="P241" s="67">
        <v>9.6274806808554339E-5</v>
      </c>
      <c r="Q241" s="67">
        <v>1.1216022461954318E-4</v>
      </c>
      <c r="R241" s="67">
        <v>1.016273933251128E-4</v>
      </c>
      <c r="S241" s="67">
        <v>1.3748414862036466E-4</v>
      </c>
      <c r="T241" s="67">
        <v>3.076923076923077E-4</v>
      </c>
      <c r="U241" s="67">
        <v>1.0847815823197464E-3</v>
      </c>
      <c r="V241" s="67">
        <v>4.2254134661458709E-3</v>
      </c>
      <c r="W241" s="68">
        <v>2.6059439211802192E-4</v>
      </c>
    </row>
    <row r="242" spans="1:23" x14ac:dyDescent="0.3">
      <c r="A242" s="44" t="s">
        <v>250</v>
      </c>
      <c r="B242" t="s">
        <v>251</v>
      </c>
      <c r="C242" s="45">
        <v>2015</v>
      </c>
      <c r="D242" s="91">
        <v>4392118</v>
      </c>
      <c r="E242" s="2">
        <v>2129515</v>
      </c>
      <c r="F242" s="5">
        <v>0.48484922308553641</v>
      </c>
      <c r="G242" s="2">
        <v>2262608</v>
      </c>
      <c r="H242" s="78">
        <v>0.51515191531739357</v>
      </c>
      <c r="I242" s="52">
        <v>74147</v>
      </c>
      <c r="J242" s="82">
        <v>1.6881832409784983E-2</v>
      </c>
      <c r="K242" s="59">
        <v>381</v>
      </c>
      <c r="L242" s="60">
        <v>1487</v>
      </c>
      <c r="M242" s="66">
        <v>4.4468490368866127E-4</v>
      </c>
      <c r="N242" s="67">
        <v>1.0563845239667239E-4</v>
      </c>
      <c r="O242" s="67">
        <v>9.8225876952443946E-5</v>
      </c>
      <c r="P242" s="67">
        <v>1.0493674937431464E-4</v>
      </c>
      <c r="Q242" s="67">
        <v>1.0816053186138868E-4</v>
      </c>
      <c r="R242" s="67">
        <v>9.9094605619985405E-5</v>
      </c>
      <c r="S242" s="67">
        <v>2.1617024292574022E-4</v>
      </c>
      <c r="T242" s="67">
        <v>5.2349308775453518E-4</v>
      </c>
      <c r="U242" s="67">
        <v>1.548345582690703E-3</v>
      </c>
      <c r="V242" s="67">
        <v>5.1384412046340377E-3</v>
      </c>
      <c r="W242" s="68">
        <v>3.3856103137484009E-4</v>
      </c>
    </row>
    <row r="243" spans="1:23" x14ac:dyDescent="0.3">
      <c r="A243" s="44" t="s">
        <v>319</v>
      </c>
      <c r="B243" t="s">
        <v>306</v>
      </c>
      <c r="C243" s="45">
        <v>2009</v>
      </c>
      <c r="D243" s="91">
        <v>4411546</v>
      </c>
      <c r="E243" s="2">
        <v>2144570</v>
      </c>
      <c r="F243" s="5">
        <v>0.48612663225091612</v>
      </c>
      <c r="G243" s="2">
        <v>2266977</v>
      </c>
      <c r="H243" s="78">
        <v>0.51387359442698777</v>
      </c>
      <c r="I243" s="52">
        <v>65584</v>
      </c>
      <c r="J243" s="82">
        <v>1.4866443645833003E-2</v>
      </c>
      <c r="K243" s="59">
        <v>345</v>
      </c>
      <c r="L243" s="60">
        <v>1231</v>
      </c>
      <c r="M243" s="66">
        <v>3.8696196163917086E-4</v>
      </c>
      <c r="N243" s="67">
        <v>9.8474304771408312E-5</v>
      </c>
      <c r="O243" s="67">
        <v>8.8557225679233926E-5</v>
      </c>
      <c r="P243" s="67">
        <v>1.0275960930796541E-4</v>
      </c>
      <c r="Q243" s="67">
        <v>1.0211809958216677E-4</v>
      </c>
      <c r="R243" s="67">
        <v>9.4547895600213675E-5</v>
      </c>
      <c r="S243" s="67">
        <v>1.2627989939701349E-4</v>
      </c>
      <c r="T243" s="67">
        <v>3.596883632084202E-4</v>
      </c>
      <c r="U243" s="67">
        <v>1.3263178578056263E-3</v>
      </c>
      <c r="V243" s="67">
        <v>5.260429373017809E-3</v>
      </c>
      <c r="W243" s="68">
        <v>2.7904049963436853E-4</v>
      </c>
    </row>
    <row r="244" spans="1:23" x14ac:dyDescent="0.3">
      <c r="A244" s="44" t="s">
        <v>310</v>
      </c>
      <c r="B244" t="s">
        <v>306</v>
      </c>
      <c r="C244" s="45">
        <v>2010</v>
      </c>
      <c r="D244" s="91">
        <v>4421853</v>
      </c>
      <c r="E244" s="2">
        <v>2161266</v>
      </c>
      <c r="F244" s="5">
        <v>0.48876930101475557</v>
      </c>
      <c r="G244" s="2">
        <v>2260589</v>
      </c>
      <c r="H244" s="78">
        <v>0.51123115128431451</v>
      </c>
      <c r="I244" s="52">
        <v>63745</v>
      </c>
      <c r="J244" s="82">
        <v>1.4415902111626053E-2</v>
      </c>
      <c r="K244" s="59">
        <v>338</v>
      </c>
      <c r="L244" s="60">
        <v>1268</v>
      </c>
      <c r="M244" s="66">
        <v>3.9420388882136322E-4</v>
      </c>
      <c r="N244" s="67">
        <v>9.9144547793455465E-5</v>
      </c>
      <c r="O244" s="67">
        <v>9.0890224301925211E-5</v>
      </c>
      <c r="P244" s="67">
        <v>1.0177771746505632E-4</v>
      </c>
      <c r="Q244" s="67">
        <v>1.0327608969184136E-4</v>
      </c>
      <c r="R244" s="67">
        <v>9.2950768625397565E-5</v>
      </c>
      <c r="S244" s="67">
        <v>1.3190634649398926E-4</v>
      </c>
      <c r="T244" s="67">
        <v>4.6281907490236881E-4</v>
      </c>
      <c r="U244" s="67">
        <v>1.3927890742181774E-3</v>
      </c>
      <c r="V244" s="67">
        <v>5.3023766569927052E-3</v>
      </c>
      <c r="W244" s="68">
        <v>2.8675761044069084E-4</v>
      </c>
    </row>
    <row r="245" spans="1:23" x14ac:dyDescent="0.3">
      <c r="A245" s="44" t="s">
        <v>327</v>
      </c>
      <c r="B245" t="s">
        <v>306</v>
      </c>
      <c r="C245" s="45">
        <v>2014</v>
      </c>
      <c r="D245" s="91">
        <v>4461249</v>
      </c>
      <c r="E245" s="2">
        <v>2175587</v>
      </c>
      <c r="F245" s="5">
        <v>0.48766320821814696</v>
      </c>
      <c r="G245" s="2">
        <v>2285663</v>
      </c>
      <c r="H245" s="78">
        <v>0.5123370159343269</v>
      </c>
      <c r="I245" s="52">
        <v>69580</v>
      </c>
      <c r="J245" s="82">
        <v>1.5596529133433261E-2</v>
      </c>
      <c r="K245" s="59">
        <v>292</v>
      </c>
      <c r="L245" s="60">
        <v>1220</v>
      </c>
      <c r="M245" s="66">
        <v>4.0135121575972442E-4</v>
      </c>
      <c r="N245" s="67">
        <v>1.0033411259494115E-4</v>
      </c>
      <c r="O245" s="67">
        <v>9.4034601598901678E-5</v>
      </c>
      <c r="P245" s="67">
        <v>9.5811443080018525E-5</v>
      </c>
      <c r="Q245" s="67">
        <v>1.0929698358541469E-4</v>
      </c>
      <c r="R245" s="67">
        <v>1.4179912117142374E-4</v>
      </c>
      <c r="S245" s="67">
        <v>1.9864488074083705E-4</v>
      </c>
      <c r="T245" s="67">
        <v>4.0078841661656813E-4</v>
      </c>
      <c r="U245" s="67">
        <v>9.7784652781614267E-4</v>
      </c>
      <c r="V245" s="67">
        <v>4.1966082207530904E-3</v>
      </c>
      <c r="W245" s="68">
        <v>2.734660181487292E-4</v>
      </c>
    </row>
    <row r="246" spans="1:23" x14ac:dyDescent="0.3">
      <c r="A246" s="44" t="s">
        <v>326</v>
      </c>
      <c r="B246" t="s">
        <v>306</v>
      </c>
      <c r="C246" s="45">
        <v>2011</v>
      </c>
      <c r="D246" s="91">
        <v>4465332</v>
      </c>
      <c r="E246" s="2">
        <v>2181395</v>
      </c>
      <c r="F246" s="5">
        <v>0.48851798701641891</v>
      </c>
      <c r="G246" s="2">
        <v>2283939</v>
      </c>
      <c r="H246" s="78">
        <v>0.51148246087860882</v>
      </c>
      <c r="I246" s="52">
        <v>65747</v>
      </c>
      <c r="J246" s="82">
        <v>1.4723877194349715E-2</v>
      </c>
      <c r="K246" s="59">
        <v>341</v>
      </c>
      <c r="L246" s="60">
        <v>1226</v>
      </c>
      <c r="M246" s="66">
        <v>3.8737418409312476E-4</v>
      </c>
      <c r="N246" s="67">
        <v>9.8712460473885624E-5</v>
      </c>
      <c r="O246" s="67">
        <v>9.053815881600232E-5</v>
      </c>
      <c r="P246" s="67">
        <v>9.9281861203958041E-5</v>
      </c>
      <c r="Q246" s="67">
        <v>1.0534133225182899E-4</v>
      </c>
      <c r="R246" s="67">
        <v>9.2809577948444282E-5</v>
      </c>
      <c r="S246" s="67">
        <v>1.6028302506208554E-4</v>
      </c>
      <c r="T246" s="67">
        <v>2.6343346000092199E-4</v>
      </c>
      <c r="U246" s="67">
        <v>1.3566923615977574E-3</v>
      </c>
      <c r="V246" s="67">
        <v>5.1865484356700686E-3</v>
      </c>
      <c r="W246" s="68">
        <v>2.7455965200347927E-4</v>
      </c>
    </row>
    <row r="247" spans="1:23" x14ac:dyDescent="0.3">
      <c r="A247" s="44" t="s">
        <v>356</v>
      </c>
      <c r="B247" t="s">
        <v>329</v>
      </c>
      <c r="C247" s="45">
        <v>2010</v>
      </c>
      <c r="D247" s="91">
        <v>4470686</v>
      </c>
      <c r="E247" s="2">
        <v>2177484</v>
      </c>
      <c r="F247" s="5">
        <v>0.48705813828123917</v>
      </c>
      <c r="G247" s="2">
        <v>2293203</v>
      </c>
      <c r="H247" s="78">
        <v>0.51294208539807984</v>
      </c>
      <c r="I247" s="52">
        <v>65283</v>
      </c>
      <c r="J247" s="82">
        <v>1.4602456983111764E-2</v>
      </c>
      <c r="K247" s="59">
        <v>327</v>
      </c>
      <c r="L247" s="60">
        <v>1152</v>
      </c>
      <c r="M247" s="66">
        <v>4.0956609884877795E-4</v>
      </c>
      <c r="N247" s="67">
        <v>1.0362676402976852E-4</v>
      </c>
      <c r="O247" s="67">
        <v>9.3376784663796891E-5</v>
      </c>
      <c r="P247" s="67">
        <v>1.0475829642058361E-4</v>
      </c>
      <c r="Q247" s="67">
        <v>9.8455237326349577E-5</v>
      </c>
      <c r="R247" s="67">
        <v>9.3304906438505065E-5</v>
      </c>
      <c r="S247" s="67">
        <v>1.1029127926854823E-4</v>
      </c>
      <c r="T247" s="67">
        <v>2.2927311489858386E-4</v>
      </c>
      <c r="U247" s="67">
        <v>1.115335324492871E-3</v>
      </c>
      <c r="V247" s="67">
        <v>5.0089609852488398E-3</v>
      </c>
      <c r="W247" s="68">
        <v>2.5767857550273044E-4</v>
      </c>
    </row>
    <row r="248" spans="1:23" x14ac:dyDescent="0.3">
      <c r="A248" s="44" t="s">
        <v>383</v>
      </c>
      <c r="B248" t="s">
        <v>306</v>
      </c>
      <c r="C248" s="45">
        <v>2016</v>
      </c>
      <c r="D248" s="91">
        <v>4484261</v>
      </c>
      <c r="E248" s="2">
        <v>2188112</v>
      </c>
      <c r="F248" s="5">
        <v>0.48795375648295225</v>
      </c>
      <c r="G248" s="2">
        <v>2296151</v>
      </c>
      <c r="H248" s="78">
        <v>0.51204668952141719</v>
      </c>
      <c r="I248" s="52">
        <v>73678</v>
      </c>
      <c r="J248" s="82">
        <v>1.6430354968187625E-2</v>
      </c>
      <c r="K248" s="59">
        <v>253</v>
      </c>
      <c r="L248" s="60">
        <v>1095</v>
      </c>
      <c r="M248" s="66">
        <v>4.0720481044616074E-4</v>
      </c>
      <c r="N248" s="67">
        <v>1.0110218229060474E-4</v>
      </c>
      <c r="O248" s="67">
        <v>9.6713201835616573E-5</v>
      </c>
      <c r="P248" s="67">
        <v>9.468561220560665E-5</v>
      </c>
      <c r="Q248" s="67">
        <v>1.1003722926256717E-4</v>
      </c>
      <c r="R248" s="67">
        <v>1.0207154194374837E-4</v>
      </c>
      <c r="S248" s="67">
        <v>1.3237927358615453E-4</v>
      </c>
      <c r="T248" s="67">
        <v>2.8515627101682422E-4</v>
      </c>
      <c r="U248" s="67">
        <v>9.5638867635807194E-4</v>
      </c>
      <c r="V248" s="67">
        <v>3.4338608539862645E-3</v>
      </c>
      <c r="W248" s="68">
        <v>2.441873923038824E-4</v>
      </c>
    </row>
    <row r="249" spans="1:23" x14ac:dyDescent="0.3">
      <c r="A249" s="44" t="s">
        <v>281</v>
      </c>
      <c r="B249" t="s">
        <v>251</v>
      </c>
      <c r="C249" s="45">
        <v>2014</v>
      </c>
      <c r="D249" s="91">
        <v>4506075</v>
      </c>
      <c r="E249" s="2">
        <v>2183534</v>
      </c>
      <c r="F249" s="5">
        <v>0.48457560071681011</v>
      </c>
      <c r="G249" s="2">
        <v>2322543</v>
      </c>
      <c r="H249" s="78">
        <v>0.51542484312844328</v>
      </c>
      <c r="I249" s="52">
        <v>74806</v>
      </c>
      <c r="J249" s="82">
        <v>1.6601144011140517E-2</v>
      </c>
      <c r="K249" s="59">
        <v>345</v>
      </c>
      <c r="L249" s="60">
        <v>1397</v>
      </c>
      <c r="M249" s="66">
        <v>4.2680172570164427E-4</v>
      </c>
      <c r="N249" s="67">
        <v>1.0247056533010892E-4</v>
      </c>
      <c r="O249" s="67">
        <v>9.4486105818139437E-5</v>
      </c>
      <c r="P249" s="67">
        <v>1.026806494893349E-4</v>
      </c>
      <c r="Q249" s="67">
        <v>1.2218942502893271E-4</v>
      </c>
      <c r="R249" s="67">
        <v>1.3632098201831139E-4</v>
      </c>
      <c r="S249" s="67">
        <v>1.7177161386442311E-4</v>
      </c>
      <c r="T249" s="67">
        <v>4.7916835864533422E-4</v>
      </c>
      <c r="U249" s="67">
        <v>1.2979392106938256E-3</v>
      </c>
      <c r="V249" s="67">
        <v>4.6119295243697029E-3</v>
      </c>
      <c r="W249" s="68">
        <v>3.1002590946666443E-4</v>
      </c>
    </row>
    <row r="250" spans="1:23" x14ac:dyDescent="0.3">
      <c r="A250" s="44" t="s">
        <v>369</v>
      </c>
      <c r="B250" t="s">
        <v>329</v>
      </c>
      <c r="C250" s="45">
        <v>2012</v>
      </c>
      <c r="D250" s="91">
        <v>4529479</v>
      </c>
      <c r="E250" s="2">
        <v>2200493</v>
      </c>
      <c r="F250" s="5">
        <v>0.48581591834292642</v>
      </c>
      <c r="G250" s="2">
        <v>2328987</v>
      </c>
      <c r="H250" s="78">
        <v>0.51418430243301716</v>
      </c>
      <c r="I250" s="52">
        <v>68462</v>
      </c>
      <c r="J250" s="82">
        <v>1.5114762647094732E-2</v>
      </c>
      <c r="K250" s="59">
        <v>287</v>
      </c>
      <c r="L250" s="60">
        <v>1133</v>
      </c>
      <c r="M250" s="66">
        <v>4.0899237910866927E-4</v>
      </c>
      <c r="N250" s="67">
        <v>1.0320840529252703E-4</v>
      </c>
      <c r="O250" s="67">
        <v>9.2376050585125306E-5</v>
      </c>
      <c r="P250" s="67">
        <v>1.0334154898647776E-4</v>
      </c>
      <c r="Q250" s="67">
        <v>1.0180085716321731E-4</v>
      </c>
      <c r="R250" s="67">
        <v>1.0331629658038712E-4</v>
      </c>
      <c r="S250" s="67">
        <v>1.2077463802615733E-4</v>
      </c>
      <c r="T250" s="67">
        <v>2.2912006982706891E-4</v>
      </c>
      <c r="U250" s="67">
        <v>1.0868252626494385E-3</v>
      </c>
      <c r="V250" s="67">
        <v>4.1921065700680667E-3</v>
      </c>
      <c r="W250" s="68">
        <v>2.5013914403842032E-4</v>
      </c>
    </row>
    <row r="251" spans="1:23" x14ac:dyDescent="0.3">
      <c r="A251" s="44" t="s">
        <v>291</v>
      </c>
      <c r="B251" t="s">
        <v>251</v>
      </c>
      <c r="C251" s="45">
        <v>2016</v>
      </c>
      <c r="D251" s="91">
        <v>4543805</v>
      </c>
      <c r="E251" s="2">
        <v>2205255</v>
      </c>
      <c r="F251" s="5">
        <v>0.48533222706520196</v>
      </c>
      <c r="G251" s="2">
        <v>2338553</v>
      </c>
      <c r="H251" s="78">
        <v>0.51466843317439903</v>
      </c>
      <c r="I251" s="52">
        <v>77513</v>
      </c>
      <c r="J251" s="82">
        <v>1.705905072950974E-2</v>
      </c>
      <c r="K251" s="59">
        <v>289</v>
      </c>
      <c r="L251" s="60">
        <v>1370</v>
      </c>
      <c r="M251" s="66">
        <v>4.3709318462451874E-4</v>
      </c>
      <c r="N251" s="67">
        <v>1.0323859471624872E-4</v>
      </c>
      <c r="O251" s="67">
        <v>9.5915134289180937E-5</v>
      </c>
      <c r="P251" s="67">
        <v>1.0160760160336796E-4</v>
      </c>
      <c r="Q251" s="67">
        <v>1.0505415541711753E-4</v>
      </c>
      <c r="R251" s="67">
        <v>1.0865669511742221E-4</v>
      </c>
      <c r="S251" s="67">
        <v>2.134999762777804E-4</v>
      </c>
      <c r="T251" s="67">
        <v>4.700936741635532E-4</v>
      </c>
      <c r="U251" s="67">
        <v>1.3167589665581251E-3</v>
      </c>
      <c r="V251" s="67">
        <v>3.7284068478835807E-3</v>
      </c>
      <c r="W251" s="68">
        <v>3.015094177677079E-4</v>
      </c>
    </row>
    <row r="252" spans="1:23" x14ac:dyDescent="0.3">
      <c r="A252" s="44" t="s">
        <v>371</v>
      </c>
      <c r="B252" t="s">
        <v>329</v>
      </c>
      <c r="C252" s="45">
        <v>2013</v>
      </c>
      <c r="D252" s="91">
        <v>4550723</v>
      </c>
      <c r="E252" s="2">
        <v>2213100</v>
      </c>
      <c r="F252" s="5">
        <v>0.48631832787888868</v>
      </c>
      <c r="G252" s="2">
        <v>2337624</v>
      </c>
      <c r="H252" s="78">
        <v>0.51368189186641333</v>
      </c>
      <c r="I252" s="52">
        <v>71143</v>
      </c>
      <c r="J252" s="82">
        <v>1.5633340020915359E-2</v>
      </c>
      <c r="K252" s="59">
        <v>282</v>
      </c>
      <c r="L252" s="60">
        <v>1134</v>
      </c>
      <c r="M252" s="66">
        <v>4.1313635909812334E-4</v>
      </c>
      <c r="N252" s="67">
        <v>1.0271316834174726E-4</v>
      </c>
      <c r="O252" s="67">
        <v>9.2865743993908012E-5</v>
      </c>
      <c r="P252" s="67">
        <v>1.0260479369596147E-4</v>
      </c>
      <c r="Q252" s="67">
        <v>1.0301844030081384E-4</v>
      </c>
      <c r="R252" s="67">
        <v>9.4127687345473712E-5</v>
      </c>
      <c r="S252" s="67">
        <v>1.2394069437774024E-4</v>
      </c>
      <c r="T252" s="67">
        <v>3.1158113022782078E-4</v>
      </c>
      <c r="U252" s="67">
        <v>9.3773151865878489E-4</v>
      </c>
      <c r="V252" s="67">
        <v>3.9638474621536907E-3</v>
      </c>
      <c r="W252" s="68">
        <v>2.4919117247962575E-4</v>
      </c>
    </row>
    <row r="253" spans="1:23" x14ac:dyDescent="0.3">
      <c r="A253" s="44" t="s">
        <v>328</v>
      </c>
      <c r="B253" t="s">
        <v>329</v>
      </c>
      <c r="C253" s="45">
        <v>2015</v>
      </c>
      <c r="D253" s="91">
        <v>4561172</v>
      </c>
      <c r="E253" s="2">
        <v>2214482</v>
      </c>
      <c r="F253" s="5">
        <v>0.48550723366713644</v>
      </c>
      <c r="G253" s="2">
        <v>2346690</v>
      </c>
      <c r="H253" s="78">
        <v>0.51449276633286356</v>
      </c>
      <c r="I253" s="52">
        <v>74933</v>
      </c>
      <c r="J253" s="82">
        <v>1.6428453037947266E-2</v>
      </c>
      <c r="K253" s="59">
        <v>328</v>
      </c>
      <c r="L253" s="60">
        <v>1243</v>
      </c>
      <c r="M253" s="66">
        <v>4.2525444390893887E-4</v>
      </c>
      <c r="N253" s="67">
        <v>1.026713370717108E-4</v>
      </c>
      <c r="O253" s="67">
        <v>9.5488183337312011E-5</v>
      </c>
      <c r="P253" s="67">
        <v>1.0171336157574339E-4</v>
      </c>
      <c r="Q253" s="67">
        <v>1.0532542924500977E-4</v>
      </c>
      <c r="R253" s="67">
        <v>9.6533016705038535E-5</v>
      </c>
      <c r="S253" s="67">
        <v>1.3317262712507269E-4</v>
      </c>
      <c r="T253" s="67">
        <v>3.2196518006200812E-4</v>
      </c>
      <c r="U253" s="67">
        <v>1.1061836164696225E-3</v>
      </c>
      <c r="V253" s="67">
        <v>4.3772436710127717E-3</v>
      </c>
      <c r="W253" s="68">
        <v>2.7251767747412287E-4</v>
      </c>
    </row>
    <row r="254" spans="1:23" x14ac:dyDescent="0.3">
      <c r="A254" s="44" t="s">
        <v>254</v>
      </c>
      <c r="B254" t="s">
        <v>251</v>
      </c>
      <c r="C254" s="45">
        <v>2017</v>
      </c>
      <c r="D254" s="91">
        <v>4593341</v>
      </c>
      <c r="E254" s="2">
        <v>2226533</v>
      </c>
      <c r="F254" s="5">
        <v>0.48473061329433192</v>
      </c>
      <c r="G254" s="2">
        <v>2366809</v>
      </c>
      <c r="H254" s="78">
        <v>0.51526960441212621</v>
      </c>
      <c r="I254" s="52">
        <v>78740</v>
      </c>
      <c r="J254" s="82">
        <v>1.714220651155662E-2</v>
      </c>
      <c r="K254" s="59">
        <v>375</v>
      </c>
      <c r="L254" s="60">
        <v>1544</v>
      </c>
      <c r="M254" s="66">
        <v>4.3435140476483491E-4</v>
      </c>
      <c r="N254" s="67">
        <v>1.0279358705074919E-4</v>
      </c>
      <c r="O254" s="67">
        <v>9.5292548122736796E-5</v>
      </c>
      <c r="P254" s="67">
        <v>1.0071118884522873E-4</v>
      </c>
      <c r="Q254" s="67">
        <v>1.0533097626015347E-4</v>
      </c>
      <c r="R254" s="67">
        <v>1.0580494776491117E-4</v>
      </c>
      <c r="S254" s="67">
        <v>1.9715794339413199E-4</v>
      </c>
      <c r="T254" s="67">
        <v>5.3433515289753246E-4</v>
      </c>
      <c r="U254" s="67">
        <v>1.5584511393292204E-3</v>
      </c>
      <c r="V254" s="67">
        <v>4.7625095250190498E-3</v>
      </c>
      <c r="W254" s="68">
        <v>3.361387713213541E-4</v>
      </c>
    </row>
    <row r="255" spans="1:23" x14ac:dyDescent="0.3">
      <c r="A255" s="44" t="s">
        <v>386</v>
      </c>
      <c r="B255" t="s">
        <v>329</v>
      </c>
      <c r="C255" s="45">
        <v>2014</v>
      </c>
      <c r="D255" s="91">
        <v>4629937</v>
      </c>
      <c r="E255" s="2">
        <v>2249559</v>
      </c>
      <c r="F255" s="5">
        <v>0.48587248595391253</v>
      </c>
      <c r="G255" s="2">
        <v>2380379</v>
      </c>
      <c r="H255" s="78">
        <v>0.51412773003174772</v>
      </c>
      <c r="I255" s="52">
        <v>73805</v>
      </c>
      <c r="J255" s="82">
        <v>1.594082165696855E-2</v>
      </c>
      <c r="K255" s="59">
        <v>256</v>
      </c>
      <c r="L255" s="60">
        <v>1127</v>
      </c>
      <c r="M255" s="66">
        <v>4.1457078105135148E-4</v>
      </c>
      <c r="N255" s="67">
        <v>1.0141473556107703E-4</v>
      </c>
      <c r="O255" s="67">
        <v>9.2204990134066059E-5</v>
      </c>
      <c r="P255" s="67">
        <v>1.0082356044960587E-4</v>
      </c>
      <c r="Q255" s="67">
        <v>1.0279570039850466E-4</v>
      </c>
      <c r="R255" s="67">
        <v>1.0305720768057262E-4</v>
      </c>
      <c r="S255" s="67">
        <v>1.5377183936191372E-4</v>
      </c>
      <c r="T255" s="67">
        <v>2.8939584937681792E-4</v>
      </c>
      <c r="U255" s="67">
        <v>8.7475506858079735E-4</v>
      </c>
      <c r="V255" s="67">
        <v>3.4685996883679969E-3</v>
      </c>
      <c r="W255" s="68">
        <v>2.4341583913560811E-4</v>
      </c>
    </row>
    <row r="256" spans="1:23" x14ac:dyDescent="0.3">
      <c r="A256" s="44" t="s">
        <v>314</v>
      </c>
      <c r="B256" t="s">
        <v>251</v>
      </c>
      <c r="C256" s="45">
        <v>2009</v>
      </c>
      <c r="D256" s="91">
        <v>4633360</v>
      </c>
      <c r="E256" s="2">
        <v>2244203</v>
      </c>
      <c r="F256" s="5">
        <v>0.48435757204275082</v>
      </c>
      <c r="G256" s="2">
        <v>2389158</v>
      </c>
      <c r="H256" s="78">
        <v>0.51564264378334512</v>
      </c>
      <c r="I256" s="52">
        <v>76514</v>
      </c>
      <c r="J256" s="82">
        <v>1.6513717906659529E-2</v>
      </c>
      <c r="K256" s="59">
        <v>356</v>
      </c>
      <c r="L256" s="60">
        <v>1300</v>
      </c>
      <c r="M256" s="66">
        <v>3.8930324451812371E-4</v>
      </c>
      <c r="N256" s="67">
        <v>9.6815418178062911E-5</v>
      </c>
      <c r="O256" s="67">
        <v>9.1453377068370539E-5</v>
      </c>
      <c r="P256" s="67">
        <v>9.9653703380751894E-5</v>
      </c>
      <c r="Q256" s="67">
        <v>9.5031891118794619E-5</v>
      </c>
      <c r="R256" s="67">
        <v>1.0967828204746816E-4</v>
      </c>
      <c r="S256" s="67">
        <v>1.4649784534013184E-4</v>
      </c>
      <c r="T256" s="67">
        <v>3.3629050738202305E-4</v>
      </c>
      <c r="U256" s="67">
        <v>1.2216355875084252E-3</v>
      </c>
      <c r="V256" s="67">
        <v>4.6527432888098909E-3</v>
      </c>
      <c r="W256" s="68">
        <v>2.8057392475438992E-4</v>
      </c>
    </row>
    <row r="257" spans="1:23" x14ac:dyDescent="0.3">
      <c r="A257" s="44" t="s">
        <v>293</v>
      </c>
      <c r="B257" t="s">
        <v>251</v>
      </c>
      <c r="C257" s="45">
        <v>2013</v>
      </c>
      <c r="D257" s="91">
        <v>4643557</v>
      </c>
      <c r="E257" s="2">
        <v>2252324</v>
      </c>
      <c r="F257" s="5">
        <v>0.48504282385249065</v>
      </c>
      <c r="G257" s="2">
        <v>2391236</v>
      </c>
      <c r="H257" s="78">
        <v>0.51495782220396991</v>
      </c>
      <c r="I257" s="52">
        <v>76983</v>
      </c>
      <c r="J257" s="82">
        <v>1.6578454835377277E-2</v>
      </c>
      <c r="K257" s="59">
        <v>381</v>
      </c>
      <c r="L257" s="60">
        <v>1396</v>
      </c>
      <c r="M257" s="66">
        <v>4.1257245803794291E-4</v>
      </c>
      <c r="N257" s="67">
        <v>9.9370158810075475E-5</v>
      </c>
      <c r="O257" s="67">
        <v>9.0755356834937176E-5</v>
      </c>
      <c r="P257" s="67">
        <v>1.0111274576716768E-4</v>
      </c>
      <c r="Q257" s="67">
        <v>1.0123609269176647E-4</v>
      </c>
      <c r="R257" s="67">
        <v>9.8575807070463504E-5</v>
      </c>
      <c r="S257" s="67">
        <v>2.0357156909201949E-4</v>
      </c>
      <c r="T257" s="67">
        <v>3.4126144092311219E-4</v>
      </c>
      <c r="U257" s="67">
        <v>1.3609498756870873E-3</v>
      </c>
      <c r="V257" s="67">
        <v>4.9491446163438682E-3</v>
      </c>
      <c r="W257" s="68">
        <v>3.0063160633109491E-4</v>
      </c>
    </row>
    <row r="258" spans="1:23" x14ac:dyDescent="0.3">
      <c r="A258" s="44" t="s">
        <v>312</v>
      </c>
      <c r="B258" t="s">
        <v>251</v>
      </c>
      <c r="C258" s="45">
        <v>2010</v>
      </c>
      <c r="D258" s="91">
        <v>4690668</v>
      </c>
      <c r="E258" s="2">
        <v>2275372</v>
      </c>
      <c r="F258" s="5">
        <v>0.48508485358588582</v>
      </c>
      <c r="G258" s="2">
        <v>2415298</v>
      </c>
      <c r="H258" s="78">
        <v>0.51491557279261713</v>
      </c>
      <c r="I258" s="52">
        <v>73891</v>
      </c>
      <c r="J258" s="82">
        <v>1.5752766983295342E-2</v>
      </c>
      <c r="K258" s="59">
        <v>348</v>
      </c>
      <c r="L258" s="60">
        <v>1334</v>
      </c>
      <c r="M258" s="66">
        <v>3.9790568971977494E-4</v>
      </c>
      <c r="N258" s="67">
        <v>9.5911454545163902E-5</v>
      </c>
      <c r="O258" s="67">
        <v>8.9438771707535215E-5</v>
      </c>
      <c r="P258" s="67">
        <v>1.0052709707901764E-4</v>
      </c>
      <c r="Q258" s="67">
        <v>9.5042127422980237E-5</v>
      </c>
      <c r="R258" s="67">
        <v>9.5266430894463847E-5</v>
      </c>
      <c r="S258" s="67">
        <v>1.5348861565908916E-4</v>
      </c>
      <c r="T258" s="67">
        <v>4.3493092273580078E-4</v>
      </c>
      <c r="U258" s="67">
        <v>1.2719385213593782E-3</v>
      </c>
      <c r="V258" s="67">
        <v>4.7096398749509414E-3</v>
      </c>
      <c r="W258" s="68">
        <v>2.8439446151379716E-4</v>
      </c>
    </row>
    <row r="259" spans="1:23" x14ac:dyDescent="0.3">
      <c r="A259" s="44" t="s">
        <v>316</v>
      </c>
      <c r="B259" t="s">
        <v>251</v>
      </c>
      <c r="C259" s="45">
        <v>2011</v>
      </c>
      <c r="D259" s="91">
        <v>4724744</v>
      </c>
      <c r="E259" s="2">
        <v>2293531</v>
      </c>
      <c r="F259" s="5">
        <v>0.48542968677244736</v>
      </c>
      <c r="G259" s="2">
        <v>2431218</v>
      </c>
      <c r="H259" s="78">
        <v>0.51457137148594723</v>
      </c>
      <c r="I259" s="52">
        <v>75203</v>
      </c>
      <c r="J259" s="82">
        <v>1.5916841208751205E-2</v>
      </c>
      <c r="K259" s="59">
        <v>348</v>
      </c>
      <c r="L259" s="60">
        <v>1321</v>
      </c>
      <c r="M259" s="66">
        <v>3.9757347654813453E-4</v>
      </c>
      <c r="N259" s="67">
        <v>9.6357370214652106E-5</v>
      </c>
      <c r="O259" s="67">
        <v>8.8739543523788116E-5</v>
      </c>
      <c r="P259" s="67">
        <v>9.9925721880069152E-5</v>
      </c>
      <c r="Q259" s="67">
        <v>9.6613067883561936E-5</v>
      </c>
      <c r="R259" s="67">
        <v>8.7499781250546877E-5</v>
      </c>
      <c r="S259" s="67">
        <v>1.2241486046454692E-4</v>
      </c>
      <c r="T259" s="67">
        <v>3.6289797580495479E-4</v>
      </c>
      <c r="U259" s="67">
        <v>1.391238058937037E-3</v>
      </c>
      <c r="V259" s="67">
        <v>4.6274749677539459E-3</v>
      </c>
      <c r="W259" s="68">
        <v>2.7959186783453241E-4</v>
      </c>
    </row>
    <row r="260" spans="1:23" x14ac:dyDescent="0.3">
      <c r="A260" s="44" t="s">
        <v>421</v>
      </c>
      <c r="B260" t="s">
        <v>329</v>
      </c>
      <c r="C260" s="45">
        <v>2016</v>
      </c>
      <c r="D260" s="91">
        <v>4731552</v>
      </c>
      <c r="E260" s="2">
        <v>2300339</v>
      </c>
      <c r="F260" s="5">
        <v>0.4861700769641758</v>
      </c>
      <c r="G260" s="2">
        <v>2431213</v>
      </c>
      <c r="H260" s="78">
        <v>0.5138299230358242</v>
      </c>
      <c r="I260" s="52">
        <v>79076</v>
      </c>
      <c r="J260" s="82">
        <v>1.6712486727399382E-2</v>
      </c>
      <c r="K260" s="59">
        <v>244</v>
      </c>
      <c r="L260" s="60">
        <v>1083</v>
      </c>
      <c r="M260" s="66">
        <v>4.2066149019332903E-4</v>
      </c>
      <c r="N260" s="67">
        <v>1.0043639614123367E-4</v>
      </c>
      <c r="O260" s="67">
        <v>9.3641142172224792E-5</v>
      </c>
      <c r="P260" s="67">
        <v>9.7715095353647215E-5</v>
      </c>
      <c r="Q260" s="67">
        <v>1.0252677230341772E-4</v>
      </c>
      <c r="R260" s="67">
        <v>1.052649770852285E-4</v>
      </c>
      <c r="S260" s="67">
        <v>1.3206933317871559E-4</v>
      </c>
      <c r="T260" s="67">
        <v>2.3713540431586437E-4</v>
      </c>
      <c r="U260" s="67">
        <v>7.6829838609618524E-4</v>
      </c>
      <c r="V260" s="67">
        <v>3.0856391319743033E-3</v>
      </c>
      <c r="W260" s="68">
        <v>2.2888895651997483E-4</v>
      </c>
    </row>
    <row r="261" spans="1:23" x14ac:dyDescent="0.3">
      <c r="A261" s="44" t="s">
        <v>398</v>
      </c>
      <c r="B261" t="s">
        <v>329</v>
      </c>
      <c r="C261" s="45">
        <v>2017</v>
      </c>
      <c r="D261" s="91">
        <v>4735974</v>
      </c>
      <c r="E261" s="2">
        <v>2297176</v>
      </c>
      <c r="F261" s="5">
        <v>0.48504827095756858</v>
      </c>
      <c r="G261" s="2">
        <v>2438798</v>
      </c>
      <c r="H261" s="78">
        <v>0.51495172904243136</v>
      </c>
      <c r="I261" s="52">
        <v>80894</v>
      </c>
      <c r="J261" s="82">
        <v>1.7080752554807101E-2</v>
      </c>
      <c r="K261" s="59">
        <v>251</v>
      </c>
      <c r="L261" s="60">
        <v>1125</v>
      </c>
      <c r="M261" s="66">
        <v>4.2471411431180386E-4</v>
      </c>
      <c r="N261" s="67">
        <v>1.0030626847307111E-4</v>
      </c>
      <c r="O261" s="67">
        <v>9.3361964335729626E-5</v>
      </c>
      <c r="P261" s="67">
        <v>9.6739866498984228E-5</v>
      </c>
      <c r="Q261" s="67">
        <v>1.0357363567628405E-4</v>
      </c>
      <c r="R261" s="67">
        <v>9.5519802847126919E-5</v>
      </c>
      <c r="S261" s="67">
        <v>1.2261960655240455E-4</v>
      </c>
      <c r="T261" s="67">
        <v>2.3635779033147583E-4</v>
      </c>
      <c r="U261" s="67">
        <v>9.6444595608276534E-4</v>
      </c>
      <c r="V261" s="67">
        <v>3.1028259203401982E-3</v>
      </c>
      <c r="W261" s="68">
        <v>2.3754353381162988E-4</v>
      </c>
    </row>
    <row r="262" spans="1:23" x14ac:dyDescent="0.3">
      <c r="A262" s="44" t="s">
        <v>322</v>
      </c>
      <c r="B262" t="s">
        <v>251</v>
      </c>
      <c r="C262" s="45">
        <v>2012</v>
      </c>
      <c r="D262" s="91">
        <v>4750734</v>
      </c>
      <c r="E262" s="2">
        <v>2306658</v>
      </c>
      <c r="F262" s="5">
        <v>0.48553718225436321</v>
      </c>
      <c r="G262" s="2">
        <v>2444078</v>
      </c>
      <c r="H262" s="78">
        <v>0.51446323873321465</v>
      </c>
      <c r="I262" s="52">
        <v>77173</v>
      </c>
      <c r="J262" s="82">
        <v>1.6244437175392267E-2</v>
      </c>
      <c r="K262" s="59">
        <v>358</v>
      </c>
      <c r="L262" s="60">
        <v>1311</v>
      </c>
      <c r="M262" s="66">
        <v>3.9623445192520416E-4</v>
      </c>
      <c r="N262" s="67">
        <v>9.6286703287709488E-5</v>
      </c>
      <c r="O262" s="67">
        <v>8.9216279591924734E-5</v>
      </c>
      <c r="P262" s="67">
        <v>9.9469990732712536E-5</v>
      </c>
      <c r="Q262" s="67">
        <v>9.7464145377519241E-5</v>
      </c>
      <c r="R262" s="67">
        <v>8.7503099068091992E-5</v>
      </c>
      <c r="S262" s="67">
        <v>1.2758530353394279E-4</v>
      </c>
      <c r="T262" s="67">
        <v>3.4290612944706388E-4</v>
      </c>
      <c r="U262" s="67">
        <v>1.286222649904486E-3</v>
      </c>
      <c r="V262" s="67">
        <v>4.6389281225299008E-3</v>
      </c>
      <c r="W262" s="68">
        <v>2.7595735732625736E-4</v>
      </c>
    </row>
    <row r="263" spans="1:23" x14ac:dyDescent="0.3">
      <c r="A263" s="44" t="s">
        <v>447</v>
      </c>
      <c r="B263" t="s">
        <v>448</v>
      </c>
      <c r="C263" s="45">
        <v>2009</v>
      </c>
      <c r="D263" s="91">
        <v>4843211</v>
      </c>
      <c r="E263" s="2">
        <v>2438079</v>
      </c>
      <c r="F263" s="5">
        <v>0.50340135913962869</v>
      </c>
      <c r="G263" s="2">
        <v>2405132</v>
      </c>
      <c r="H263" s="78">
        <v>0.49659864086037137</v>
      </c>
      <c r="I263" s="52">
        <v>63182</v>
      </c>
      <c r="J263" s="82">
        <v>1.3045477473519118E-2</v>
      </c>
      <c r="K263" s="59">
        <v>266</v>
      </c>
      <c r="L263" s="60">
        <v>1045</v>
      </c>
      <c r="M263" s="66">
        <v>3.4072517675118547E-4</v>
      </c>
      <c r="N263" s="67">
        <v>9.299067303549454E-5</v>
      </c>
      <c r="O263" s="67">
        <v>8.7166732525975681E-5</v>
      </c>
      <c r="P263" s="67">
        <v>8.5738905028443882E-5</v>
      </c>
      <c r="Q263" s="67">
        <v>8.4361726209641698E-5</v>
      </c>
      <c r="R263" s="67">
        <v>9.0765316647184211E-5</v>
      </c>
      <c r="S263" s="67">
        <v>1.5028554253080853E-4</v>
      </c>
      <c r="T263" s="67">
        <v>2.4143643535818024E-4</v>
      </c>
      <c r="U263" s="67">
        <v>9.1403779241592371E-4</v>
      </c>
      <c r="V263" s="67">
        <v>4.2100598271659646E-3</v>
      </c>
      <c r="W263" s="68">
        <v>2.1576594536145544E-4</v>
      </c>
    </row>
    <row r="264" spans="1:23" x14ac:dyDescent="0.3">
      <c r="A264" s="44" t="s">
        <v>469</v>
      </c>
      <c r="B264" t="s">
        <v>448</v>
      </c>
      <c r="C264" s="45">
        <v>2010</v>
      </c>
      <c r="D264" s="91">
        <v>4846649</v>
      </c>
      <c r="E264" s="2">
        <v>2427420</v>
      </c>
      <c r="F264" s="5">
        <v>0.50084501683534333</v>
      </c>
      <c r="G264" s="2">
        <v>2419232</v>
      </c>
      <c r="H264" s="78">
        <v>0.49915560214903121</v>
      </c>
      <c r="I264" s="52">
        <v>65818</v>
      </c>
      <c r="J264" s="82">
        <v>1.3580104521701488E-2</v>
      </c>
      <c r="K264" s="59">
        <v>260</v>
      </c>
      <c r="L264" s="60">
        <v>995</v>
      </c>
      <c r="M264" s="66">
        <v>3.5571575939386034E-4</v>
      </c>
      <c r="N264" s="67">
        <v>9.1695028448382575E-5</v>
      </c>
      <c r="O264" s="67">
        <v>8.8036047827050245E-5</v>
      </c>
      <c r="P264" s="67">
        <v>8.6189064331517623E-5</v>
      </c>
      <c r="Q264" s="67">
        <v>8.6018915559531539E-5</v>
      </c>
      <c r="R264" s="67">
        <v>8.2847295864262995E-5</v>
      </c>
      <c r="S264" s="67">
        <v>1.1021611543301157E-4</v>
      </c>
      <c r="T264" s="67">
        <v>2.1453012539285828E-4</v>
      </c>
      <c r="U264" s="67">
        <v>8.1810248703156061E-4</v>
      </c>
      <c r="V264" s="67">
        <v>3.9502871554893794E-3</v>
      </c>
      <c r="W264" s="68">
        <v>2.0529648423065091E-4</v>
      </c>
    </row>
    <row r="265" spans="1:23" x14ac:dyDescent="0.3">
      <c r="A265" s="44" t="s">
        <v>474</v>
      </c>
      <c r="B265" t="s">
        <v>448</v>
      </c>
      <c r="C265" s="45">
        <v>2012</v>
      </c>
      <c r="D265" s="91">
        <v>4917956</v>
      </c>
      <c r="E265" s="2">
        <v>2463599</v>
      </c>
      <c r="F265" s="5">
        <v>0.50093961800390241</v>
      </c>
      <c r="G265" s="2">
        <v>2454360</v>
      </c>
      <c r="H265" s="78">
        <v>0.49906099200562187</v>
      </c>
      <c r="I265" s="52">
        <v>70433</v>
      </c>
      <c r="J265" s="82">
        <v>1.432160027458562E-2</v>
      </c>
      <c r="K265" s="59">
        <v>254</v>
      </c>
      <c r="L265" s="60">
        <v>990</v>
      </c>
      <c r="M265" s="66">
        <v>3.6058017349916013E-4</v>
      </c>
      <c r="N265" s="67">
        <v>9.0194097698246626E-5</v>
      </c>
      <c r="O265" s="67">
        <v>8.8591876420238513E-5</v>
      </c>
      <c r="P265" s="67">
        <v>8.4144509781098058E-5</v>
      </c>
      <c r="Q265" s="67">
        <v>8.7565546460089818E-5</v>
      </c>
      <c r="R265" s="67">
        <v>8.3818900882752718E-5</v>
      </c>
      <c r="S265" s="67">
        <v>1.0282406288719686E-4</v>
      </c>
      <c r="T265" s="67">
        <v>2.1068462780129523E-4</v>
      </c>
      <c r="U265" s="67">
        <v>7.798268903360994E-4</v>
      </c>
      <c r="V265" s="67">
        <v>3.60626410915338E-3</v>
      </c>
      <c r="W265" s="68">
        <v>2.0130314301307291E-4</v>
      </c>
    </row>
    <row r="266" spans="1:23" x14ac:dyDescent="0.3">
      <c r="A266" s="44" t="s">
        <v>428</v>
      </c>
      <c r="B266" t="s">
        <v>423</v>
      </c>
      <c r="C266" s="45">
        <v>2017</v>
      </c>
      <c r="D266" s="91">
        <v>4926905</v>
      </c>
      <c r="E266" s="2">
        <v>2446860</v>
      </c>
      <c r="F266" s="5">
        <v>0.49663226711292385</v>
      </c>
      <c r="G266" s="2">
        <v>2480051</v>
      </c>
      <c r="H266" s="78">
        <v>0.50336895069013909</v>
      </c>
      <c r="I266" s="52">
        <v>98386</v>
      </c>
      <c r="J266" s="82">
        <v>1.9969128692353517E-2</v>
      </c>
      <c r="K266" s="59">
        <v>377</v>
      </c>
      <c r="L266" s="60">
        <v>1117</v>
      </c>
      <c r="M266" s="66">
        <v>3.7990192198714031E-4</v>
      </c>
      <c r="N266" s="67">
        <v>9.2128537735849063E-5</v>
      </c>
      <c r="O266" s="67">
        <v>9.3754687734386716E-5</v>
      </c>
      <c r="P266" s="67">
        <v>8.7796697966189494E-5</v>
      </c>
      <c r="Q266" s="67">
        <v>9.7392004441075402E-5</v>
      </c>
      <c r="R266" s="67">
        <v>8.9374024333567688E-5</v>
      </c>
      <c r="S266" s="67">
        <v>9.2881126090772718E-5</v>
      </c>
      <c r="T266" s="67">
        <v>1.930947317738635E-4</v>
      </c>
      <c r="U266" s="67">
        <v>5.9725843809634797E-4</v>
      </c>
      <c r="V266" s="67">
        <v>3.8318459943487895E-3</v>
      </c>
      <c r="W266" s="68">
        <v>2.2671433689100968E-4</v>
      </c>
    </row>
    <row r="267" spans="1:23" x14ac:dyDescent="0.3">
      <c r="A267" s="44" t="s">
        <v>466</v>
      </c>
      <c r="B267" t="s">
        <v>448</v>
      </c>
      <c r="C267" s="45">
        <v>2011</v>
      </c>
      <c r="D267" s="91">
        <v>4941466</v>
      </c>
      <c r="E267" s="2">
        <v>2475594</v>
      </c>
      <c r="F267" s="5">
        <v>0.50098371616844073</v>
      </c>
      <c r="G267" s="2">
        <v>2465876</v>
      </c>
      <c r="H267" s="78">
        <v>0.49901709330793736</v>
      </c>
      <c r="I267" s="52">
        <v>68236</v>
      </c>
      <c r="J267" s="82">
        <v>1.3808857533371676E-2</v>
      </c>
      <c r="K267" s="59">
        <v>272</v>
      </c>
      <c r="L267" s="60">
        <v>1018</v>
      </c>
      <c r="M267" s="66">
        <v>3.5114311715597486E-4</v>
      </c>
      <c r="N267" s="67">
        <v>8.9786353372150969E-5</v>
      </c>
      <c r="O267" s="67">
        <v>8.7137236791084112E-5</v>
      </c>
      <c r="P267" s="67">
        <v>8.4402905710700594E-5</v>
      </c>
      <c r="Q267" s="67">
        <v>8.5795914398556345E-5</v>
      </c>
      <c r="R267" s="67">
        <v>8.2181536274245271E-5</v>
      </c>
      <c r="S267" s="67">
        <v>1.0551361389403267E-4</v>
      </c>
      <c r="T267" s="67">
        <v>2.3652244429051713E-4</v>
      </c>
      <c r="U267" s="67">
        <v>8.1026655386485234E-4</v>
      </c>
      <c r="V267" s="67">
        <v>3.9861656603552374E-3</v>
      </c>
      <c r="W267" s="68">
        <v>2.060117382169583E-4</v>
      </c>
    </row>
    <row r="268" spans="1:23" x14ac:dyDescent="0.3">
      <c r="A268" s="44" t="s">
        <v>440</v>
      </c>
      <c r="B268" t="s">
        <v>423</v>
      </c>
      <c r="C268" s="45">
        <v>2012</v>
      </c>
      <c r="D268" s="91">
        <v>5031800</v>
      </c>
      <c r="E268" s="2">
        <v>2497697</v>
      </c>
      <c r="F268" s="5">
        <v>0.49638240788584603</v>
      </c>
      <c r="G268" s="2">
        <v>2534104</v>
      </c>
      <c r="H268" s="78">
        <v>0.50361779085019276</v>
      </c>
      <c r="I268" s="52">
        <v>94994</v>
      </c>
      <c r="J268" s="82">
        <v>1.8878731269128344E-2</v>
      </c>
      <c r="K268" s="59">
        <v>366</v>
      </c>
      <c r="L268" s="60">
        <v>1117</v>
      </c>
      <c r="M268" s="66">
        <v>3.5767831008921093E-4</v>
      </c>
      <c r="N268" s="67">
        <v>8.9187104139322151E-5</v>
      </c>
      <c r="O268" s="67">
        <v>8.6513547300561035E-5</v>
      </c>
      <c r="P268" s="67">
        <v>8.7355444937679168E-5</v>
      </c>
      <c r="Q268" s="67">
        <v>9.1561256769810424E-5</v>
      </c>
      <c r="R268" s="67">
        <v>7.9090668223874051E-5</v>
      </c>
      <c r="S268" s="67">
        <v>1.0100840053197757E-4</v>
      </c>
      <c r="T268" s="67">
        <v>2.1014836474551033E-4</v>
      </c>
      <c r="U268" s="67">
        <v>6.8313622511518841E-4</v>
      </c>
      <c r="V268" s="67">
        <v>3.8528749184158998E-3</v>
      </c>
      <c r="W268" s="68">
        <v>2.2198815533208793E-4</v>
      </c>
    </row>
    <row r="269" spans="1:23" x14ac:dyDescent="0.3">
      <c r="A269" s="44" t="s">
        <v>455</v>
      </c>
      <c r="B269" t="s">
        <v>448</v>
      </c>
      <c r="C269" s="45">
        <v>2014</v>
      </c>
      <c r="D269" s="91">
        <v>5039568</v>
      </c>
      <c r="E269" s="2">
        <v>2526338</v>
      </c>
      <c r="F269" s="5">
        <v>0.50130050829753658</v>
      </c>
      <c r="G269" s="2">
        <v>2513235</v>
      </c>
      <c r="H269" s="78">
        <v>0.49870048385099675</v>
      </c>
      <c r="I269" s="52">
        <v>73572</v>
      </c>
      <c r="J269" s="82">
        <v>1.4598870379365851E-2</v>
      </c>
      <c r="K269" s="59">
        <v>286</v>
      </c>
      <c r="L269" s="60">
        <v>1065</v>
      </c>
      <c r="M269" s="66">
        <v>3.6541026437432629E-4</v>
      </c>
      <c r="N269" s="67">
        <v>8.8336361307495928E-5</v>
      </c>
      <c r="O269" s="67">
        <v>8.7028541010024236E-5</v>
      </c>
      <c r="P269" s="67">
        <v>8.0565245764282201E-5</v>
      </c>
      <c r="Q269" s="67">
        <v>8.6792370950593449E-5</v>
      </c>
      <c r="R269" s="67">
        <v>8.5686254068311941E-5</v>
      </c>
      <c r="S269" s="67">
        <v>1.349343373748606E-4</v>
      </c>
      <c r="T269" s="67">
        <v>2.4143698640098903E-4</v>
      </c>
      <c r="U269" s="67">
        <v>7.7173925657719137E-4</v>
      </c>
      <c r="V269" s="67">
        <v>3.8873484477790466E-3</v>
      </c>
      <c r="W269" s="68">
        <v>2.1132763760703299E-4</v>
      </c>
    </row>
    <row r="270" spans="1:23" x14ac:dyDescent="0.3">
      <c r="A270" s="44" t="s">
        <v>439</v>
      </c>
      <c r="B270" t="s">
        <v>423</v>
      </c>
      <c r="C270" s="45">
        <v>2011</v>
      </c>
      <c r="D270" s="91">
        <v>5049758</v>
      </c>
      <c r="E270" s="2">
        <v>2506533</v>
      </c>
      <c r="F270" s="5">
        <v>0.49636695461445873</v>
      </c>
      <c r="G270" s="2">
        <v>2543226</v>
      </c>
      <c r="H270" s="78">
        <v>0.50363324341483295</v>
      </c>
      <c r="I270" s="52">
        <v>95310</v>
      </c>
      <c r="J270" s="82">
        <v>1.8874171791994784E-2</v>
      </c>
      <c r="K270" s="59">
        <v>394</v>
      </c>
      <c r="L270" s="60">
        <v>1121</v>
      </c>
      <c r="M270" s="66">
        <v>3.536985073922988E-4</v>
      </c>
      <c r="N270" s="67">
        <v>8.8687994158417454E-5</v>
      </c>
      <c r="O270" s="67">
        <v>8.549712302181032E-5</v>
      </c>
      <c r="P270" s="67">
        <v>8.8269303761155028E-5</v>
      </c>
      <c r="Q270" s="67">
        <v>8.9112660681266298E-5</v>
      </c>
      <c r="R270" s="67">
        <v>7.7926227240671252E-5</v>
      </c>
      <c r="S270" s="67">
        <v>1.0330916472818497E-4</v>
      </c>
      <c r="T270" s="67">
        <v>1.8478880179861101E-4</v>
      </c>
      <c r="U270" s="67">
        <v>6.0321652148305764E-4</v>
      </c>
      <c r="V270" s="67">
        <v>4.1338789214143325E-3</v>
      </c>
      <c r="W270" s="68">
        <v>2.2199083599649727E-4</v>
      </c>
    </row>
    <row r="271" spans="1:23" x14ac:dyDescent="0.3">
      <c r="A271" s="44" t="s">
        <v>477</v>
      </c>
      <c r="B271" t="s">
        <v>448</v>
      </c>
      <c r="C271" s="45">
        <v>2013</v>
      </c>
      <c r="D271" s="91">
        <v>5066888</v>
      </c>
      <c r="E271" s="2">
        <v>2538611</v>
      </c>
      <c r="F271" s="5">
        <v>0.50101975808425214</v>
      </c>
      <c r="G271" s="2">
        <v>2528279</v>
      </c>
      <c r="H271" s="78">
        <v>0.49898063663534697</v>
      </c>
      <c r="I271" s="52">
        <v>72045</v>
      </c>
      <c r="J271" s="82">
        <v>1.4218786758262665E-2</v>
      </c>
      <c r="K271" s="59">
        <v>280</v>
      </c>
      <c r="L271" s="60">
        <v>1012</v>
      </c>
      <c r="M271" s="66">
        <v>3.5623636282673552E-4</v>
      </c>
      <c r="N271" s="67">
        <v>8.7835256193483503E-5</v>
      </c>
      <c r="O271" s="67">
        <v>8.6491722742133579E-5</v>
      </c>
      <c r="P271" s="67">
        <v>8.1214756179766155E-5</v>
      </c>
      <c r="Q271" s="67">
        <v>8.5976144485776674E-5</v>
      </c>
      <c r="R271" s="67">
        <v>8.2858164774508408E-5</v>
      </c>
      <c r="S271" s="67">
        <v>1.1738964558109505E-4</v>
      </c>
      <c r="T271" s="67">
        <v>1.9773918201891705E-4</v>
      </c>
      <c r="U271" s="67">
        <v>6.6055556199371888E-4</v>
      </c>
      <c r="V271" s="67">
        <v>3.8864598514817129E-3</v>
      </c>
      <c r="W271" s="68">
        <v>1.9972811714014598E-4</v>
      </c>
    </row>
    <row r="272" spans="1:23" x14ac:dyDescent="0.3">
      <c r="A272" s="44" t="s">
        <v>464</v>
      </c>
      <c r="B272" t="s">
        <v>448</v>
      </c>
      <c r="C272" s="45">
        <v>2015</v>
      </c>
      <c r="D272" s="91">
        <v>5150296</v>
      </c>
      <c r="E272" s="2">
        <v>2580332</v>
      </c>
      <c r="F272" s="5">
        <v>0.50100654408989309</v>
      </c>
      <c r="G272" s="2">
        <v>2569968</v>
      </c>
      <c r="H272" s="78">
        <v>0.49899423256449726</v>
      </c>
      <c r="I272" s="52">
        <v>74327</v>
      </c>
      <c r="J272" s="82">
        <v>1.443159771787874E-2</v>
      </c>
      <c r="K272" s="59">
        <v>307</v>
      </c>
      <c r="L272" s="60">
        <v>1065</v>
      </c>
      <c r="M272" s="66">
        <v>3.6139462184570255E-4</v>
      </c>
      <c r="N272" s="67">
        <v>8.6571716731571413E-5</v>
      </c>
      <c r="O272" s="67">
        <v>8.5949788133772248E-5</v>
      </c>
      <c r="P272" s="67">
        <v>7.828820235934546E-5</v>
      </c>
      <c r="Q272" s="67">
        <v>8.5116283028664324E-5</v>
      </c>
      <c r="R272" s="67">
        <v>8.5310523195220337E-5</v>
      </c>
      <c r="S272" s="67">
        <v>9.5206661927490612E-5</v>
      </c>
      <c r="T272" s="67">
        <v>1.9264581388786387E-4</v>
      </c>
      <c r="U272" s="67">
        <v>8.1710699654813986E-4</v>
      </c>
      <c r="V272" s="67">
        <v>4.1303967602620848E-3</v>
      </c>
      <c r="W272" s="68">
        <v>2.0678423143058184E-4</v>
      </c>
    </row>
    <row r="273" spans="1:23" x14ac:dyDescent="0.3">
      <c r="A273" s="44" t="s">
        <v>426</v>
      </c>
      <c r="B273" t="s">
        <v>423</v>
      </c>
      <c r="C273" s="45">
        <v>2015</v>
      </c>
      <c r="D273" s="91">
        <v>5151270</v>
      </c>
      <c r="E273" s="2">
        <v>2557041</v>
      </c>
      <c r="F273" s="5">
        <v>0.49639040469631762</v>
      </c>
      <c r="G273" s="2">
        <v>2594233</v>
      </c>
      <c r="H273" s="78">
        <v>0.50361037181122326</v>
      </c>
      <c r="I273" s="52">
        <v>102065</v>
      </c>
      <c r="J273" s="82">
        <v>1.9813560539439789E-2</v>
      </c>
      <c r="K273" s="59">
        <v>415</v>
      </c>
      <c r="L273" s="60">
        <v>1177</v>
      </c>
      <c r="M273" s="66">
        <v>3.6094242066034418E-4</v>
      </c>
      <c r="N273" s="67">
        <v>8.8104303748397605E-5</v>
      </c>
      <c r="O273" s="67">
        <v>8.8065508996625628E-5</v>
      </c>
      <c r="P273" s="67">
        <v>8.4323075431207124E-5</v>
      </c>
      <c r="Q273" s="67">
        <v>9.3268211395510067E-5</v>
      </c>
      <c r="R273" s="67">
        <v>8.1424383888828574E-5</v>
      </c>
      <c r="S273" s="67">
        <v>9.1029083792271636E-5</v>
      </c>
      <c r="T273" s="67">
        <v>2.0928393887875485E-4</v>
      </c>
      <c r="U273" s="67">
        <v>6.5468120275616142E-4</v>
      </c>
      <c r="V273" s="67">
        <v>4.0660363493851956E-3</v>
      </c>
      <c r="W273" s="68">
        <v>2.2848734389771842E-4</v>
      </c>
    </row>
    <row r="274" spans="1:23" x14ac:dyDescent="0.3">
      <c r="A274" s="44" t="s">
        <v>465</v>
      </c>
      <c r="B274" t="s">
        <v>423</v>
      </c>
      <c r="C274" s="45">
        <v>2014</v>
      </c>
      <c r="D274" s="91">
        <v>5167393</v>
      </c>
      <c r="E274" s="2">
        <v>2566789</v>
      </c>
      <c r="F274" s="5">
        <v>0.49672804061932196</v>
      </c>
      <c r="G274" s="2">
        <v>2600608</v>
      </c>
      <c r="H274" s="78">
        <v>0.50327273346540513</v>
      </c>
      <c r="I274" s="52">
        <v>100450</v>
      </c>
      <c r="J274" s="82">
        <v>1.9439202708212824E-2</v>
      </c>
      <c r="K274" s="59">
        <v>337</v>
      </c>
      <c r="L274" s="60">
        <v>1065</v>
      </c>
      <c r="M274" s="66">
        <v>3.5464451320607506E-4</v>
      </c>
      <c r="N274" s="67">
        <v>8.7193207067881359E-5</v>
      </c>
      <c r="O274" s="67">
        <v>8.6223868778768236E-5</v>
      </c>
      <c r="P274" s="67">
        <v>8.3869750277818544E-5</v>
      </c>
      <c r="Q274" s="67">
        <v>9.2197480857498037E-5</v>
      </c>
      <c r="R274" s="67">
        <v>8.6316222802090178E-5</v>
      </c>
      <c r="S274" s="67">
        <v>1.0121804234962892E-4</v>
      </c>
      <c r="T274" s="67">
        <v>1.7778017212353029E-4</v>
      </c>
      <c r="U274" s="67">
        <v>5.2490240095982149E-4</v>
      </c>
      <c r="V274" s="67">
        <v>3.3549029367844698E-3</v>
      </c>
      <c r="W274" s="68">
        <v>2.0610005857886173E-4</v>
      </c>
    </row>
    <row r="275" spans="1:23" x14ac:dyDescent="0.3">
      <c r="A275" s="44" t="s">
        <v>461</v>
      </c>
      <c r="B275" t="s">
        <v>423</v>
      </c>
      <c r="C275" s="45">
        <v>2009</v>
      </c>
      <c r="D275" s="91">
        <v>5168946</v>
      </c>
      <c r="E275" s="2">
        <v>2569748</v>
      </c>
      <c r="F275" s="5">
        <v>0.49715125675524563</v>
      </c>
      <c r="G275" s="2">
        <v>2599199</v>
      </c>
      <c r="H275" s="78">
        <v>0.50284893670779307</v>
      </c>
      <c r="I275" s="52">
        <v>98753</v>
      </c>
      <c r="J275" s="82">
        <v>1.9105055460049303E-2</v>
      </c>
      <c r="K275" s="59">
        <v>348</v>
      </c>
      <c r="L275" s="60">
        <v>1070</v>
      </c>
      <c r="M275" s="66">
        <v>3.3807483286425451E-4</v>
      </c>
      <c r="N275" s="67">
        <v>8.8027394125051716E-5</v>
      </c>
      <c r="O275" s="67">
        <v>8.0708187442075059E-5</v>
      </c>
      <c r="P275" s="67">
        <v>8.902499821950004E-5</v>
      </c>
      <c r="Q275" s="67">
        <v>8.2030641178835E-5</v>
      </c>
      <c r="R275" s="67">
        <v>8.334511951185016E-5</v>
      </c>
      <c r="S275" s="67">
        <v>1.0817125673366073E-4</v>
      </c>
      <c r="T275" s="67">
        <v>1.8660836192069768E-4</v>
      </c>
      <c r="U275" s="67">
        <v>5.2789900745884894E-4</v>
      </c>
      <c r="V275" s="67">
        <v>3.523943576397679E-3</v>
      </c>
      <c r="W275" s="68">
        <v>2.070054514015043E-4</v>
      </c>
    </row>
    <row r="276" spans="1:23" x14ac:dyDescent="0.3">
      <c r="A276" s="44" t="s">
        <v>422</v>
      </c>
      <c r="B276" t="s">
        <v>423</v>
      </c>
      <c r="C276" s="45">
        <v>2013</v>
      </c>
      <c r="D276" s="91">
        <v>5192492</v>
      </c>
      <c r="E276" s="2">
        <v>2574393</v>
      </c>
      <c r="F276" s="5">
        <v>0.4957914234629538</v>
      </c>
      <c r="G276" s="2">
        <v>2618102</v>
      </c>
      <c r="H276" s="78">
        <v>0.50420915429431568</v>
      </c>
      <c r="I276" s="52">
        <v>103921</v>
      </c>
      <c r="J276" s="82">
        <v>2.0013704402433361E-2</v>
      </c>
      <c r="K276" s="59">
        <v>420</v>
      </c>
      <c r="L276" s="60">
        <v>1187</v>
      </c>
      <c r="M276" s="66">
        <v>3.5382991396035927E-4</v>
      </c>
      <c r="N276" s="67">
        <v>8.7442269884736515E-5</v>
      </c>
      <c r="O276" s="67">
        <v>8.5329449895258101E-5</v>
      </c>
      <c r="P276" s="67">
        <v>8.514744699571425E-5</v>
      </c>
      <c r="Q276" s="67">
        <v>9.1575930182510827E-5</v>
      </c>
      <c r="R276" s="67">
        <v>7.8226755897319557E-5</v>
      </c>
      <c r="S276" s="67">
        <v>9.4051995077945591E-5</v>
      </c>
      <c r="T276" s="67">
        <v>2.0956137192844823E-4</v>
      </c>
      <c r="U276" s="67">
        <v>6.5968317497985536E-4</v>
      </c>
      <c r="V276" s="67">
        <v>4.0415315480028099E-3</v>
      </c>
      <c r="W276" s="68">
        <v>2.2859929297917069E-4</v>
      </c>
    </row>
    <row r="277" spans="1:23" x14ac:dyDescent="0.3">
      <c r="A277" s="44" t="s">
        <v>491</v>
      </c>
      <c r="B277" t="s">
        <v>423</v>
      </c>
      <c r="C277" s="45">
        <v>2016</v>
      </c>
      <c r="D277" s="91">
        <v>5195428</v>
      </c>
      <c r="E277" s="2">
        <v>2581124</v>
      </c>
      <c r="F277" s="5">
        <v>0.49680680783180903</v>
      </c>
      <c r="G277" s="2">
        <v>2614307</v>
      </c>
      <c r="H277" s="78">
        <v>0.50319376959896278</v>
      </c>
      <c r="I277" s="52">
        <v>106341</v>
      </c>
      <c r="J277" s="82">
        <v>2.0468188568872479E-2</v>
      </c>
      <c r="K277" s="59">
        <v>275</v>
      </c>
      <c r="L277" s="60">
        <v>979</v>
      </c>
      <c r="M277" s="66">
        <v>3.5946655163737013E-4</v>
      </c>
      <c r="N277" s="67">
        <v>8.7317942090740804E-5</v>
      </c>
      <c r="O277" s="67">
        <v>8.7622068494170943E-5</v>
      </c>
      <c r="P277" s="67">
        <v>8.3665788640695872E-5</v>
      </c>
      <c r="Q277" s="67">
        <v>9.3112904051808023E-5</v>
      </c>
      <c r="R277" s="67">
        <v>8.2883918309610116E-5</v>
      </c>
      <c r="S277" s="67">
        <v>8.904336263354649E-5</v>
      </c>
      <c r="T277" s="67">
        <v>1.6733354003947102E-4</v>
      </c>
      <c r="U277" s="67">
        <v>4.4107512060647828E-4</v>
      </c>
      <c r="V277" s="67">
        <v>2.586020443667071E-3</v>
      </c>
      <c r="W277" s="68">
        <v>1.8843490853881527E-4</v>
      </c>
    </row>
    <row r="278" spans="1:23" x14ac:dyDescent="0.3">
      <c r="A278" s="44" t="s">
        <v>501</v>
      </c>
      <c r="B278" t="s">
        <v>448</v>
      </c>
      <c r="C278" s="45">
        <v>2016</v>
      </c>
      <c r="D278" s="91">
        <v>5225189</v>
      </c>
      <c r="E278" s="2">
        <v>2619738</v>
      </c>
      <c r="F278" s="5">
        <v>0.50136712758141377</v>
      </c>
      <c r="G278" s="2">
        <v>2605453</v>
      </c>
      <c r="H278" s="78">
        <v>0.49863325517986046</v>
      </c>
      <c r="I278" s="52">
        <v>75966</v>
      </c>
      <c r="J278" s="82">
        <v>1.4538421481022027E-2</v>
      </c>
      <c r="K278" s="59">
        <v>230</v>
      </c>
      <c r="L278" s="60">
        <v>956</v>
      </c>
      <c r="M278" s="66">
        <v>3.6588043027538603E-4</v>
      </c>
      <c r="N278" s="67">
        <v>8.6872293385109221E-5</v>
      </c>
      <c r="O278" s="67">
        <v>8.4857587753352936E-5</v>
      </c>
      <c r="P278" s="67">
        <v>7.6815633517733528E-5</v>
      </c>
      <c r="Q278" s="67">
        <v>8.460487408679614E-5</v>
      </c>
      <c r="R278" s="67">
        <v>8.5741232958929956E-5</v>
      </c>
      <c r="S278" s="67">
        <v>1.028691274394953E-4</v>
      </c>
      <c r="T278" s="67">
        <v>1.8896780744432379E-4</v>
      </c>
      <c r="U278" s="67">
        <v>5.5976274671273949E-4</v>
      </c>
      <c r="V278" s="67">
        <v>3.0276702735434272E-3</v>
      </c>
      <c r="W278" s="68">
        <v>1.8295988910640361E-4</v>
      </c>
    </row>
    <row r="279" spans="1:23" x14ac:dyDescent="0.3">
      <c r="A279" s="44" t="s">
        <v>470</v>
      </c>
      <c r="B279" t="s">
        <v>423</v>
      </c>
      <c r="C279" s="45">
        <v>2010</v>
      </c>
      <c r="D279" s="91">
        <v>5228533</v>
      </c>
      <c r="E279" s="2">
        <v>2595037</v>
      </c>
      <c r="F279" s="5">
        <v>0.49632219974512926</v>
      </c>
      <c r="G279" s="2">
        <v>2633499</v>
      </c>
      <c r="H279" s="78">
        <v>0.5036783740295796</v>
      </c>
      <c r="I279" s="52">
        <v>98443</v>
      </c>
      <c r="J279" s="82">
        <v>1.8828034555773102E-2</v>
      </c>
      <c r="K279" s="59">
        <v>355</v>
      </c>
      <c r="L279" s="60">
        <v>1069</v>
      </c>
      <c r="M279" s="66">
        <v>3.4042263470098128E-4</v>
      </c>
      <c r="N279" s="67">
        <v>8.5547956045460178E-5</v>
      </c>
      <c r="O279" s="67">
        <v>8.1756678498674855E-5</v>
      </c>
      <c r="P279" s="67">
        <v>8.6613957261786351E-5</v>
      </c>
      <c r="Q279" s="67">
        <v>8.4068465358187703E-5</v>
      </c>
      <c r="R279" s="67">
        <v>7.5159620243492122E-5</v>
      </c>
      <c r="S279" s="67">
        <v>1.0281789579748987E-4</v>
      </c>
      <c r="T279" s="67">
        <v>1.8091415924667345E-4</v>
      </c>
      <c r="U279" s="67">
        <v>5.1011732698520663E-4</v>
      </c>
      <c r="V279" s="67">
        <v>3.6061477200004062E-3</v>
      </c>
      <c r="W279" s="68">
        <v>2.0445505460135759E-4</v>
      </c>
    </row>
    <row r="280" spans="1:23" x14ac:dyDescent="0.3">
      <c r="A280" s="44" t="s">
        <v>494</v>
      </c>
      <c r="B280" t="s">
        <v>448</v>
      </c>
      <c r="C280" s="45">
        <v>2017</v>
      </c>
      <c r="D280" s="91">
        <v>5296497</v>
      </c>
      <c r="E280" s="2">
        <v>2655599</v>
      </c>
      <c r="F280" s="5">
        <v>0.50138780405237648</v>
      </c>
      <c r="G280" s="2">
        <v>2640904</v>
      </c>
      <c r="H280" s="78">
        <v>0.49861332877182785</v>
      </c>
      <c r="I280" s="52">
        <v>82959</v>
      </c>
      <c r="J280" s="82">
        <v>1.5662993861792048E-2</v>
      </c>
      <c r="K280" s="59">
        <v>246</v>
      </c>
      <c r="L280" s="60">
        <v>996</v>
      </c>
      <c r="M280" s="66">
        <v>3.6696125500749213E-4</v>
      </c>
      <c r="N280" s="67">
        <v>8.6839854282724517E-5</v>
      </c>
      <c r="O280" s="67">
        <v>8.3300707223004326E-5</v>
      </c>
      <c r="P280" s="67">
        <v>7.5312547070341922E-5</v>
      </c>
      <c r="Q280" s="67">
        <v>8.4346309075803439E-5</v>
      </c>
      <c r="R280" s="67">
        <v>8.6665000772762928E-5</v>
      </c>
      <c r="S280" s="67">
        <v>1.2447458820922052E-4</v>
      </c>
      <c r="T280" s="67">
        <v>1.9733338405356055E-4</v>
      </c>
      <c r="U280" s="67">
        <v>5.3669183155032377E-4</v>
      </c>
      <c r="V280" s="67">
        <v>2.9653202184211479E-3</v>
      </c>
      <c r="W280" s="68">
        <v>1.8804881792626335E-4</v>
      </c>
    </row>
    <row r="281" spans="1:23" x14ac:dyDescent="0.3">
      <c r="A281" s="44" t="s">
        <v>335</v>
      </c>
      <c r="B281" t="s">
        <v>318</v>
      </c>
      <c r="C281" s="45">
        <v>2015</v>
      </c>
      <c r="D281" s="91">
        <v>5423610</v>
      </c>
      <c r="E281" s="2">
        <v>2689197</v>
      </c>
      <c r="F281" s="5">
        <v>0.49583155868508244</v>
      </c>
      <c r="G281" s="2">
        <v>2734415</v>
      </c>
      <c r="H281" s="78">
        <v>0.50416881007299563</v>
      </c>
      <c r="I281" s="52">
        <v>115833</v>
      </c>
      <c r="J281" s="82">
        <v>2.1357177230663708E-2</v>
      </c>
      <c r="K281" s="59">
        <v>595</v>
      </c>
      <c r="L281" s="60">
        <v>1470</v>
      </c>
      <c r="M281" s="66">
        <v>3.6704319180759596E-4</v>
      </c>
      <c r="N281" s="67">
        <v>8.5994874705467553E-5</v>
      </c>
      <c r="O281" s="67">
        <v>7.9791584381595275E-5</v>
      </c>
      <c r="P281" s="67">
        <v>8.5948187567594673E-5</v>
      </c>
      <c r="Q281" s="67">
        <v>9.0477949769658219E-5</v>
      </c>
      <c r="R281" s="67">
        <v>7.6712314755741592E-5</v>
      </c>
      <c r="S281" s="67">
        <v>8.3730354765513136E-5</v>
      </c>
      <c r="T281" s="67">
        <v>2.1434678980734417E-4</v>
      </c>
      <c r="U281" s="67">
        <v>9.9210804587376964E-4</v>
      </c>
      <c r="V281" s="67">
        <v>5.1367054293681418E-3</v>
      </c>
      <c r="W281" s="68">
        <v>2.7103718740838667E-4</v>
      </c>
    </row>
    <row r="282" spans="1:23" x14ac:dyDescent="0.3">
      <c r="A282" s="44" t="s">
        <v>360</v>
      </c>
      <c r="B282" t="s">
        <v>318</v>
      </c>
      <c r="C282" s="45">
        <v>2011</v>
      </c>
      <c r="D282" s="91">
        <v>5429786</v>
      </c>
      <c r="E282" s="2">
        <v>2691871</v>
      </c>
      <c r="F282" s="5">
        <v>0.49576005389531008</v>
      </c>
      <c r="G282" s="2">
        <v>2737916</v>
      </c>
      <c r="H282" s="78">
        <v>0.50424013027401082</v>
      </c>
      <c r="I282" s="52">
        <v>109218</v>
      </c>
      <c r="J282" s="82">
        <v>2.0114604884980736E-2</v>
      </c>
      <c r="K282" s="59">
        <v>532</v>
      </c>
      <c r="L282" s="60">
        <v>1391</v>
      </c>
      <c r="M282" s="66">
        <v>3.5131376710824857E-4</v>
      </c>
      <c r="N282" s="67">
        <v>8.4066109588580457E-5</v>
      </c>
      <c r="O282" s="67">
        <v>7.8203203203203203E-5</v>
      </c>
      <c r="P282" s="67">
        <v>8.7639474572136775E-5</v>
      </c>
      <c r="Q282" s="67">
        <v>8.3934749126029424E-5</v>
      </c>
      <c r="R282" s="67">
        <v>7.2348255562977945E-5</v>
      </c>
      <c r="S282" s="67">
        <v>9.2508364297938606E-5</v>
      </c>
      <c r="T282" s="67">
        <v>2.1009025800699762E-4</v>
      </c>
      <c r="U282" s="67">
        <v>9.6203744361502536E-4</v>
      </c>
      <c r="V282" s="67">
        <v>4.8709919610320646E-3</v>
      </c>
      <c r="W282" s="68">
        <v>2.5617952530725889E-4</v>
      </c>
    </row>
    <row r="283" spans="1:23" x14ac:dyDescent="0.3">
      <c r="A283" s="44" t="s">
        <v>402</v>
      </c>
      <c r="B283" t="s">
        <v>318</v>
      </c>
      <c r="C283" s="45">
        <v>2016</v>
      </c>
      <c r="D283" s="91">
        <v>5438085</v>
      </c>
      <c r="E283" s="2">
        <v>2697899</v>
      </c>
      <c r="F283" s="5">
        <v>0.49611195852951911</v>
      </c>
      <c r="G283" s="2">
        <v>2740188</v>
      </c>
      <c r="H283" s="78">
        <v>0.50388840924700518</v>
      </c>
      <c r="I283" s="52">
        <v>117526</v>
      </c>
      <c r="J283" s="82">
        <v>2.1611651895842011E-2</v>
      </c>
      <c r="K283" s="59">
        <v>471</v>
      </c>
      <c r="L283" s="60">
        <v>1284</v>
      </c>
      <c r="M283" s="66">
        <v>3.6891747316125385E-4</v>
      </c>
      <c r="N283" s="67">
        <v>8.5766112951111888E-5</v>
      </c>
      <c r="O283" s="67">
        <v>7.9512851264585644E-5</v>
      </c>
      <c r="P283" s="67">
        <v>8.6046918516436395E-5</v>
      </c>
      <c r="Q283" s="67">
        <v>9.1177927647275142E-5</v>
      </c>
      <c r="R283" s="67">
        <v>7.828830451018922E-5</v>
      </c>
      <c r="S283" s="67">
        <v>1.1683302773478628E-4</v>
      </c>
      <c r="T283" s="67">
        <v>1.895743053216853E-4</v>
      </c>
      <c r="U283" s="67">
        <v>6.7024679885194531E-4</v>
      </c>
      <c r="V283" s="67">
        <v>4.0076238449364395E-3</v>
      </c>
      <c r="W283" s="68">
        <v>2.3611252858313174E-4</v>
      </c>
    </row>
    <row r="284" spans="1:23" x14ac:dyDescent="0.3">
      <c r="A284" s="44" t="s">
        <v>365</v>
      </c>
      <c r="B284" t="s">
        <v>318</v>
      </c>
      <c r="C284" s="45">
        <v>2017</v>
      </c>
      <c r="D284" s="91">
        <v>5444586</v>
      </c>
      <c r="E284" s="2">
        <v>2702480</v>
      </c>
      <c r="F284" s="5">
        <v>0.4963609721657441</v>
      </c>
      <c r="G284" s="2">
        <v>2742107</v>
      </c>
      <c r="H284" s="78">
        <v>0.50363921150294988</v>
      </c>
      <c r="I284" s="52">
        <v>117455</v>
      </c>
      <c r="J284" s="82">
        <v>2.1572806453970972E-2</v>
      </c>
      <c r="K284" s="59">
        <v>521</v>
      </c>
      <c r="L284" s="60">
        <v>1389</v>
      </c>
      <c r="M284" s="66">
        <v>3.7487230911970612E-4</v>
      </c>
      <c r="N284" s="67">
        <v>8.6737415485230781E-5</v>
      </c>
      <c r="O284" s="67">
        <v>8.0381005968289693E-5</v>
      </c>
      <c r="P284" s="67">
        <v>8.6288846159930627E-5</v>
      </c>
      <c r="Q284" s="67">
        <v>9.1172662788789415E-5</v>
      </c>
      <c r="R284" s="67">
        <v>7.9801772397364944E-5</v>
      </c>
      <c r="S284" s="67">
        <v>9.8118279569892476E-5</v>
      </c>
      <c r="T284" s="67">
        <v>2.6492929566957168E-4</v>
      </c>
      <c r="U284" s="67">
        <v>7.6684330969572459E-4</v>
      </c>
      <c r="V284" s="67">
        <v>4.4357413477502019E-3</v>
      </c>
      <c r="W284" s="68">
        <v>2.5511581596837667E-4</v>
      </c>
    </row>
    <row r="285" spans="1:23" x14ac:dyDescent="0.3">
      <c r="A285" s="44" t="s">
        <v>317</v>
      </c>
      <c r="B285" t="s">
        <v>318</v>
      </c>
      <c r="C285" s="45">
        <v>2013</v>
      </c>
      <c r="D285" s="91">
        <v>5494993</v>
      </c>
      <c r="E285" s="2">
        <v>2726125</v>
      </c>
      <c r="F285" s="5">
        <v>0.49611073207918555</v>
      </c>
      <c r="G285" s="2">
        <v>2768869</v>
      </c>
      <c r="H285" s="78">
        <v>0.50388944990466777</v>
      </c>
      <c r="I285" s="52">
        <v>114736</v>
      </c>
      <c r="J285" s="82">
        <v>2.0880099392301319E-2</v>
      </c>
      <c r="K285" s="59">
        <v>642</v>
      </c>
      <c r="L285" s="60">
        <v>1534</v>
      </c>
      <c r="M285" s="66">
        <v>3.5337249878528203E-4</v>
      </c>
      <c r="N285" s="67">
        <v>8.3836234299918539E-5</v>
      </c>
      <c r="O285" s="67">
        <v>7.8488725748618928E-5</v>
      </c>
      <c r="P285" s="67">
        <v>8.5283724738250034E-5</v>
      </c>
      <c r="Q285" s="67">
        <v>8.6909666093062872E-5</v>
      </c>
      <c r="R285" s="67">
        <v>7.2624893634791194E-5</v>
      </c>
      <c r="S285" s="67">
        <v>1.0637334456482521E-4</v>
      </c>
      <c r="T285" s="67">
        <v>2.625236271264414E-4</v>
      </c>
      <c r="U285" s="67">
        <v>9.4294189778186066E-4</v>
      </c>
      <c r="V285" s="67">
        <v>5.5954539115883415E-3</v>
      </c>
      <c r="W285" s="68">
        <v>2.7916323096316957E-4</v>
      </c>
    </row>
    <row r="286" spans="1:23" x14ac:dyDescent="0.3">
      <c r="A286" s="44" t="s">
        <v>393</v>
      </c>
      <c r="B286" t="s">
        <v>318</v>
      </c>
      <c r="C286" s="45">
        <v>2010</v>
      </c>
      <c r="D286" s="91">
        <v>5527204</v>
      </c>
      <c r="E286" s="2">
        <v>2740186</v>
      </c>
      <c r="F286" s="5">
        <v>0.49576349995404551</v>
      </c>
      <c r="G286" s="2">
        <v>2787018</v>
      </c>
      <c r="H286" s="78">
        <v>0.50423650004595455</v>
      </c>
      <c r="I286" s="52">
        <v>109284</v>
      </c>
      <c r="J286" s="82">
        <v>1.9772022165275609E-2</v>
      </c>
      <c r="K286" s="59">
        <v>501</v>
      </c>
      <c r="L286" s="60">
        <v>1326</v>
      </c>
      <c r="M286" s="66">
        <v>3.4448112530500931E-4</v>
      </c>
      <c r="N286" s="67">
        <v>8.1997794259334431E-5</v>
      </c>
      <c r="O286" s="67">
        <v>7.6505143058242092E-5</v>
      </c>
      <c r="P286" s="67">
        <v>8.7046974900004793E-5</v>
      </c>
      <c r="Q286" s="67">
        <v>8.0043116558786337E-5</v>
      </c>
      <c r="R286" s="67">
        <v>7.049617558247465E-5</v>
      </c>
      <c r="S286" s="67">
        <v>9.395935318381268E-5</v>
      </c>
      <c r="T286" s="67">
        <v>1.6231306944835199E-4</v>
      </c>
      <c r="U286" s="67">
        <v>8.7681012579302606E-4</v>
      </c>
      <c r="V286" s="67">
        <v>4.5843856374217637E-3</v>
      </c>
      <c r="W286" s="68">
        <v>2.3990429881003126E-4</v>
      </c>
    </row>
    <row r="287" spans="1:23" x14ac:dyDescent="0.3">
      <c r="A287" s="44" t="s">
        <v>366</v>
      </c>
      <c r="B287" t="s">
        <v>318</v>
      </c>
      <c r="C287" s="45">
        <v>2014</v>
      </c>
      <c r="D287" s="91">
        <v>5548036</v>
      </c>
      <c r="E287" s="2">
        <v>2752375</v>
      </c>
      <c r="F287" s="5">
        <v>0.49609897989126245</v>
      </c>
      <c r="G287" s="2">
        <v>2795662</v>
      </c>
      <c r="H287" s="78">
        <v>0.50390120035270136</v>
      </c>
      <c r="I287" s="52">
        <v>117645</v>
      </c>
      <c r="J287" s="82">
        <v>2.1204801122415212E-2</v>
      </c>
      <c r="K287" s="59">
        <v>560</v>
      </c>
      <c r="L287" s="60">
        <v>1407</v>
      </c>
      <c r="M287" s="66">
        <v>3.5625434184979128E-4</v>
      </c>
      <c r="N287" s="67">
        <v>8.3479306175659944E-5</v>
      </c>
      <c r="O287" s="67">
        <v>7.8239710826028783E-5</v>
      </c>
      <c r="P287" s="67">
        <v>8.4443768894293291E-5</v>
      </c>
      <c r="Q287" s="67">
        <v>8.7726352265167523E-5</v>
      </c>
      <c r="R287" s="67">
        <v>8.4040880407391212E-5</v>
      </c>
      <c r="S287" s="67">
        <v>1.052179811992081E-4</v>
      </c>
      <c r="T287" s="67">
        <v>1.9907855070815084E-4</v>
      </c>
      <c r="U287" s="67">
        <v>7.9036867904644815E-4</v>
      </c>
      <c r="V287" s="67">
        <v>4.7600833014577754E-3</v>
      </c>
      <c r="W287" s="68">
        <v>2.5360325708052362E-4</v>
      </c>
    </row>
    <row r="288" spans="1:23" x14ac:dyDescent="0.3">
      <c r="A288" s="44" t="s">
        <v>359</v>
      </c>
      <c r="B288" t="s">
        <v>318</v>
      </c>
      <c r="C288" s="45">
        <v>2012</v>
      </c>
      <c r="D288" s="91">
        <v>5551257</v>
      </c>
      <c r="E288" s="2">
        <v>2752306</v>
      </c>
      <c r="F288" s="5">
        <v>0.49579869928558523</v>
      </c>
      <c r="G288" s="2">
        <v>2798953</v>
      </c>
      <c r="H288" s="78">
        <v>0.50420166099317687</v>
      </c>
      <c r="I288" s="52">
        <v>112369</v>
      </c>
      <c r="J288" s="82">
        <v>2.0242082108610716E-2</v>
      </c>
      <c r="K288" s="59">
        <v>546</v>
      </c>
      <c r="L288" s="60">
        <v>1425</v>
      </c>
      <c r="M288" s="66">
        <v>3.4555046188578404E-4</v>
      </c>
      <c r="N288" s="67">
        <v>8.2798021127295052E-5</v>
      </c>
      <c r="O288" s="67">
        <v>7.7237174767129919E-5</v>
      </c>
      <c r="P288" s="67">
        <v>8.4919559946840351E-5</v>
      </c>
      <c r="Q288" s="67">
        <v>8.4446621290682161E-5</v>
      </c>
      <c r="R288" s="67">
        <v>7.1168805289265603E-5</v>
      </c>
      <c r="S288" s="67">
        <v>8.7599936928045414E-5</v>
      </c>
      <c r="T288" s="67">
        <v>2.0910739194630529E-4</v>
      </c>
      <c r="U288" s="67">
        <v>1.0201529832528193E-3</v>
      </c>
      <c r="V288" s="67">
        <v>4.8589913588267227E-3</v>
      </c>
      <c r="W288" s="68">
        <v>2.5669861798868255E-4</v>
      </c>
    </row>
    <row r="289" spans="1:23" x14ac:dyDescent="0.3">
      <c r="A289" s="44" t="s">
        <v>287</v>
      </c>
      <c r="B289" t="s">
        <v>286</v>
      </c>
      <c r="C289" s="45">
        <v>2013</v>
      </c>
      <c r="D289" s="91">
        <v>5559645</v>
      </c>
      <c r="E289" s="2">
        <v>2725390</v>
      </c>
      <c r="F289" s="5">
        <v>0.49020935689239153</v>
      </c>
      <c r="G289" s="2">
        <v>2834257</v>
      </c>
      <c r="H289" s="78">
        <v>0.50979100284280743</v>
      </c>
      <c r="I289" s="52">
        <v>107121</v>
      </c>
      <c r="J289" s="82">
        <v>1.9267597121758673E-2</v>
      </c>
      <c r="K289" s="59">
        <v>647</v>
      </c>
      <c r="L289" s="60">
        <v>1705</v>
      </c>
      <c r="M289" s="66">
        <v>3.3962872919420255E-4</v>
      </c>
      <c r="N289" s="67">
        <v>8.2298656337270872E-5</v>
      </c>
      <c r="O289" s="67">
        <v>7.727119355661274E-5</v>
      </c>
      <c r="P289" s="67">
        <v>8.1379877197765307E-5</v>
      </c>
      <c r="Q289" s="67">
        <v>8.6856699474372205E-5</v>
      </c>
      <c r="R289" s="67">
        <v>8.0733707937738163E-5</v>
      </c>
      <c r="S289" s="67">
        <v>1.2392711919018731E-4</v>
      </c>
      <c r="T289" s="67">
        <v>3.9984006397441024E-4</v>
      </c>
      <c r="U289" s="67">
        <v>1.2723053532847884E-3</v>
      </c>
      <c r="V289" s="67">
        <v>6.0398988060230956E-3</v>
      </c>
      <c r="W289" s="68">
        <v>3.0667425707936387E-4</v>
      </c>
    </row>
    <row r="290" spans="1:23" x14ac:dyDescent="0.3">
      <c r="A290" s="44" t="s">
        <v>296</v>
      </c>
      <c r="B290" t="s">
        <v>286</v>
      </c>
      <c r="C290" s="45">
        <v>2017</v>
      </c>
      <c r="D290" s="91">
        <v>5568992</v>
      </c>
      <c r="E290" s="2">
        <v>2733369</v>
      </c>
      <c r="F290" s="5">
        <v>0.49081934396745408</v>
      </c>
      <c r="G290" s="2">
        <v>2835630</v>
      </c>
      <c r="H290" s="78">
        <v>0.50918191299251281</v>
      </c>
      <c r="I290" s="52">
        <v>109809</v>
      </c>
      <c r="J290" s="82">
        <v>1.9717931000798709E-2</v>
      </c>
      <c r="K290" s="59">
        <v>566</v>
      </c>
      <c r="L290" s="60">
        <v>1662</v>
      </c>
      <c r="M290" s="66">
        <v>3.4849985333964504E-4</v>
      </c>
      <c r="N290" s="67">
        <v>8.425368785412878E-5</v>
      </c>
      <c r="O290" s="67">
        <v>7.840841374551765E-5</v>
      </c>
      <c r="P290" s="67">
        <v>7.9651022320871483E-5</v>
      </c>
      <c r="Q290" s="67">
        <v>8.8834009212086752E-5</v>
      </c>
      <c r="R290" s="67">
        <v>8.1462966256681655E-5</v>
      </c>
      <c r="S290" s="67">
        <v>9.5917346652142047E-5</v>
      </c>
      <c r="T290" s="67">
        <v>3.7209570054724795E-4</v>
      </c>
      <c r="U290" s="67">
        <v>1.4251966966673825E-3</v>
      </c>
      <c r="V290" s="67">
        <v>5.1544044659363073E-3</v>
      </c>
      <c r="W290" s="68">
        <v>2.9843820928455273E-4</v>
      </c>
    </row>
    <row r="291" spans="1:23" x14ac:dyDescent="0.3">
      <c r="A291" s="44" t="s">
        <v>285</v>
      </c>
      <c r="B291" t="s">
        <v>286</v>
      </c>
      <c r="C291" s="45">
        <v>2015</v>
      </c>
      <c r="D291" s="91">
        <v>5583015</v>
      </c>
      <c r="E291" s="2">
        <v>2735451</v>
      </c>
      <c r="F291" s="5">
        <v>0.48995945738995866</v>
      </c>
      <c r="G291" s="2">
        <v>2847569</v>
      </c>
      <c r="H291" s="78">
        <v>0.51004143818349046</v>
      </c>
      <c r="I291" s="52">
        <v>109643</v>
      </c>
      <c r="J291" s="82">
        <v>1.963867193622084E-2</v>
      </c>
      <c r="K291" s="59">
        <v>663</v>
      </c>
      <c r="L291" s="60">
        <v>1715</v>
      </c>
      <c r="M291" s="66">
        <v>3.4393710536799839E-4</v>
      </c>
      <c r="N291" s="67">
        <v>8.3038086802480067E-5</v>
      </c>
      <c r="O291" s="67">
        <v>7.814178827482467E-5</v>
      </c>
      <c r="P291" s="67">
        <v>8.0371315477506078E-5</v>
      </c>
      <c r="Q291" s="67">
        <v>8.7747777787527525E-5</v>
      </c>
      <c r="R291" s="67">
        <v>7.7331944795302346E-5</v>
      </c>
      <c r="S291" s="67">
        <v>1.1284810505740624E-4</v>
      </c>
      <c r="T291" s="67">
        <v>3.5881268009005325E-4</v>
      </c>
      <c r="U291" s="67">
        <v>1.2839036954439087E-3</v>
      </c>
      <c r="V291" s="67">
        <v>6.0468976587652653E-3</v>
      </c>
      <c r="W291" s="68">
        <v>3.0718169304578261E-4</v>
      </c>
    </row>
    <row r="292" spans="1:23" x14ac:dyDescent="0.3">
      <c r="A292" s="44" t="s">
        <v>376</v>
      </c>
      <c r="B292" t="s">
        <v>318</v>
      </c>
      <c r="C292" s="45">
        <v>2009</v>
      </c>
      <c r="D292" s="91">
        <v>5599420</v>
      </c>
      <c r="E292" s="2">
        <v>2780010</v>
      </c>
      <c r="F292" s="5">
        <v>0.49648177846991298</v>
      </c>
      <c r="G292" s="2">
        <v>2819410</v>
      </c>
      <c r="H292" s="78">
        <v>0.50351822153008707</v>
      </c>
      <c r="I292" s="52">
        <v>108929</v>
      </c>
      <c r="J292" s="82">
        <v>1.9453621982276736E-2</v>
      </c>
      <c r="K292" s="59">
        <v>514</v>
      </c>
      <c r="L292" s="60">
        <v>1375</v>
      </c>
      <c r="M292" s="66">
        <v>3.3646809441294727E-4</v>
      </c>
      <c r="N292" s="67">
        <v>8.2966781483473709E-5</v>
      </c>
      <c r="O292" s="67">
        <v>7.2571837047197092E-5</v>
      </c>
      <c r="P292" s="67">
        <v>8.7274631446504288E-5</v>
      </c>
      <c r="Q292" s="67">
        <v>7.6304327091215461E-5</v>
      </c>
      <c r="R292" s="67">
        <v>8.3625150263941887E-5</v>
      </c>
      <c r="S292" s="67">
        <v>9.6664899847108347E-5</v>
      </c>
      <c r="T292" s="67">
        <v>2.0311772161497546E-4</v>
      </c>
      <c r="U292" s="67">
        <v>8.9462878640164244E-4</v>
      </c>
      <c r="V292" s="67">
        <v>4.718669959331308E-3</v>
      </c>
      <c r="W292" s="68">
        <v>2.4556114740455264E-4</v>
      </c>
    </row>
    <row r="293" spans="1:23" x14ac:dyDescent="0.3">
      <c r="A293" s="44" t="s">
        <v>413</v>
      </c>
      <c r="B293" t="s">
        <v>351</v>
      </c>
      <c r="C293" s="45">
        <v>2009</v>
      </c>
      <c r="D293" s="91">
        <v>5637418</v>
      </c>
      <c r="E293" s="2">
        <v>2730367</v>
      </c>
      <c r="F293" s="5">
        <v>0.48432935077725298</v>
      </c>
      <c r="G293" s="2">
        <v>2907051</v>
      </c>
      <c r="H293" s="78">
        <v>0.51567064922274697</v>
      </c>
      <c r="I293" s="52">
        <v>84369</v>
      </c>
      <c r="J293" s="82">
        <v>1.4965893960674905E-2</v>
      </c>
      <c r="K293" s="59">
        <v>398</v>
      </c>
      <c r="L293" s="60">
        <v>1304</v>
      </c>
      <c r="M293" s="66">
        <v>3.1875219142131603E-4</v>
      </c>
      <c r="N293" s="67">
        <v>8.0584181593767082E-5</v>
      </c>
      <c r="O293" s="67">
        <v>7.7209047356169197E-5</v>
      </c>
      <c r="P293" s="67">
        <v>8.1386610817365732E-5</v>
      </c>
      <c r="Q293" s="67">
        <v>7.1001043715342618E-5</v>
      </c>
      <c r="R293" s="67">
        <v>8.3087053306114635E-5</v>
      </c>
      <c r="S293" s="67">
        <v>1.0373443983402489E-4</v>
      </c>
      <c r="T293" s="67">
        <v>1.836085578536442E-4</v>
      </c>
      <c r="U293" s="67">
        <v>1.2634294992993306E-3</v>
      </c>
      <c r="V293" s="67">
        <v>4.7173724946366555E-3</v>
      </c>
      <c r="W293" s="68">
        <v>2.3131156852303661E-4</v>
      </c>
    </row>
    <row r="294" spans="1:23" x14ac:dyDescent="0.3">
      <c r="A294" s="44" t="s">
        <v>417</v>
      </c>
      <c r="B294" t="s">
        <v>351</v>
      </c>
      <c r="C294" s="45">
        <v>2010</v>
      </c>
      <c r="D294" s="91">
        <v>5696384</v>
      </c>
      <c r="E294" s="2">
        <v>2754455</v>
      </c>
      <c r="F294" s="5">
        <v>0.48354447312540727</v>
      </c>
      <c r="G294" s="2">
        <v>2941929</v>
      </c>
      <c r="H294" s="78">
        <v>0.51645552687459273</v>
      </c>
      <c r="I294" s="52">
        <v>89219</v>
      </c>
      <c r="J294" s="82">
        <v>1.5662392142102778E-2</v>
      </c>
      <c r="K294" s="59">
        <v>412</v>
      </c>
      <c r="L294" s="60">
        <v>1314</v>
      </c>
      <c r="M294" s="66">
        <v>3.2845306816222297E-4</v>
      </c>
      <c r="N294" s="67">
        <v>8.0177566584128316E-5</v>
      </c>
      <c r="O294" s="67">
        <v>7.5568844476799109E-5</v>
      </c>
      <c r="P294" s="67">
        <v>8.0897858364029575E-5</v>
      </c>
      <c r="Q294" s="67">
        <v>7.2079691306708695E-5</v>
      </c>
      <c r="R294" s="67">
        <v>6.8065874153005278E-5</v>
      </c>
      <c r="S294" s="67">
        <v>1.0362615341242447E-4</v>
      </c>
      <c r="T294" s="67">
        <v>2.808880468367049E-4</v>
      </c>
      <c r="U294" s="67">
        <v>1.1216550643616359E-3</v>
      </c>
      <c r="V294" s="67">
        <v>4.6178504578621143E-3</v>
      </c>
      <c r="W294" s="68">
        <v>2.3067265128193606E-4</v>
      </c>
    </row>
    <row r="295" spans="1:23" x14ac:dyDescent="0.3">
      <c r="A295" s="44" t="s">
        <v>370</v>
      </c>
      <c r="B295" t="s">
        <v>351</v>
      </c>
      <c r="C295" s="45">
        <v>2011</v>
      </c>
      <c r="D295" s="91">
        <v>5703658</v>
      </c>
      <c r="E295" s="2">
        <v>2758968</v>
      </c>
      <c r="F295" s="5">
        <v>0.48371904486559325</v>
      </c>
      <c r="G295" s="2">
        <v>2944690</v>
      </c>
      <c r="H295" s="78">
        <v>0.51628095513440675</v>
      </c>
      <c r="I295" s="52">
        <v>92688</v>
      </c>
      <c r="J295" s="82">
        <v>1.6250623722530347E-2</v>
      </c>
      <c r="K295" s="59">
        <v>457</v>
      </c>
      <c r="L295" s="60">
        <v>1422</v>
      </c>
      <c r="M295" s="66">
        <v>3.3056029970800508E-4</v>
      </c>
      <c r="N295" s="67">
        <v>8.1072535597599175E-5</v>
      </c>
      <c r="O295" s="67">
        <v>7.5532884500148547E-5</v>
      </c>
      <c r="P295" s="67">
        <v>8.0314834149867483E-5</v>
      </c>
      <c r="Q295" s="67">
        <v>7.3966229485158066E-5</v>
      </c>
      <c r="R295" s="67">
        <v>6.7881289201444513E-5</v>
      </c>
      <c r="S295" s="67">
        <v>1.1159535227676838E-4</v>
      </c>
      <c r="T295" s="67">
        <v>3.5060486029333046E-4</v>
      </c>
      <c r="U295" s="67">
        <v>1.2382279582109159E-3</v>
      </c>
      <c r="V295" s="67">
        <v>4.9305195926117725E-3</v>
      </c>
      <c r="W295" s="68">
        <v>2.4931368605901686E-4</v>
      </c>
    </row>
    <row r="296" spans="1:23" x14ac:dyDescent="0.3">
      <c r="A296" s="44" t="s">
        <v>330</v>
      </c>
      <c r="B296" t="s">
        <v>286</v>
      </c>
      <c r="C296" s="45">
        <v>2010</v>
      </c>
      <c r="D296" s="91">
        <v>5731790</v>
      </c>
      <c r="E296" s="2">
        <v>2798579</v>
      </c>
      <c r="F296" s="5">
        <v>0.4882556758011023</v>
      </c>
      <c r="G296" s="2">
        <v>2933213</v>
      </c>
      <c r="H296" s="78">
        <v>0.51174467313003447</v>
      </c>
      <c r="I296" s="52">
        <v>107559</v>
      </c>
      <c r="J296" s="82">
        <v>1.8765342065916582E-2</v>
      </c>
      <c r="K296" s="59">
        <v>568</v>
      </c>
      <c r="L296" s="60">
        <v>1558</v>
      </c>
      <c r="M296" s="66">
        <v>3.2008450230860947E-4</v>
      </c>
      <c r="N296" s="67">
        <v>7.8698639300526496E-5</v>
      </c>
      <c r="O296" s="67">
        <v>7.3878705940586749E-5</v>
      </c>
      <c r="P296" s="67">
        <v>8.2041857755827028E-5</v>
      </c>
      <c r="Q296" s="67">
        <v>7.933139500291543E-5</v>
      </c>
      <c r="R296" s="67">
        <v>7.6319296453501002E-5</v>
      </c>
      <c r="S296" s="67">
        <v>1.0155993021165393E-4</v>
      </c>
      <c r="T296" s="67">
        <v>3.0445813700616164E-4</v>
      </c>
      <c r="U296" s="67">
        <v>1.1796153395363961E-3</v>
      </c>
      <c r="V296" s="67">
        <v>5.280822618283919E-3</v>
      </c>
      <c r="W296" s="68">
        <v>2.718173554858081E-4</v>
      </c>
    </row>
    <row r="297" spans="1:23" x14ac:dyDescent="0.3">
      <c r="A297" s="44" t="s">
        <v>325</v>
      </c>
      <c r="B297" t="s">
        <v>286</v>
      </c>
      <c r="C297" s="45">
        <v>2011</v>
      </c>
      <c r="D297" s="91">
        <v>5750906</v>
      </c>
      <c r="E297" s="2">
        <v>2813844</v>
      </c>
      <c r="F297" s="5">
        <v>0.48928707928802873</v>
      </c>
      <c r="G297" s="2">
        <v>2937067</v>
      </c>
      <c r="H297" s="78">
        <v>0.51071379014019702</v>
      </c>
      <c r="I297" s="52">
        <v>107910</v>
      </c>
      <c r="J297" s="82">
        <v>1.8763999968005041E-2</v>
      </c>
      <c r="K297" s="59">
        <v>562</v>
      </c>
      <c r="L297" s="60">
        <v>1580</v>
      </c>
      <c r="M297" s="66">
        <v>3.2079471544172095E-4</v>
      </c>
      <c r="N297" s="67">
        <v>7.9188581006618848E-5</v>
      </c>
      <c r="O297" s="67">
        <v>7.3635985415165816E-5</v>
      </c>
      <c r="P297" s="67">
        <v>8.0407505236538781E-5</v>
      </c>
      <c r="Q297" s="67">
        <v>8.1056326040965864E-5</v>
      </c>
      <c r="R297" s="67">
        <v>7.054391711560032E-5</v>
      </c>
      <c r="S297" s="67">
        <v>1.235879342865298E-4</v>
      </c>
      <c r="T297" s="67">
        <v>3.4425300683485656E-4</v>
      </c>
      <c r="U297" s="67">
        <v>1.1874619341839647E-3</v>
      </c>
      <c r="V297" s="67">
        <v>5.2080437401538322E-3</v>
      </c>
      <c r="W297" s="68">
        <v>2.7473931933507523E-4</v>
      </c>
    </row>
    <row r="298" spans="1:23" x14ac:dyDescent="0.3">
      <c r="A298" s="44" t="s">
        <v>300</v>
      </c>
      <c r="B298" t="s">
        <v>286</v>
      </c>
      <c r="C298" s="45">
        <v>2014</v>
      </c>
      <c r="D298" s="91">
        <v>5769992</v>
      </c>
      <c r="E298" s="2">
        <v>2821384</v>
      </c>
      <c r="F298" s="5">
        <v>0.48897537466256452</v>
      </c>
      <c r="G298" s="2">
        <v>2948613</v>
      </c>
      <c r="H298" s="78">
        <v>0.51102549188976343</v>
      </c>
      <c r="I298" s="52">
        <v>113212</v>
      </c>
      <c r="J298" s="82">
        <v>1.9620824430952418E-2</v>
      </c>
      <c r="K298" s="59">
        <v>586</v>
      </c>
      <c r="L298" s="60">
        <v>1697</v>
      </c>
      <c r="M298" s="66">
        <v>3.2978811113859347E-4</v>
      </c>
      <c r="N298" s="67">
        <v>7.9891241390054346E-5</v>
      </c>
      <c r="O298" s="67">
        <v>7.4631135612236526E-5</v>
      </c>
      <c r="P298" s="67">
        <v>7.883678945058642E-5</v>
      </c>
      <c r="Q298" s="67">
        <v>9.4963127376735738E-5</v>
      </c>
      <c r="R298" s="67">
        <v>8.5728632138439497E-5</v>
      </c>
      <c r="S298" s="67">
        <v>1.3677140164700122E-4</v>
      </c>
      <c r="T298" s="67">
        <v>3.4507155351647448E-4</v>
      </c>
      <c r="U298" s="67">
        <v>1.3507497612407111E-3</v>
      </c>
      <c r="V298" s="67">
        <v>5.1761297388969365E-3</v>
      </c>
      <c r="W298" s="68">
        <v>2.9410786011488404E-4</v>
      </c>
    </row>
    <row r="299" spans="1:23" x14ac:dyDescent="0.3">
      <c r="A299" s="44" t="s">
        <v>320</v>
      </c>
      <c r="B299" t="s">
        <v>286</v>
      </c>
      <c r="C299" s="45">
        <v>2012</v>
      </c>
      <c r="D299" s="91">
        <v>5773126</v>
      </c>
      <c r="E299" s="2">
        <v>2824484</v>
      </c>
      <c r="F299" s="5">
        <v>0.48924690020623141</v>
      </c>
      <c r="G299" s="2">
        <v>2948644</v>
      </c>
      <c r="H299" s="78">
        <v>0.51075344622653307</v>
      </c>
      <c r="I299" s="52">
        <v>110362</v>
      </c>
      <c r="J299" s="82">
        <v>1.9116506378000411E-2</v>
      </c>
      <c r="K299" s="59">
        <v>573</v>
      </c>
      <c r="L299" s="60">
        <v>1608</v>
      </c>
      <c r="M299" s="66">
        <v>3.2119054629158749E-4</v>
      </c>
      <c r="N299" s="67">
        <v>7.8864456972209485E-5</v>
      </c>
      <c r="O299" s="67">
        <v>7.4264778690959497E-5</v>
      </c>
      <c r="P299" s="67">
        <v>7.9664241775662846E-5</v>
      </c>
      <c r="Q299" s="67">
        <v>8.2501216892949173E-5</v>
      </c>
      <c r="R299" s="67">
        <v>7.0905474729879688E-5</v>
      </c>
      <c r="S299" s="67">
        <v>1.4163556168514843E-4</v>
      </c>
      <c r="T299" s="67">
        <v>3.2000736707607659E-4</v>
      </c>
      <c r="U299" s="67">
        <v>1.2175168800841892E-3</v>
      </c>
      <c r="V299" s="67">
        <v>5.1920044943005745E-3</v>
      </c>
      <c r="W299" s="68">
        <v>2.7853194265983457E-4</v>
      </c>
    </row>
    <row r="300" spans="1:23" x14ac:dyDescent="0.3">
      <c r="A300" s="44" t="s">
        <v>343</v>
      </c>
      <c r="B300" t="s">
        <v>286</v>
      </c>
      <c r="C300" s="45">
        <v>2016</v>
      </c>
      <c r="D300" s="91">
        <v>5777577</v>
      </c>
      <c r="E300" s="2">
        <v>2831647</v>
      </c>
      <c r="F300" s="5">
        <v>0.49010978131490068</v>
      </c>
      <c r="G300" s="2">
        <v>2945934</v>
      </c>
      <c r="H300" s="78">
        <v>0.50989091101685013</v>
      </c>
      <c r="I300" s="52">
        <v>114616</v>
      </c>
      <c r="J300" s="82">
        <v>1.9838073988455714E-2</v>
      </c>
      <c r="K300" s="59">
        <v>492</v>
      </c>
      <c r="L300" s="60">
        <v>1542</v>
      </c>
      <c r="M300" s="66">
        <v>3.372103152635439E-4</v>
      </c>
      <c r="N300" s="67">
        <v>8.0618288527480085E-5</v>
      </c>
      <c r="O300" s="67">
        <v>7.5991595329556551E-5</v>
      </c>
      <c r="P300" s="67">
        <v>7.8170192142332283E-5</v>
      </c>
      <c r="Q300" s="67">
        <v>8.5451826532792138E-5</v>
      </c>
      <c r="R300" s="67">
        <v>8.5477064079730964E-5</v>
      </c>
      <c r="S300" s="67">
        <v>1.3084126971540041E-4</v>
      </c>
      <c r="T300" s="67">
        <v>3.4633080632657788E-4</v>
      </c>
      <c r="U300" s="67">
        <v>1.0924872792577073E-3</v>
      </c>
      <c r="V300" s="67">
        <v>4.2925944021777063E-3</v>
      </c>
      <c r="W300" s="68">
        <v>2.6689388994729108E-4</v>
      </c>
    </row>
    <row r="301" spans="1:23" x14ac:dyDescent="0.3">
      <c r="A301" s="44" t="s">
        <v>302</v>
      </c>
      <c r="B301" t="s">
        <v>286</v>
      </c>
      <c r="C301" s="45">
        <v>2009</v>
      </c>
      <c r="D301" s="91">
        <v>5784755</v>
      </c>
      <c r="E301" s="2">
        <v>2819926</v>
      </c>
      <c r="F301" s="5">
        <v>0.48747544191586334</v>
      </c>
      <c r="G301" s="2">
        <v>2964829</v>
      </c>
      <c r="H301" s="78">
        <v>0.51252455808413666</v>
      </c>
      <c r="I301" s="52">
        <v>108414</v>
      </c>
      <c r="J301" s="82">
        <v>1.8741329580941629E-2</v>
      </c>
      <c r="K301" s="59">
        <v>620</v>
      </c>
      <c r="L301" s="60">
        <v>1698</v>
      </c>
      <c r="M301" s="66">
        <v>3.0936924766555119E-4</v>
      </c>
      <c r="N301" s="67">
        <v>7.8325096144055519E-5</v>
      </c>
      <c r="O301" s="67">
        <v>7.2813413201557235E-5</v>
      </c>
      <c r="P301" s="67">
        <v>8.066305027324608E-5</v>
      </c>
      <c r="Q301" s="67">
        <v>7.6364830431894029E-5</v>
      </c>
      <c r="R301" s="67">
        <v>7.5948331765681874E-5</v>
      </c>
      <c r="S301" s="67">
        <v>1.4760629206779323E-4</v>
      </c>
      <c r="T301" s="67">
        <v>3.8032041995381111E-4</v>
      </c>
      <c r="U301" s="67">
        <v>1.2843880039645271E-3</v>
      </c>
      <c r="V301" s="67">
        <v>5.7188186027634811E-3</v>
      </c>
      <c r="W301" s="68">
        <v>2.9353014950503521E-4</v>
      </c>
    </row>
    <row r="302" spans="1:23" x14ac:dyDescent="0.3">
      <c r="A302" s="44" t="s">
        <v>414</v>
      </c>
      <c r="B302" t="s">
        <v>351</v>
      </c>
      <c r="C302" s="45">
        <v>2012</v>
      </c>
      <c r="D302" s="91">
        <v>5785496</v>
      </c>
      <c r="E302" s="2">
        <v>2798875</v>
      </c>
      <c r="F302" s="5">
        <v>0.48377442487212852</v>
      </c>
      <c r="G302" s="2">
        <v>2986621</v>
      </c>
      <c r="H302" s="78">
        <v>0.51622557512787148</v>
      </c>
      <c r="I302" s="52">
        <v>98030</v>
      </c>
      <c r="J302" s="82">
        <v>1.6944096063673711E-2</v>
      </c>
      <c r="K302" s="59">
        <v>450</v>
      </c>
      <c r="L302" s="60">
        <v>1338</v>
      </c>
      <c r="M302" s="66">
        <v>3.2793874104317312E-4</v>
      </c>
      <c r="N302" s="67">
        <v>8.0690386950750618E-5</v>
      </c>
      <c r="O302" s="67">
        <v>7.4939954361567796E-5</v>
      </c>
      <c r="P302" s="67">
        <v>7.8343402636777792E-5</v>
      </c>
      <c r="Q302" s="67">
        <v>7.5086819134624407E-5</v>
      </c>
      <c r="R302" s="67">
        <v>6.7106962906626251E-5</v>
      </c>
      <c r="S302" s="67">
        <v>9.4546256756117926E-5</v>
      </c>
      <c r="T302" s="67">
        <v>2.3431132844335778E-4</v>
      </c>
      <c r="U302" s="67">
        <v>1.1077239374711991E-3</v>
      </c>
      <c r="V302" s="67">
        <v>4.5904315005610525E-3</v>
      </c>
      <c r="W302" s="68">
        <v>2.3126798462914849E-4</v>
      </c>
    </row>
    <row r="303" spans="1:23" x14ac:dyDescent="0.3">
      <c r="A303" s="44" t="s">
        <v>363</v>
      </c>
      <c r="B303" t="s">
        <v>351</v>
      </c>
      <c r="C303" s="45">
        <v>2013</v>
      </c>
      <c r="D303" s="91">
        <v>5801682</v>
      </c>
      <c r="E303" s="2">
        <v>2808879</v>
      </c>
      <c r="F303" s="5">
        <v>0.4841490795255583</v>
      </c>
      <c r="G303" s="2">
        <v>2992803</v>
      </c>
      <c r="H303" s="78">
        <v>0.5158509204744417</v>
      </c>
      <c r="I303" s="52">
        <v>100635</v>
      </c>
      <c r="J303" s="82">
        <v>1.7345831777749971E-2</v>
      </c>
      <c r="K303" s="59">
        <v>513</v>
      </c>
      <c r="L303" s="60">
        <v>1483</v>
      </c>
      <c r="M303" s="66">
        <v>3.2891761436054304E-4</v>
      </c>
      <c r="N303" s="67">
        <v>8.0889024303107355E-5</v>
      </c>
      <c r="O303" s="67">
        <v>7.5339498615636713E-5</v>
      </c>
      <c r="P303" s="67">
        <v>7.6906512443473707E-5</v>
      </c>
      <c r="Q303" s="67">
        <v>7.6766394743037292E-5</v>
      </c>
      <c r="R303" s="67">
        <v>6.7283506906091293E-5</v>
      </c>
      <c r="S303" s="67">
        <v>1.1621117951546939E-4</v>
      </c>
      <c r="T303" s="67">
        <v>3.2278968540232553E-4</v>
      </c>
      <c r="U303" s="67">
        <v>1.2245897624295861E-3</v>
      </c>
      <c r="V303" s="67">
        <v>5.097630049187658E-3</v>
      </c>
      <c r="W303" s="68">
        <v>2.556155266696796E-4</v>
      </c>
    </row>
    <row r="304" spans="1:23" x14ac:dyDescent="0.3">
      <c r="A304" s="44" t="s">
        <v>392</v>
      </c>
      <c r="B304" t="s">
        <v>351</v>
      </c>
      <c r="C304" s="45">
        <v>2016</v>
      </c>
      <c r="D304" s="91">
        <v>5878659</v>
      </c>
      <c r="E304" s="2">
        <v>2848708</v>
      </c>
      <c r="F304" s="5">
        <v>0.48458466463184885</v>
      </c>
      <c r="G304" s="2">
        <v>3029952</v>
      </c>
      <c r="H304" s="78">
        <v>0.51541550547497317</v>
      </c>
      <c r="I304" s="52">
        <v>105820</v>
      </c>
      <c r="J304" s="82">
        <v>1.8000703902029357E-2</v>
      </c>
      <c r="K304" s="59">
        <v>440</v>
      </c>
      <c r="L304" s="60">
        <v>1411</v>
      </c>
      <c r="M304" s="66">
        <v>3.3072610917268862E-4</v>
      </c>
      <c r="N304" s="67">
        <v>8.1255670968703023E-5</v>
      </c>
      <c r="O304" s="67">
        <v>7.6807963449650462E-5</v>
      </c>
      <c r="P304" s="67">
        <v>7.3893627659862702E-5</v>
      </c>
      <c r="Q304" s="67">
        <v>7.8964304186292581E-5</v>
      </c>
      <c r="R304" s="67">
        <v>7.6274829768448107E-5</v>
      </c>
      <c r="S304" s="67">
        <v>1.0190401700341313E-4</v>
      </c>
      <c r="T304" s="67">
        <v>3.2915618460959724E-4</v>
      </c>
      <c r="U304" s="67">
        <v>1.0998623007040852E-3</v>
      </c>
      <c r="V304" s="67">
        <v>4.1580041580041582E-3</v>
      </c>
      <c r="W304" s="68">
        <v>2.4002072581519017E-4</v>
      </c>
    </row>
    <row r="305" spans="1:23" x14ac:dyDescent="0.3">
      <c r="A305" s="44" t="s">
        <v>404</v>
      </c>
      <c r="B305" t="s">
        <v>351</v>
      </c>
      <c r="C305" s="45">
        <v>2014</v>
      </c>
      <c r="D305" s="91">
        <v>5886846</v>
      </c>
      <c r="E305" s="2">
        <v>2851059</v>
      </c>
      <c r="F305" s="5">
        <v>0.48431010425616705</v>
      </c>
      <c r="G305" s="2">
        <v>3035788</v>
      </c>
      <c r="H305" s="78">
        <v>0.5156900656140827</v>
      </c>
      <c r="I305" s="52">
        <v>103250</v>
      </c>
      <c r="J305" s="82">
        <v>1.7539103282131041E-2</v>
      </c>
      <c r="K305" s="59">
        <v>418</v>
      </c>
      <c r="L305" s="60">
        <v>1385</v>
      </c>
      <c r="M305" s="66">
        <v>3.2736796158882583E-4</v>
      </c>
      <c r="N305" s="67">
        <v>8.0035322255555454E-5</v>
      </c>
      <c r="O305" s="67">
        <v>7.5015190576091664E-5</v>
      </c>
      <c r="P305" s="67">
        <v>7.4917122932755638E-5</v>
      </c>
      <c r="Q305" s="67">
        <v>7.7126572417995172E-5</v>
      </c>
      <c r="R305" s="67">
        <v>7.8502794699491301E-5</v>
      </c>
      <c r="S305" s="67">
        <v>1.1287157526562218E-4</v>
      </c>
      <c r="T305" s="67">
        <v>3.5343741134999141E-4</v>
      </c>
      <c r="U305" s="67">
        <v>1.0591643980707452E-3</v>
      </c>
      <c r="V305" s="67">
        <v>4.0484261501210657E-3</v>
      </c>
      <c r="W305" s="68">
        <v>2.3527029584262949E-4</v>
      </c>
    </row>
    <row r="306" spans="1:23" x14ac:dyDescent="0.3">
      <c r="A306" s="44" t="s">
        <v>406</v>
      </c>
      <c r="B306" t="s">
        <v>351</v>
      </c>
      <c r="C306" s="45">
        <v>2017</v>
      </c>
      <c r="D306" s="91">
        <v>5921207</v>
      </c>
      <c r="E306" s="2">
        <v>2868226</v>
      </c>
      <c r="F306" s="5">
        <v>0.48439887340537158</v>
      </c>
      <c r="G306" s="2">
        <v>3052981</v>
      </c>
      <c r="H306" s="78">
        <v>0.51560112659462842</v>
      </c>
      <c r="I306" s="52">
        <v>106981</v>
      </c>
      <c r="J306" s="82">
        <v>1.8067431184216325E-2</v>
      </c>
      <c r="K306" s="59">
        <v>442</v>
      </c>
      <c r="L306" s="60">
        <v>1387</v>
      </c>
      <c r="M306" s="66">
        <v>3.3055028358459747E-4</v>
      </c>
      <c r="N306" s="67">
        <v>8.0928847357403369E-5</v>
      </c>
      <c r="O306" s="67">
        <v>7.7631815588209791E-5</v>
      </c>
      <c r="P306" s="67">
        <v>7.327778876944609E-5</v>
      </c>
      <c r="Q306" s="67">
        <v>7.8964719879236623E-5</v>
      </c>
      <c r="R306" s="67">
        <v>7.0009054504382561E-5</v>
      </c>
      <c r="S306" s="67">
        <v>9.0701302470703484E-5</v>
      </c>
      <c r="T306" s="67">
        <v>3.2707662996594316E-4</v>
      </c>
      <c r="U306" s="67">
        <v>9.7789947193428523E-4</v>
      </c>
      <c r="V306" s="67">
        <v>4.1315747656125853E-3</v>
      </c>
      <c r="W306" s="68">
        <v>2.3424278191929449E-4</v>
      </c>
    </row>
    <row r="307" spans="1:23" x14ac:dyDescent="0.3">
      <c r="A307" s="44" t="s">
        <v>350</v>
      </c>
      <c r="B307" t="s">
        <v>351</v>
      </c>
      <c r="C307" s="45">
        <v>2015</v>
      </c>
      <c r="D307" s="91">
        <v>5930148</v>
      </c>
      <c r="E307" s="2">
        <v>2872675</v>
      </c>
      <c r="F307" s="5">
        <v>0.48441876998685363</v>
      </c>
      <c r="G307" s="2">
        <v>3057473</v>
      </c>
      <c r="H307" s="78">
        <v>0.51558123001314637</v>
      </c>
      <c r="I307" s="52">
        <v>105615</v>
      </c>
      <c r="J307" s="82">
        <v>1.7809842182690886E-2</v>
      </c>
      <c r="K307" s="59">
        <v>518</v>
      </c>
      <c r="L307" s="60">
        <v>1553</v>
      </c>
      <c r="M307" s="66">
        <v>3.2627846779631524E-4</v>
      </c>
      <c r="N307" s="67">
        <v>7.9920931558378241E-5</v>
      </c>
      <c r="O307" s="67">
        <v>7.5189948607670131E-5</v>
      </c>
      <c r="P307" s="67">
        <v>7.3810906299514819E-5</v>
      </c>
      <c r="Q307" s="67">
        <v>7.7436740635962142E-5</v>
      </c>
      <c r="R307" s="67">
        <v>6.7460830555258854E-5</v>
      </c>
      <c r="S307" s="67">
        <v>9.9598948235106636E-5</v>
      </c>
      <c r="T307" s="67">
        <v>3.8777812000735673E-4</v>
      </c>
      <c r="U307" s="67">
        <v>1.32531481658512E-3</v>
      </c>
      <c r="V307" s="67">
        <v>4.9046063532642145E-3</v>
      </c>
      <c r="W307" s="68">
        <v>2.6188216550413244E-4</v>
      </c>
    </row>
    <row r="308" spans="1:23" x14ac:dyDescent="0.3">
      <c r="A308" s="44" t="s">
        <v>271</v>
      </c>
      <c r="B308" t="s">
        <v>257</v>
      </c>
      <c r="C308" s="45">
        <v>2013</v>
      </c>
      <c r="D308" s="91">
        <v>6010567</v>
      </c>
      <c r="E308" s="2">
        <v>2926162</v>
      </c>
      <c r="F308" s="5">
        <v>0.48683626686134601</v>
      </c>
      <c r="G308" s="2">
        <v>3084406</v>
      </c>
      <c r="H308" s="78">
        <v>0.5131638995123089</v>
      </c>
      <c r="I308" s="52">
        <v>95104</v>
      </c>
      <c r="J308" s="82">
        <v>1.5822800078594913E-2</v>
      </c>
      <c r="K308" s="59">
        <v>597</v>
      </c>
      <c r="L308" s="60">
        <v>1915</v>
      </c>
      <c r="M308" s="66">
        <v>3.1576371401280422E-4</v>
      </c>
      <c r="N308" s="67">
        <v>7.6648909669259951E-5</v>
      </c>
      <c r="O308" s="67">
        <v>7.2347034253909148E-5</v>
      </c>
      <c r="P308" s="67">
        <v>7.6143581413351782E-5</v>
      </c>
      <c r="Q308" s="67">
        <v>8.5159247793373605E-5</v>
      </c>
      <c r="R308" s="67">
        <v>8.7618767238992459E-5</v>
      </c>
      <c r="S308" s="67">
        <v>2.0206343994395398E-4</v>
      </c>
      <c r="T308" s="67">
        <v>5.3090409596723558E-4</v>
      </c>
      <c r="U308" s="67">
        <v>1.6120934465067387E-3</v>
      </c>
      <c r="V308" s="67">
        <v>6.2773384925975777E-3</v>
      </c>
      <c r="W308" s="68">
        <v>3.1860554919361183E-4</v>
      </c>
    </row>
    <row r="309" spans="1:23" x14ac:dyDescent="0.3">
      <c r="A309" s="44" t="s">
        <v>313</v>
      </c>
      <c r="B309" t="s">
        <v>257</v>
      </c>
      <c r="C309" s="45">
        <v>2009</v>
      </c>
      <c r="D309" s="91">
        <v>6056214</v>
      </c>
      <c r="E309" s="2">
        <v>2951304</v>
      </c>
      <c r="F309" s="5">
        <v>0.48731831470948683</v>
      </c>
      <c r="G309" s="2">
        <v>3104910</v>
      </c>
      <c r="H309" s="78">
        <v>0.51268168529051317</v>
      </c>
      <c r="I309" s="52">
        <v>94567</v>
      </c>
      <c r="J309" s="82">
        <v>1.5614870940822104E-2</v>
      </c>
      <c r="K309" s="59">
        <v>554</v>
      </c>
      <c r="L309" s="60">
        <v>1712</v>
      </c>
      <c r="M309" s="66">
        <v>2.9555558292181322E-4</v>
      </c>
      <c r="N309" s="67">
        <v>7.5445695445846344E-5</v>
      </c>
      <c r="O309" s="67">
        <v>7.3566014463078447E-5</v>
      </c>
      <c r="P309" s="67">
        <v>7.3153692249732074E-5</v>
      </c>
      <c r="Q309" s="67">
        <v>6.9678399347810184E-5</v>
      </c>
      <c r="R309" s="67">
        <v>7.50659386028864E-5</v>
      </c>
      <c r="S309" s="67">
        <v>1.8527667984189722E-4</v>
      </c>
      <c r="T309" s="67">
        <v>3.8637614302942312E-4</v>
      </c>
      <c r="U309" s="67">
        <v>1.4418895619402188E-3</v>
      </c>
      <c r="V309" s="67">
        <v>5.8582803726458486E-3</v>
      </c>
      <c r="W309" s="68">
        <v>2.8268485889038926E-4</v>
      </c>
    </row>
    <row r="310" spans="1:23" x14ac:dyDescent="0.3">
      <c r="A310" s="44" t="s">
        <v>403</v>
      </c>
      <c r="B310" t="s">
        <v>391</v>
      </c>
      <c r="C310" s="45">
        <v>2015</v>
      </c>
      <c r="D310" s="91">
        <v>6076034</v>
      </c>
      <c r="E310" s="2">
        <v>2987440</v>
      </c>
      <c r="F310" s="5">
        <v>0.49167598469659651</v>
      </c>
      <c r="G310" s="2">
        <v>3088600</v>
      </c>
      <c r="H310" s="78">
        <v>0.50832500278964865</v>
      </c>
      <c r="I310" s="52">
        <v>112014</v>
      </c>
      <c r="J310" s="82">
        <v>1.843538071050952E-2</v>
      </c>
      <c r="K310" s="59">
        <v>480</v>
      </c>
      <c r="L310" s="60">
        <v>1433</v>
      </c>
      <c r="M310" s="66">
        <v>3.0715282132664422E-4</v>
      </c>
      <c r="N310" s="67">
        <v>7.2728418750840927E-5</v>
      </c>
      <c r="O310" s="67">
        <v>6.8597377979555689E-5</v>
      </c>
      <c r="P310" s="67">
        <v>7.6270281539032593E-5</v>
      </c>
      <c r="Q310" s="67">
        <v>7.832018859501414E-5</v>
      </c>
      <c r="R310" s="67">
        <v>7.1972218723572695E-5</v>
      </c>
      <c r="S310" s="67">
        <v>8.9052442721599805E-5</v>
      </c>
      <c r="T310" s="67">
        <v>2.7993086555896045E-4</v>
      </c>
      <c r="U310" s="67">
        <v>1.0753704710359008E-3</v>
      </c>
      <c r="V310" s="67">
        <v>4.2851786383844874E-3</v>
      </c>
      <c r="W310" s="68">
        <v>2.358446315474864E-4</v>
      </c>
    </row>
    <row r="311" spans="1:23" x14ac:dyDescent="0.3">
      <c r="A311" s="44" t="s">
        <v>437</v>
      </c>
      <c r="B311" t="s">
        <v>391</v>
      </c>
      <c r="C311" s="45">
        <v>2011</v>
      </c>
      <c r="D311" s="91">
        <v>6122183</v>
      </c>
      <c r="E311" s="2">
        <v>3009906</v>
      </c>
      <c r="F311" s="5">
        <v>0.49163933845166014</v>
      </c>
      <c r="G311" s="2">
        <v>3112278</v>
      </c>
      <c r="H311" s="78">
        <v>0.50836082488876921</v>
      </c>
      <c r="I311" s="52">
        <v>104100</v>
      </c>
      <c r="J311" s="82">
        <v>1.7003738699088219E-2</v>
      </c>
      <c r="K311" s="59">
        <v>458</v>
      </c>
      <c r="L311" s="60">
        <v>1362</v>
      </c>
      <c r="M311" s="66">
        <v>2.9025540056454676E-4</v>
      </c>
      <c r="N311" s="67">
        <v>7.085782849098807E-5</v>
      </c>
      <c r="O311" s="67">
        <v>6.768869068637461E-5</v>
      </c>
      <c r="P311" s="67">
        <v>7.6197442813819171E-5</v>
      </c>
      <c r="Q311" s="67">
        <v>7.4001625569041662E-5</v>
      </c>
      <c r="R311" s="67">
        <v>6.7453094804200534E-5</v>
      </c>
      <c r="S311" s="67">
        <v>9.4603772572530732E-5</v>
      </c>
      <c r="T311" s="67">
        <v>2.5760103618211187E-4</v>
      </c>
      <c r="U311" s="67">
        <v>9.5114898797747682E-4</v>
      </c>
      <c r="V311" s="67">
        <v>4.3996157540826131E-3</v>
      </c>
      <c r="W311" s="68">
        <v>2.2246966482380551E-4</v>
      </c>
    </row>
    <row r="312" spans="1:23" x14ac:dyDescent="0.3">
      <c r="A312" s="44" t="s">
        <v>315</v>
      </c>
      <c r="B312" t="s">
        <v>257</v>
      </c>
      <c r="C312" s="45">
        <v>2010</v>
      </c>
      <c r="D312" s="91">
        <v>6137920</v>
      </c>
      <c r="E312" s="2">
        <v>2991101</v>
      </c>
      <c r="F312" s="5">
        <v>0.48731508393722955</v>
      </c>
      <c r="G312" s="2">
        <v>3146820</v>
      </c>
      <c r="H312" s="78">
        <v>0.51268507898441162</v>
      </c>
      <c r="I312" s="52">
        <v>93003</v>
      </c>
      <c r="J312" s="82">
        <v>1.5152201397215995E-2</v>
      </c>
      <c r="K312" s="59">
        <v>535</v>
      </c>
      <c r="L312" s="60">
        <v>1722</v>
      </c>
      <c r="M312" s="66">
        <v>3.0201063580789105E-4</v>
      </c>
      <c r="N312" s="67">
        <v>7.3828707554645542E-5</v>
      </c>
      <c r="O312" s="67">
        <v>7.1718776334238181E-5</v>
      </c>
      <c r="P312" s="67">
        <v>7.4289973577532727E-5</v>
      </c>
      <c r="Q312" s="67">
        <v>6.9842319323740098E-5</v>
      </c>
      <c r="R312" s="67">
        <v>6.7058287063115256E-5</v>
      </c>
      <c r="S312" s="67">
        <v>1.7128919096689324E-4</v>
      </c>
      <c r="T312" s="67">
        <v>4.6465612112184441E-4</v>
      </c>
      <c r="U312" s="67">
        <v>1.4434202481289713E-3</v>
      </c>
      <c r="V312" s="67">
        <v>5.752502607442771E-3</v>
      </c>
      <c r="W312" s="68">
        <v>2.8055106615922006E-4</v>
      </c>
    </row>
    <row r="313" spans="1:23" x14ac:dyDescent="0.3">
      <c r="A313" s="44" t="s">
        <v>304</v>
      </c>
      <c r="B313" t="s">
        <v>257</v>
      </c>
      <c r="C313" s="45">
        <v>2012</v>
      </c>
      <c r="D313" s="91">
        <v>6144855</v>
      </c>
      <c r="E313" s="2">
        <v>2993023</v>
      </c>
      <c r="F313" s="5">
        <v>0.48707788873781399</v>
      </c>
      <c r="G313" s="2">
        <v>3151834</v>
      </c>
      <c r="H313" s="78">
        <v>0.51292243673772608</v>
      </c>
      <c r="I313" s="52">
        <v>95450</v>
      </c>
      <c r="J313" s="82">
        <v>1.553332015157396E-2</v>
      </c>
      <c r="K313" s="59">
        <v>630</v>
      </c>
      <c r="L313" s="60">
        <v>1799</v>
      </c>
      <c r="M313" s="66">
        <v>3.0409848736344077E-4</v>
      </c>
      <c r="N313" s="67">
        <v>7.4297700981472626E-5</v>
      </c>
      <c r="O313" s="67">
        <v>7.1276768881513064E-5</v>
      </c>
      <c r="P313" s="67">
        <v>7.4632435256362419E-5</v>
      </c>
      <c r="Q313" s="67">
        <v>7.2244591288265551E-5</v>
      </c>
      <c r="R313" s="67">
        <v>6.766815536608472E-5</v>
      </c>
      <c r="S313" s="67">
        <v>1.5558189606865644E-4</v>
      </c>
      <c r="T313" s="67">
        <v>4.5898657464269171E-4</v>
      </c>
      <c r="U313" s="67">
        <v>1.3760809988409908E-3</v>
      </c>
      <c r="V313" s="67">
        <v>6.6003143006809848E-3</v>
      </c>
      <c r="W313" s="68">
        <v>2.9276524832563177E-4</v>
      </c>
    </row>
    <row r="314" spans="1:23" x14ac:dyDescent="0.3">
      <c r="A314" s="44" t="s">
        <v>283</v>
      </c>
      <c r="B314" t="s">
        <v>257</v>
      </c>
      <c r="C314" s="45">
        <v>2016</v>
      </c>
      <c r="D314" s="91">
        <v>6148835</v>
      </c>
      <c r="E314" s="2">
        <v>2994886</v>
      </c>
      <c r="F314" s="5">
        <v>0.48706559860526427</v>
      </c>
      <c r="G314" s="2">
        <v>3153950</v>
      </c>
      <c r="H314" s="78">
        <v>0.51293456402716942</v>
      </c>
      <c r="I314" s="52">
        <v>100463</v>
      </c>
      <c r="J314" s="82">
        <v>1.6338542179128241E-2</v>
      </c>
      <c r="K314" s="59">
        <v>519</v>
      </c>
      <c r="L314" s="60">
        <v>1897</v>
      </c>
      <c r="M314" s="66">
        <v>3.154109805076014E-4</v>
      </c>
      <c r="N314" s="67">
        <v>7.5961193958046632E-5</v>
      </c>
      <c r="O314" s="67">
        <v>7.2117204881373207E-5</v>
      </c>
      <c r="P314" s="67">
        <v>7.3433749906677947E-5</v>
      </c>
      <c r="Q314" s="67">
        <v>7.6015182765837766E-5</v>
      </c>
      <c r="R314" s="67">
        <v>9.7536141898433944E-5</v>
      </c>
      <c r="S314" s="67">
        <v>2.321592587142183E-4</v>
      </c>
      <c r="T314" s="67">
        <v>5.1900174355034136E-4</v>
      </c>
      <c r="U314" s="67">
        <v>1.5221768606949551E-3</v>
      </c>
      <c r="V314" s="67">
        <v>5.1660810447627485E-3</v>
      </c>
      <c r="W314" s="68">
        <v>3.0851372658397891E-4</v>
      </c>
    </row>
    <row r="315" spans="1:23" x14ac:dyDescent="0.3">
      <c r="A315" s="44" t="s">
        <v>273</v>
      </c>
      <c r="B315" t="s">
        <v>257</v>
      </c>
      <c r="C315" s="45">
        <v>2014</v>
      </c>
      <c r="D315" s="91">
        <v>6158334</v>
      </c>
      <c r="E315" s="2">
        <v>2997965</v>
      </c>
      <c r="F315" s="5">
        <v>0.48681429100792517</v>
      </c>
      <c r="G315" s="2">
        <v>3160371</v>
      </c>
      <c r="H315" s="78">
        <v>0.5131860337552332</v>
      </c>
      <c r="I315" s="52">
        <v>100935</v>
      </c>
      <c r="J315" s="82">
        <v>1.6389984693912348E-2</v>
      </c>
      <c r="K315" s="59">
        <v>582</v>
      </c>
      <c r="L315" s="60">
        <v>1955</v>
      </c>
      <c r="M315" s="66">
        <v>3.1071017990119416E-4</v>
      </c>
      <c r="N315" s="67">
        <v>7.485506188642242E-5</v>
      </c>
      <c r="O315" s="67">
        <v>7.1424064910190191E-5</v>
      </c>
      <c r="P315" s="67">
        <v>7.4349626640958215E-5</v>
      </c>
      <c r="Q315" s="67">
        <v>8.8109225656413727E-5</v>
      </c>
      <c r="R315" s="67">
        <v>1.2055622788836493E-4</v>
      </c>
      <c r="S315" s="67">
        <v>2.2107827070520113E-4</v>
      </c>
      <c r="T315" s="67">
        <v>5.0775662454459957E-4</v>
      </c>
      <c r="U315" s="67">
        <v>1.5216283283294456E-3</v>
      </c>
      <c r="V315" s="67">
        <v>5.7660870857482536E-3</v>
      </c>
      <c r="W315" s="68">
        <v>3.1745598728487285E-4</v>
      </c>
    </row>
    <row r="316" spans="1:23" x14ac:dyDescent="0.3">
      <c r="A316" s="44" t="s">
        <v>449</v>
      </c>
      <c r="B316" t="s">
        <v>391</v>
      </c>
      <c r="C316" s="45">
        <v>2012</v>
      </c>
      <c r="D316" s="91">
        <v>6195837</v>
      </c>
      <c r="E316" s="2">
        <v>3046882</v>
      </c>
      <c r="F316" s="5">
        <v>0.4917627755539728</v>
      </c>
      <c r="G316" s="2">
        <v>3148957</v>
      </c>
      <c r="H316" s="78">
        <v>0.50823754724341519</v>
      </c>
      <c r="I316" s="52">
        <v>107664</v>
      </c>
      <c r="J316" s="82">
        <v>1.7376828990175178E-2</v>
      </c>
      <c r="K316" s="59">
        <v>472</v>
      </c>
      <c r="L316" s="60">
        <v>1336</v>
      </c>
      <c r="M316" s="66">
        <v>2.9094435689174447E-4</v>
      </c>
      <c r="N316" s="67">
        <v>7.0456109366670035E-5</v>
      </c>
      <c r="O316" s="67">
        <v>6.7040679166773746E-5</v>
      </c>
      <c r="P316" s="67">
        <v>7.5506554598160411E-5</v>
      </c>
      <c r="Q316" s="67">
        <v>7.4494554448069849E-5</v>
      </c>
      <c r="R316" s="67">
        <v>6.7190378337822021E-5</v>
      </c>
      <c r="S316" s="67">
        <v>8.1609114105863346E-5</v>
      </c>
      <c r="T316" s="67">
        <v>1.8396302343229011E-4</v>
      </c>
      <c r="U316" s="67">
        <v>9.197308656401364E-4</v>
      </c>
      <c r="V316" s="67">
        <v>4.3840095110714815E-3</v>
      </c>
      <c r="W316" s="68">
        <v>2.1562865517604803E-4</v>
      </c>
    </row>
    <row r="317" spans="1:23" x14ac:dyDescent="0.3">
      <c r="A317" s="44" t="s">
        <v>446</v>
      </c>
      <c r="B317" t="s">
        <v>391</v>
      </c>
      <c r="C317" s="45">
        <v>2016</v>
      </c>
      <c r="D317" s="91">
        <v>6207592</v>
      </c>
      <c r="E317" s="2">
        <v>3052348</v>
      </c>
      <c r="F317" s="5">
        <v>0.49171208417048029</v>
      </c>
      <c r="G317" s="2">
        <v>3155249</v>
      </c>
      <c r="H317" s="78">
        <v>0.50828872129482738</v>
      </c>
      <c r="I317" s="52">
        <v>116858</v>
      </c>
      <c r="J317" s="82">
        <v>1.8825012984100758E-2</v>
      </c>
      <c r="K317" s="59">
        <v>387</v>
      </c>
      <c r="L317" s="60">
        <v>1342</v>
      </c>
      <c r="M317" s="66">
        <v>3.0028301674328052E-4</v>
      </c>
      <c r="N317" s="67">
        <v>7.1415733600269473E-5</v>
      </c>
      <c r="O317" s="67">
        <v>6.7350045124530235E-5</v>
      </c>
      <c r="P317" s="67">
        <v>7.4705008597301403E-5</v>
      </c>
      <c r="Q317" s="67">
        <v>7.7822929488534739E-5</v>
      </c>
      <c r="R317" s="67">
        <v>8.2923522879681575E-5</v>
      </c>
      <c r="S317" s="67">
        <v>1.1286710342431183E-4</v>
      </c>
      <c r="T317" s="67">
        <v>2.9456429363283358E-4</v>
      </c>
      <c r="U317" s="67">
        <v>8.6930114261853238E-4</v>
      </c>
      <c r="V317" s="67">
        <v>3.3117116500367967E-3</v>
      </c>
      <c r="W317" s="68">
        <v>2.1618688857128496E-4</v>
      </c>
    </row>
    <row r="318" spans="1:23" x14ac:dyDescent="0.3">
      <c r="A318" s="44" t="s">
        <v>308</v>
      </c>
      <c r="B318" t="s">
        <v>257</v>
      </c>
      <c r="C318" s="45">
        <v>2011</v>
      </c>
      <c r="D318" s="91">
        <v>6223260</v>
      </c>
      <c r="E318" s="2">
        <v>3033778</v>
      </c>
      <c r="F318" s="5">
        <v>0.48749015789152311</v>
      </c>
      <c r="G318" s="2">
        <v>3189483</v>
      </c>
      <c r="H318" s="78">
        <v>0.51251000279596226</v>
      </c>
      <c r="I318" s="52">
        <v>97093</v>
      </c>
      <c r="J318" s="82">
        <v>1.560163001385126E-2</v>
      </c>
      <c r="K318" s="59">
        <v>550</v>
      </c>
      <c r="L318" s="60">
        <v>1806</v>
      </c>
      <c r="M318" s="66">
        <v>2.9817368617219528E-4</v>
      </c>
      <c r="N318" s="67">
        <v>7.3119369808524748E-5</v>
      </c>
      <c r="O318" s="67">
        <v>7.0578354324512209E-5</v>
      </c>
      <c r="P318" s="67">
        <v>7.3626316990745166E-5</v>
      </c>
      <c r="Q318" s="67">
        <v>7.0231870520523503E-5</v>
      </c>
      <c r="R318" s="67">
        <v>8.5276417415880901E-5</v>
      </c>
      <c r="S318" s="67">
        <v>1.5529022016702327E-4</v>
      </c>
      <c r="T318" s="67">
        <v>5.0783048790459674E-4</v>
      </c>
      <c r="U318" s="67">
        <v>1.5459952630095882E-3</v>
      </c>
      <c r="V318" s="67">
        <v>5.6646720154903034E-3</v>
      </c>
      <c r="W318" s="68">
        <v>2.9020159851910415E-4</v>
      </c>
    </row>
    <row r="319" spans="1:23" x14ac:dyDescent="0.3">
      <c r="A319" s="44" t="s">
        <v>419</v>
      </c>
      <c r="B319" t="s">
        <v>391</v>
      </c>
      <c r="C319" s="45">
        <v>2014</v>
      </c>
      <c r="D319" s="91">
        <v>6228563</v>
      </c>
      <c r="E319" s="2">
        <v>3062410</v>
      </c>
      <c r="F319" s="5">
        <v>0.49167199561118674</v>
      </c>
      <c r="G319" s="2">
        <v>3166157</v>
      </c>
      <c r="H319" s="78">
        <v>0.50832864659151722</v>
      </c>
      <c r="I319" s="52">
        <v>115193</v>
      </c>
      <c r="J319" s="82">
        <v>1.8494314017535023E-2</v>
      </c>
      <c r="K319" s="59">
        <v>455</v>
      </c>
      <c r="L319" s="60">
        <v>1427</v>
      </c>
      <c r="M319" s="66">
        <v>2.955737826054829E-4</v>
      </c>
      <c r="N319" s="67">
        <v>7.0337832610025956E-5</v>
      </c>
      <c r="O319" s="67">
        <v>6.6995016687342078E-5</v>
      </c>
      <c r="P319" s="67">
        <v>7.5029542882509986E-5</v>
      </c>
      <c r="Q319" s="67">
        <v>8.4701194413260922E-5</v>
      </c>
      <c r="R319" s="67">
        <v>6.890200068442654E-5</v>
      </c>
      <c r="S319" s="67">
        <v>1.3640579815579361E-4</v>
      </c>
      <c r="T319" s="67">
        <v>2.7935662021467484E-4</v>
      </c>
      <c r="U319" s="67">
        <v>9.541766219094219E-4</v>
      </c>
      <c r="V319" s="67">
        <v>3.9498927886243091E-3</v>
      </c>
      <c r="W319" s="68">
        <v>2.2910581461566657E-4</v>
      </c>
    </row>
    <row r="320" spans="1:23" x14ac:dyDescent="0.3">
      <c r="A320" s="44" t="s">
        <v>256</v>
      </c>
      <c r="B320" t="s">
        <v>257</v>
      </c>
      <c r="C320" s="45">
        <v>2015</v>
      </c>
      <c r="D320" s="91">
        <v>6231987</v>
      </c>
      <c r="E320" s="2">
        <v>3034624</v>
      </c>
      <c r="F320" s="5">
        <v>0.48694324940023143</v>
      </c>
      <c r="G320" s="2">
        <v>3197365</v>
      </c>
      <c r="H320" s="78">
        <v>0.51305707152469993</v>
      </c>
      <c r="I320" s="52">
        <v>102597</v>
      </c>
      <c r="J320" s="82">
        <v>1.6462967589630721E-2</v>
      </c>
      <c r="K320" s="59">
        <v>645</v>
      </c>
      <c r="L320" s="60">
        <v>2055</v>
      </c>
      <c r="M320" s="66">
        <v>3.1022982859801971E-4</v>
      </c>
      <c r="N320" s="67">
        <v>7.4370177558798916E-5</v>
      </c>
      <c r="O320" s="67">
        <v>7.1136825756273382E-5</v>
      </c>
      <c r="P320" s="67">
        <v>7.3251755295186265E-5</v>
      </c>
      <c r="Q320" s="67">
        <v>7.4251728208974069E-5</v>
      </c>
      <c r="R320" s="67">
        <v>8.8998306720527981E-5</v>
      </c>
      <c r="S320" s="67">
        <v>1.5034240482699347E-4</v>
      </c>
      <c r="T320" s="67">
        <v>5.8178521169992726E-4</v>
      </c>
      <c r="U320" s="67">
        <v>1.7875703049558083E-3</v>
      </c>
      <c r="V320" s="67">
        <v>6.2867335302201821E-3</v>
      </c>
      <c r="W320" s="68">
        <v>3.2975036693754336E-4</v>
      </c>
    </row>
    <row r="321" spans="1:23" x14ac:dyDescent="0.3">
      <c r="A321" s="44" t="s">
        <v>497</v>
      </c>
      <c r="B321" t="s">
        <v>445</v>
      </c>
      <c r="C321" s="45">
        <v>2010</v>
      </c>
      <c r="D321" s="91">
        <v>6246652</v>
      </c>
      <c r="E321" s="2">
        <v>3107925</v>
      </c>
      <c r="F321" s="5">
        <v>0.49753451929129394</v>
      </c>
      <c r="G321" s="2">
        <v>3138727</v>
      </c>
      <c r="H321" s="78">
        <v>0.502465480708706</v>
      </c>
      <c r="I321" s="52">
        <v>94393</v>
      </c>
      <c r="J321" s="82">
        <v>1.5110974646898851E-2</v>
      </c>
      <c r="K321" s="59">
        <v>295</v>
      </c>
      <c r="L321" s="60">
        <v>1156</v>
      </c>
      <c r="M321" s="66">
        <v>2.5938542945580934E-4</v>
      </c>
      <c r="N321" s="67">
        <v>6.8178409261355108E-5</v>
      </c>
      <c r="O321" s="67">
        <v>6.778933334839763E-5</v>
      </c>
      <c r="P321" s="67">
        <v>7.04022904211817E-5</v>
      </c>
      <c r="Q321" s="67">
        <v>7.234764490328929E-5</v>
      </c>
      <c r="R321" s="67">
        <v>7.3383992749661515E-5</v>
      </c>
      <c r="S321" s="67">
        <v>1.1134389146900684E-4</v>
      </c>
      <c r="T321" s="67">
        <v>2.0065737099584944E-4</v>
      </c>
      <c r="U321" s="67">
        <v>7.7028507780602562E-4</v>
      </c>
      <c r="V321" s="67">
        <v>3.1252317438793132E-3</v>
      </c>
      <c r="W321" s="68">
        <v>1.8505913247608479E-4</v>
      </c>
    </row>
    <row r="322" spans="1:23" x14ac:dyDescent="0.3">
      <c r="A322" s="44" t="s">
        <v>512</v>
      </c>
      <c r="B322" t="s">
        <v>445</v>
      </c>
      <c r="C322" s="45">
        <v>2011</v>
      </c>
      <c r="D322" s="91">
        <v>6257657</v>
      </c>
      <c r="E322" s="2">
        <v>3112908</v>
      </c>
      <c r="F322" s="5">
        <v>0.49745583690509082</v>
      </c>
      <c r="G322" s="2">
        <v>3144750</v>
      </c>
      <c r="H322" s="78">
        <v>0.50254432289912987</v>
      </c>
      <c r="I322" s="52">
        <v>96550</v>
      </c>
      <c r="J322" s="82">
        <v>1.542909750406582E-2</v>
      </c>
      <c r="K322" s="59">
        <v>269</v>
      </c>
      <c r="L322" s="60">
        <v>1107</v>
      </c>
      <c r="M322" s="66">
        <v>2.6449370394778893E-4</v>
      </c>
      <c r="N322" s="67">
        <v>6.8768460033490241E-5</v>
      </c>
      <c r="O322" s="67">
        <v>6.7687316186631975E-5</v>
      </c>
      <c r="P322" s="67">
        <v>7.0435183783003287E-5</v>
      </c>
      <c r="Q322" s="67">
        <v>7.3209300509536726E-5</v>
      </c>
      <c r="R322" s="67">
        <v>7.938582242490712E-5</v>
      </c>
      <c r="S322" s="67">
        <v>8.6050990948869936E-5</v>
      </c>
      <c r="T322" s="67">
        <v>1.9945915076592313E-4</v>
      </c>
      <c r="U322" s="67">
        <v>7.0621972707104281E-4</v>
      </c>
      <c r="V322" s="67">
        <v>2.7861211807353702E-3</v>
      </c>
      <c r="W322" s="68">
        <v>1.7690327226308505E-4</v>
      </c>
    </row>
    <row r="323" spans="1:23" x14ac:dyDescent="0.3">
      <c r="A323" s="44" t="s">
        <v>399</v>
      </c>
      <c r="B323" t="s">
        <v>391</v>
      </c>
      <c r="C323" s="45">
        <v>2013</v>
      </c>
      <c r="D323" s="91">
        <v>6295459</v>
      </c>
      <c r="E323" s="2">
        <v>3098019</v>
      </c>
      <c r="F323" s="5">
        <v>0.49210375287965502</v>
      </c>
      <c r="G323" s="2">
        <v>3197443</v>
      </c>
      <c r="H323" s="78">
        <v>0.50789672365430383</v>
      </c>
      <c r="I323" s="52">
        <v>112538</v>
      </c>
      <c r="J323" s="82">
        <v>1.7876059553401904E-2</v>
      </c>
      <c r="K323" s="59">
        <v>532</v>
      </c>
      <c r="L323" s="60">
        <v>1492</v>
      </c>
      <c r="M323" s="66">
        <v>2.8896305607328105E-4</v>
      </c>
      <c r="N323" s="67">
        <v>6.9193697376751615E-5</v>
      </c>
      <c r="O323" s="67">
        <v>6.6182796884996356E-5</v>
      </c>
      <c r="P323" s="67">
        <v>7.4057799644028848E-5</v>
      </c>
      <c r="Q323" s="67">
        <v>7.4210676690055399E-5</v>
      </c>
      <c r="R323" s="67">
        <v>6.6946876537686068E-5</v>
      </c>
      <c r="S323" s="67">
        <v>1.2406753452995383E-4</v>
      </c>
      <c r="T323" s="67">
        <v>2.6500771834979696E-4</v>
      </c>
      <c r="U323" s="67">
        <v>1.0046631535049475E-3</v>
      </c>
      <c r="V323" s="67">
        <v>4.7272921146634915E-3</v>
      </c>
      <c r="W323" s="68">
        <v>2.3699622219761895E-4</v>
      </c>
    </row>
    <row r="324" spans="1:23" x14ac:dyDescent="0.3">
      <c r="A324" s="44" t="s">
        <v>275</v>
      </c>
      <c r="B324" t="s">
        <v>257</v>
      </c>
      <c r="C324" s="45">
        <v>2017</v>
      </c>
      <c r="D324" s="91">
        <v>6296816</v>
      </c>
      <c r="E324" s="2">
        <v>3072080</v>
      </c>
      <c r="F324" s="5">
        <v>0.48787831818493665</v>
      </c>
      <c r="G324" s="2">
        <v>3224740</v>
      </c>
      <c r="H324" s="78">
        <v>0.51212231705674738</v>
      </c>
      <c r="I324" s="52">
        <v>105881</v>
      </c>
      <c r="J324" s="82">
        <v>1.6815006187254004E-2</v>
      </c>
      <c r="K324" s="59">
        <v>545</v>
      </c>
      <c r="L324" s="60">
        <v>1996</v>
      </c>
      <c r="M324" s="66">
        <v>3.0957515968918655E-4</v>
      </c>
      <c r="N324" s="67">
        <v>7.4714497227469529E-5</v>
      </c>
      <c r="O324" s="67">
        <v>7.0919303288764494E-5</v>
      </c>
      <c r="P324" s="67">
        <v>7.0842100043213687E-5</v>
      </c>
      <c r="Q324" s="67">
        <v>7.4810169195665992E-5</v>
      </c>
      <c r="R324" s="67">
        <v>1.0345164047263293E-4</v>
      </c>
      <c r="S324" s="67">
        <v>2.0594528268148157E-4</v>
      </c>
      <c r="T324" s="67">
        <v>5.9623434663684906E-4</v>
      </c>
      <c r="U324" s="67">
        <v>1.575945118339478E-3</v>
      </c>
      <c r="V324" s="67">
        <v>5.1472879931243566E-3</v>
      </c>
      <c r="W324" s="68">
        <v>3.1698560034150593E-4</v>
      </c>
    </row>
    <row r="325" spans="1:23" x14ac:dyDescent="0.3">
      <c r="A325" s="44" t="s">
        <v>444</v>
      </c>
      <c r="B325" t="s">
        <v>445</v>
      </c>
      <c r="C325" s="45">
        <v>2009</v>
      </c>
      <c r="D325" s="91">
        <v>6324865</v>
      </c>
      <c r="E325" s="2">
        <v>3169300</v>
      </c>
      <c r="F325" s="5">
        <v>0.50108579392603636</v>
      </c>
      <c r="G325" s="2">
        <v>3155565</v>
      </c>
      <c r="H325" s="78">
        <v>0.49891420607396364</v>
      </c>
      <c r="I325" s="52">
        <v>96577</v>
      </c>
      <c r="J325" s="82">
        <v>1.5269416817592155E-2</v>
      </c>
      <c r="K325" s="59">
        <v>350</v>
      </c>
      <c r="L325" s="60">
        <v>1373</v>
      </c>
      <c r="M325" s="66">
        <v>2.3975018031211477E-4</v>
      </c>
      <c r="N325" s="67">
        <v>6.6648153290752572E-5</v>
      </c>
      <c r="O325" s="67">
        <v>6.9904242838019048E-5</v>
      </c>
      <c r="P325" s="67">
        <v>6.5254558030878459E-5</v>
      </c>
      <c r="Q325" s="67">
        <v>7.5683391920041085E-5</v>
      </c>
      <c r="R325" s="67">
        <v>1.0002427418361286E-4</v>
      </c>
      <c r="S325" s="67">
        <v>1.1813512203204684E-4</v>
      </c>
      <c r="T325" s="67">
        <v>3.8090731649612585E-4</v>
      </c>
      <c r="U325" s="67">
        <v>9.4286189108249362E-4</v>
      </c>
      <c r="V325" s="67">
        <v>3.6240512751483274E-3</v>
      </c>
      <c r="W325" s="68">
        <v>2.1707973213657526E-4</v>
      </c>
    </row>
    <row r="326" spans="1:23" x14ac:dyDescent="0.3">
      <c r="A326" s="44" t="s">
        <v>395</v>
      </c>
      <c r="B326" t="s">
        <v>391</v>
      </c>
      <c r="C326" s="45">
        <v>2009</v>
      </c>
      <c r="D326" s="91">
        <v>6342469</v>
      </c>
      <c r="E326" s="2">
        <v>3120257</v>
      </c>
      <c r="F326" s="5">
        <v>0.4919625149133563</v>
      </c>
      <c r="G326" s="2">
        <v>3222214</v>
      </c>
      <c r="H326" s="78">
        <v>0.50803780042125546</v>
      </c>
      <c r="I326" s="52">
        <v>108382</v>
      </c>
      <c r="J326" s="82">
        <v>1.7088297948322648E-2</v>
      </c>
      <c r="K326" s="59">
        <v>537</v>
      </c>
      <c r="L326" s="60">
        <v>1516</v>
      </c>
      <c r="M326" s="66">
        <v>2.7176313125479832E-4</v>
      </c>
      <c r="N326" s="67">
        <v>6.8769011766377916E-5</v>
      </c>
      <c r="O326" s="67">
        <v>6.6003260561071713E-5</v>
      </c>
      <c r="P326" s="67">
        <v>7.2560690971273223E-5</v>
      </c>
      <c r="Q326" s="67">
        <v>6.8271424426377802E-5</v>
      </c>
      <c r="R326" s="67">
        <v>6.4895734187072772E-5</v>
      </c>
      <c r="S326" s="67">
        <v>1.2358297579082199E-4</v>
      </c>
      <c r="T326" s="67">
        <v>2.8609597792696797E-4</v>
      </c>
      <c r="U326" s="67">
        <v>1.0648401300831726E-3</v>
      </c>
      <c r="V326" s="67">
        <v>4.9546972744551679E-3</v>
      </c>
      <c r="W326" s="68">
        <v>2.3902363574816054E-4</v>
      </c>
    </row>
    <row r="327" spans="1:23" x14ac:dyDescent="0.3">
      <c r="A327" s="44" t="s">
        <v>519</v>
      </c>
      <c r="B327" t="s">
        <v>445</v>
      </c>
      <c r="C327" s="45">
        <v>2012</v>
      </c>
      <c r="D327" s="91">
        <v>6410186</v>
      </c>
      <c r="E327" s="2">
        <v>3188406</v>
      </c>
      <c r="F327" s="5">
        <v>0.49739679940644466</v>
      </c>
      <c r="G327" s="2">
        <v>3221781</v>
      </c>
      <c r="H327" s="78">
        <v>0.50260335659526889</v>
      </c>
      <c r="I327" s="52">
        <v>103884</v>
      </c>
      <c r="J327" s="82">
        <v>1.6206082007604771E-2</v>
      </c>
      <c r="K327" s="59">
        <v>273</v>
      </c>
      <c r="L327" s="60">
        <v>1103</v>
      </c>
      <c r="M327" s="66">
        <v>2.6304886790343477E-4</v>
      </c>
      <c r="N327" s="67">
        <v>6.6617443777653178E-5</v>
      </c>
      <c r="O327" s="67">
        <v>6.614048238458486E-5</v>
      </c>
      <c r="P327" s="67">
        <v>6.9317682940918228E-5</v>
      </c>
      <c r="Q327" s="67">
        <v>7.2632014739456853E-5</v>
      </c>
      <c r="R327" s="67">
        <v>7.2007892064970317E-5</v>
      </c>
      <c r="S327" s="67">
        <v>9.1004106215580451E-5</v>
      </c>
      <c r="T327" s="67">
        <v>1.6002624430406587E-4</v>
      </c>
      <c r="U327" s="67">
        <v>7.1978745099976363E-4</v>
      </c>
      <c r="V327" s="67">
        <v>2.6279311539794386E-3</v>
      </c>
      <c r="W327" s="68">
        <v>1.7206989001567193E-4</v>
      </c>
    </row>
    <row r="328" spans="1:23" x14ac:dyDescent="0.3">
      <c r="A328" s="44" t="s">
        <v>390</v>
      </c>
      <c r="B328" t="s">
        <v>391</v>
      </c>
      <c r="C328" s="45">
        <v>2010</v>
      </c>
      <c r="D328" s="91">
        <v>6416963</v>
      </c>
      <c r="E328" s="2">
        <v>3155070</v>
      </c>
      <c r="F328" s="5">
        <v>0.4916765142638348</v>
      </c>
      <c r="G328" s="2">
        <v>3261894</v>
      </c>
      <c r="H328" s="78">
        <v>0.50832364157312426</v>
      </c>
      <c r="I328" s="52">
        <v>107898</v>
      </c>
      <c r="J328" s="82">
        <v>1.6814496203266249E-2</v>
      </c>
      <c r="K328" s="59">
        <v>549</v>
      </c>
      <c r="L328" s="60">
        <v>1544</v>
      </c>
      <c r="M328" s="66">
        <v>2.762977937621168E-4</v>
      </c>
      <c r="N328" s="67">
        <v>6.7230657179673925E-5</v>
      </c>
      <c r="O328" s="67">
        <v>6.4833814724407656E-5</v>
      </c>
      <c r="P328" s="67">
        <v>7.3019438991650228E-5</v>
      </c>
      <c r="Q328" s="67">
        <v>6.9152307958278105E-5</v>
      </c>
      <c r="R328" s="67">
        <v>6.930531550445206E-5</v>
      </c>
      <c r="S328" s="67">
        <v>1.1487968774870415E-4</v>
      </c>
      <c r="T328" s="67">
        <v>2.6999411133533035E-4</v>
      </c>
      <c r="U328" s="67">
        <v>1.1133864131057396E-3</v>
      </c>
      <c r="V328" s="67">
        <v>5.0881387977534335E-3</v>
      </c>
      <c r="W328" s="68">
        <v>2.406122647115154E-4</v>
      </c>
    </row>
    <row r="329" spans="1:23" x14ac:dyDescent="0.3">
      <c r="A329" s="44" t="s">
        <v>424</v>
      </c>
      <c r="B329" t="s">
        <v>391</v>
      </c>
      <c r="C329" s="45">
        <v>2017</v>
      </c>
      <c r="D329" s="91">
        <v>6426240</v>
      </c>
      <c r="E329" s="2">
        <v>3165235</v>
      </c>
      <c r="F329" s="5">
        <v>0.49254851981874315</v>
      </c>
      <c r="G329" s="2">
        <v>3261011</v>
      </c>
      <c r="H329" s="78">
        <v>0.50745241385320183</v>
      </c>
      <c r="I329" s="52">
        <v>123264</v>
      </c>
      <c r="J329" s="82">
        <v>1.9181356438601731E-2</v>
      </c>
      <c r="K329" s="59">
        <v>456</v>
      </c>
      <c r="L329" s="60">
        <v>1469</v>
      </c>
      <c r="M329" s="66">
        <v>2.9575881854210619E-4</v>
      </c>
      <c r="N329" s="67">
        <v>6.9949391615166433E-5</v>
      </c>
      <c r="O329" s="67">
        <v>6.5180550123843041E-5</v>
      </c>
      <c r="P329" s="67">
        <v>7.2343719479993346E-5</v>
      </c>
      <c r="Q329" s="67">
        <v>7.5257757820535329E-5</v>
      </c>
      <c r="R329" s="67">
        <v>7.6667126669426687E-5</v>
      </c>
      <c r="S329" s="67">
        <v>1.0529832103642595E-4</v>
      </c>
      <c r="T329" s="67">
        <v>3.0415419327247794E-4</v>
      </c>
      <c r="U329" s="67">
        <v>1.0005292654810152E-3</v>
      </c>
      <c r="V329" s="67">
        <v>3.6993769470404984E-3</v>
      </c>
      <c r="W329" s="68">
        <v>2.2859401454038443E-4</v>
      </c>
    </row>
    <row r="330" spans="1:23" x14ac:dyDescent="0.3">
      <c r="A330" s="44" t="s">
        <v>516</v>
      </c>
      <c r="B330" t="s">
        <v>463</v>
      </c>
      <c r="C330" s="45">
        <v>2009</v>
      </c>
      <c r="D330" s="91">
        <v>6465755</v>
      </c>
      <c r="E330" s="2">
        <v>3223849</v>
      </c>
      <c r="F330" s="5">
        <v>0.49860364334868856</v>
      </c>
      <c r="G330" s="2">
        <v>3241906</v>
      </c>
      <c r="H330" s="78">
        <v>0.50139635665131144</v>
      </c>
      <c r="I330" s="52">
        <v>103099</v>
      </c>
      <c r="J330" s="82">
        <v>1.5945392301440434E-2</v>
      </c>
      <c r="K330" s="59">
        <v>320</v>
      </c>
      <c r="L330" s="60">
        <v>1126</v>
      </c>
      <c r="M330" s="66">
        <v>2.7807838566227844E-4</v>
      </c>
      <c r="N330" s="67">
        <v>7.1076909955032015E-5</v>
      </c>
      <c r="O330" s="67">
        <v>6.6628392356835023E-5</v>
      </c>
      <c r="P330" s="67">
        <v>6.7004144206319165E-5</v>
      </c>
      <c r="Q330" s="67">
        <v>6.5060821024187442E-5</v>
      </c>
      <c r="R330" s="67">
        <v>8.5313269296987827E-5</v>
      </c>
      <c r="S330" s="67">
        <v>9.8865752497037416E-5</v>
      </c>
      <c r="T330" s="67">
        <v>1.8984575032785861E-4</v>
      </c>
      <c r="U330" s="67">
        <v>6.0340808018274645E-4</v>
      </c>
      <c r="V330" s="67">
        <v>3.1038128400857428E-3</v>
      </c>
      <c r="W330" s="68">
        <v>1.7414826265455465E-4</v>
      </c>
    </row>
    <row r="331" spans="1:23" x14ac:dyDescent="0.3">
      <c r="A331" s="44" t="s">
        <v>502</v>
      </c>
      <c r="B331" t="s">
        <v>445</v>
      </c>
      <c r="C331" s="45">
        <v>2013</v>
      </c>
      <c r="D331" s="91">
        <v>6470992</v>
      </c>
      <c r="E331" s="2">
        <v>3217196</v>
      </c>
      <c r="F331" s="5">
        <v>0.49717199464935208</v>
      </c>
      <c r="G331" s="2">
        <v>3253796</v>
      </c>
      <c r="H331" s="78">
        <v>0.50282800535064798</v>
      </c>
      <c r="I331" s="52">
        <v>106947</v>
      </c>
      <c r="J331" s="82">
        <v>1.6527141433647266E-2</v>
      </c>
      <c r="K331" s="59">
        <v>348</v>
      </c>
      <c r="L331" s="60">
        <v>1178</v>
      </c>
      <c r="M331" s="66">
        <v>2.6857954990543761E-4</v>
      </c>
      <c r="N331" s="67">
        <v>6.6448714881854178E-5</v>
      </c>
      <c r="O331" s="67">
        <v>6.5547551471214791E-5</v>
      </c>
      <c r="P331" s="67">
        <v>6.9355582604232777E-5</v>
      </c>
      <c r="Q331" s="67">
        <v>7.2370682636463971E-5</v>
      </c>
      <c r="R331" s="67">
        <v>7.1602634022230235E-5</v>
      </c>
      <c r="S331" s="67">
        <v>8.7071374414947336E-5</v>
      </c>
      <c r="T331" s="67">
        <v>1.6674214275022218E-4</v>
      </c>
      <c r="U331" s="67">
        <v>6.7671549094506578E-4</v>
      </c>
      <c r="V331" s="67">
        <v>3.2539482173412999E-3</v>
      </c>
      <c r="W331" s="68">
        <v>1.8204318595974156E-4</v>
      </c>
    </row>
    <row r="332" spans="1:23" x14ac:dyDescent="0.3">
      <c r="A332" s="44" t="s">
        <v>349</v>
      </c>
      <c r="B332" t="s">
        <v>298</v>
      </c>
      <c r="C332" s="45">
        <v>2010</v>
      </c>
      <c r="D332" s="91">
        <v>6476856</v>
      </c>
      <c r="E332" s="2">
        <v>3132209</v>
      </c>
      <c r="F332" s="5">
        <v>0.48360022208306003</v>
      </c>
      <c r="G332" s="2">
        <v>3344648</v>
      </c>
      <c r="H332" s="78">
        <v>0.51639993231283821</v>
      </c>
      <c r="I332" s="52">
        <v>137726</v>
      </c>
      <c r="J332" s="82">
        <v>2.1264329483317215E-2</v>
      </c>
      <c r="K332" s="59">
        <v>703</v>
      </c>
      <c r="L332" s="60">
        <v>1698</v>
      </c>
      <c r="M332" s="66">
        <v>3.268045055447831E-4</v>
      </c>
      <c r="N332" s="67">
        <v>7.5314154165563105E-5</v>
      </c>
      <c r="O332" s="67">
        <v>6.4635879161069378E-5</v>
      </c>
      <c r="P332" s="67">
        <v>7.2487668035475461E-5</v>
      </c>
      <c r="Q332" s="67">
        <v>6.4417355753436126E-5</v>
      </c>
      <c r="R332" s="67">
        <v>6.0588985528320807E-5</v>
      </c>
      <c r="S332" s="67">
        <v>8.8649901691228422E-5</v>
      </c>
      <c r="T332" s="67">
        <v>2.5109096700246208E-4</v>
      </c>
      <c r="U332" s="67">
        <v>1.108604071837544E-3</v>
      </c>
      <c r="V332" s="67">
        <v>5.1043375978391883E-3</v>
      </c>
      <c r="W332" s="68">
        <v>2.6216423524006094E-4</v>
      </c>
    </row>
    <row r="333" spans="1:23" x14ac:dyDescent="0.3">
      <c r="A333" s="44" t="s">
        <v>481</v>
      </c>
      <c r="B333" t="s">
        <v>445</v>
      </c>
      <c r="C333" s="45">
        <v>2016</v>
      </c>
      <c r="D333" s="91">
        <v>6509100</v>
      </c>
      <c r="E333" s="2">
        <v>3236711</v>
      </c>
      <c r="F333" s="5">
        <v>0.49725937533606795</v>
      </c>
      <c r="G333" s="2">
        <v>3272389</v>
      </c>
      <c r="H333" s="78">
        <v>0.50274062466393199</v>
      </c>
      <c r="I333" s="52">
        <v>115584</v>
      </c>
      <c r="J333" s="82">
        <v>1.7757293635064755E-2</v>
      </c>
      <c r="K333" s="59">
        <v>299</v>
      </c>
      <c r="L333" s="60">
        <v>1277</v>
      </c>
      <c r="M333" s="66">
        <v>2.8094820017559262E-4</v>
      </c>
      <c r="N333" s="67">
        <v>6.7361992118646928E-5</v>
      </c>
      <c r="O333" s="67">
        <v>6.520470473679577E-5</v>
      </c>
      <c r="P333" s="67">
        <v>6.8216158816313208E-5</v>
      </c>
      <c r="Q333" s="67">
        <v>7.3706723404464412E-5</v>
      </c>
      <c r="R333" s="67">
        <v>8.9215223783556538E-5</v>
      </c>
      <c r="S333" s="67">
        <v>1.5197990164918018E-4</v>
      </c>
      <c r="T333" s="67">
        <v>2.6911717567523557E-4</v>
      </c>
      <c r="U333" s="67">
        <v>6.9655873821491293E-4</v>
      </c>
      <c r="V333" s="67">
        <v>2.5868632336655591E-3</v>
      </c>
      <c r="W333" s="68">
        <v>1.961868768339709E-4</v>
      </c>
    </row>
    <row r="334" spans="1:23" x14ac:dyDescent="0.3">
      <c r="A334" s="44" t="s">
        <v>346</v>
      </c>
      <c r="B334" t="s">
        <v>298</v>
      </c>
      <c r="C334" s="45">
        <v>2009</v>
      </c>
      <c r="D334" s="91">
        <v>6511176</v>
      </c>
      <c r="E334" s="2">
        <v>3159175</v>
      </c>
      <c r="F334" s="5">
        <v>0.48519269022984479</v>
      </c>
      <c r="G334" s="2">
        <v>3352001</v>
      </c>
      <c r="H334" s="78">
        <v>0.51480730977015521</v>
      </c>
      <c r="I334" s="52">
        <v>136977</v>
      </c>
      <c r="J334" s="82">
        <v>2.1037213554049222E-2</v>
      </c>
      <c r="K334" s="59">
        <v>706</v>
      </c>
      <c r="L334" s="60">
        <v>1728</v>
      </c>
      <c r="M334" s="66">
        <v>3.1208469978752232E-4</v>
      </c>
      <c r="N334" s="67">
        <v>7.4955120621527865E-5</v>
      </c>
      <c r="O334" s="67">
        <v>6.5934210844419434E-5</v>
      </c>
      <c r="P334" s="67">
        <v>7.1492915052118333E-5</v>
      </c>
      <c r="Q334" s="67">
        <v>6.1507865318277568E-5</v>
      </c>
      <c r="R334" s="67">
        <v>6.8130811157422251E-5</v>
      </c>
      <c r="S334" s="67">
        <v>8.1879852234159999E-5</v>
      </c>
      <c r="T334" s="67">
        <v>2.6260442629139243E-4</v>
      </c>
      <c r="U334" s="67">
        <v>1.1846906550161177E-3</v>
      </c>
      <c r="V334" s="67">
        <v>5.1541499667827444E-3</v>
      </c>
      <c r="W334" s="68">
        <v>2.6538984662678446E-4</v>
      </c>
    </row>
    <row r="335" spans="1:23" x14ac:dyDescent="0.3">
      <c r="A335" s="44" t="s">
        <v>321</v>
      </c>
      <c r="B335" t="s">
        <v>298</v>
      </c>
      <c r="C335" s="45">
        <v>2011</v>
      </c>
      <c r="D335" s="91">
        <v>6511988</v>
      </c>
      <c r="E335" s="2">
        <v>3150035</v>
      </c>
      <c r="F335" s="5">
        <v>0.48372862480704815</v>
      </c>
      <c r="G335" s="2">
        <v>3361954</v>
      </c>
      <c r="H335" s="78">
        <v>0.51627152875588833</v>
      </c>
      <c r="I335" s="52">
        <v>141669</v>
      </c>
      <c r="J335" s="82">
        <v>2.1755107656832293E-2</v>
      </c>
      <c r="K335" s="59">
        <v>838</v>
      </c>
      <c r="L335" s="60">
        <v>1812</v>
      </c>
      <c r="M335" s="66">
        <v>3.273599240524976E-4</v>
      </c>
      <c r="N335" s="67">
        <v>7.5738545491726197E-5</v>
      </c>
      <c r="O335" s="67">
        <v>6.4244918762300225E-5</v>
      </c>
      <c r="P335" s="67">
        <v>7.1719033514304364E-5</v>
      </c>
      <c r="Q335" s="67">
        <v>6.5970603499080808E-5</v>
      </c>
      <c r="R335" s="67">
        <v>6.0099043223231887E-5</v>
      </c>
      <c r="S335" s="67">
        <v>8.7074439682383181E-5</v>
      </c>
      <c r="T335" s="67">
        <v>2.4206399903174401E-4</v>
      </c>
      <c r="U335" s="67">
        <v>1.0342640625762283E-3</v>
      </c>
      <c r="V335" s="67">
        <v>5.9151966908780329E-3</v>
      </c>
      <c r="W335" s="68">
        <v>2.7825604101236061E-4</v>
      </c>
    </row>
    <row r="336" spans="1:23" x14ac:dyDescent="0.3">
      <c r="A336" s="44" t="s">
        <v>507</v>
      </c>
      <c r="B336" t="s">
        <v>445</v>
      </c>
      <c r="C336" s="45">
        <v>2015</v>
      </c>
      <c r="D336" s="91">
        <v>6522731</v>
      </c>
      <c r="E336" s="2">
        <v>3240859</v>
      </c>
      <c r="F336" s="5">
        <v>0.4968561481379502</v>
      </c>
      <c r="G336" s="2">
        <v>3281872</v>
      </c>
      <c r="H336" s="78">
        <v>0.5031438518620498</v>
      </c>
      <c r="I336" s="52">
        <v>119069</v>
      </c>
      <c r="J336" s="82">
        <v>1.8254470405110988E-2</v>
      </c>
      <c r="K336" s="59">
        <v>321</v>
      </c>
      <c r="L336" s="60">
        <v>1183</v>
      </c>
      <c r="M336" s="66">
        <v>2.8244332303984336E-4</v>
      </c>
      <c r="N336" s="67">
        <v>6.7199935488061925E-5</v>
      </c>
      <c r="O336" s="67">
        <v>6.5476879022735753E-5</v>
      </c>
      <c r="P336" s="67">
        <v>6.8648943035107073E-5</v>
      </c>
      <c r="Q336" s="67">
        <v>7.2877444430948627E-5</v>
      </c>
      <c r="R336" s="67">
        <v>7.2771729638470043E-5</v>
      </c>
      <c r="S336" s="67">
        <v>8.7265490275758955E-5</v>
      </c>
      <c r="T336" s="67">
        <v>1.8408918863120226E-4</v>
      </c>
      <c r="U336" s="67">
        <v>6.7247104009931884E-4</v>
      </c>
      <c r="V336" s="67">
        <v>2.6959158135198918E-3</v>
      </c>
      <c r="W336" s="68">
        <v>1.8136575002096516E-4</v>
      </c>
    </row>
    <row r="337" spans="1:23" x14ac:dyDescent="0.3">
      <c r="A337" s="44" t="s">
        <v>510</v>
      </c>
      <c r="B337" t="s">
        <v>445</v>
      </c>
      <c r="C337" s="45">
        <v>2014</v>
      </c>
      <c r="D337" s="91">
        <v>6523723</v>
      </c>
      <c r="E337" s="2">
        <v>3238469</v>
      </c>
      <c r="F337" s="5">
        <v>0.49641424076405449</v>
      </c>
      <c r="G337" s="2">
        <v>3285255</v>
      </c>
      <c r="H337" s="78">
        <v>0.50358591252265006</v>
      </c>
      <c r="I337" s="52">
        <v>112942</v>
      </c>
      <c r="J337" s="82">
        <v>1.7312506984125474E-2</v>
      </c>
      <c r="K337" s="59">
        <v>270</v>
      </c>
      <c r="L337" s="60">
        <v>1166</v>
      </c>
      <c r="M337" s="66">
        <v>2.7361902199440907E-4</v>
      </c>
      <c r="N337" s="67">
        <v>6.6347535023205054E-5</v>
      </c>
      <c r="O337" s="67">
        <v>6.5195848328378453E-5</v>
      </c>
      <c r="P337" s="67">
        <v>6.887914121486733E-5</v>
      </c>
      <c r="Q337" s="67">
        <v>7.8909926140309137E-5</v>
      </c>
      <c r="R337" s="67">
        <v>8.3602054221903745E-5</v>
      </c>
      <c r="S337" s="67">
        <v>1.0920578448567364E-4</v>
      </c>
      <c r="T337" s="67">
        <v>2.4221346959949822E-4</v>
      </c>
      <c r="U337" s="67">
        <v>6.1655379934524672E-4</v>
      </c>
      <c r="V337" s="67">
        <v>2.39060756848648E-3</v>
      </c>
      <c r="W337" s="68">
        <v>1.7873229749331784E-4</v>
      </c>
    </row>
    <row r="338" spans="1:23" x14ac:dyDescent="0.3">
      <c r="A338" s="44" t="s">
        <v>532</v>
      </c>
      <c r="B338" t="s">
        <v>463</v>
      </c>
      <c r="C338" s="45">
        <v>2010</v>
      </c>
      <c r="D338" s="91">
        <v>6541242</v>
      </c>
      <c r="E338" s="2">
        <v>3257435</v>
      </c>
      <c r="F338" s="5">
        <v>0.49798417487076613</v>
      </c>
      <c r="G338" s="2">
        <v>3283807</v>
      </c>
      <c r="H338" s="78">
        <v>0.50201582512923382</v>
      </c>
      <c r="I338" s="52">
        <v>106969</v>
      </c>
      <c r="J338" s="82">
        <v>1.6353010636206398E-2</v>
      </c>
      <c r="K338" s="59">
        <v>298</v>
      </c>
      <c r="L338" s="60">
        <v>1026</v>
      </c>
      <c r="M338" s="66">
        <v>2.8208877333696917E-4</v>
      </c>
      <c r="N338" s="67">
        <v>7.0297781402018958E-5</v>
      </c>
      <c r="O338" s="67">
        <v>6.5500252721808412E-5</v>
      </c>
      <c r="P338" s="67">
        <v>6.7022855910913226E-5</v>
      </c>
      <c r="Q338" s="67">
        <v>6.5087922935899251E-5</v>
      </c>
      <c r="R338" s="67">
        <v>6.137649055364663E-5</v>
      </c>
      <c r="S338" s="67">
        <v>8.526481831488298E-5</v>
      </c>
      <c r="T338" s="67">
        <v>1.4438070303777001E-4</v>
      </c>
      <c r="U338" s="67">
        <v>4.8128131287230268E-4</v>
      </c>
      <c r="V338" s="67">
        <v>2.7858538455066422E-3</v>
      </c>
      <c r="W338" s="68">
        <v>1.5685094665508477E-4</v>
      </c>
    </row>
    <row r="339" spans="1:23" x14ac:dyDescent="0.3">
      <c r="A339" s="44" t="s">
        <v>340</v>
      </c>
      <c r="B339" t="s">
        <v>298</v>
      </c>
      <c r="C339" s="45">
        <v>2012</v>
      </c>
      <c r="D339" s="91">
        <v>6544424</v>
      </c>
      <c r="E339" s="2">
        <v>3166895</v>
      </c>
      <c r="F339" s="5">
        <v>0.48390736908244331</v>
      </c>
      <c r="G339" s="2">
        <v>3377529</v>
      </c>
      <c r="H339" s="78">
        <v>0.51609263091755664</v>
      </c>
      <c r="I339" s="52">
        <v>144509</v>
      </c>
      <c r="J339" s="82">
        <v>2.2081240457525367E-2</v>
      </c>
      <c r="K339" s="59">
        <v>762</v>
      </c>
      <c r="L339" s="60">
        <v>1757</v>
      </c>
      <c r="M339" s="66">
        <v>3.2698705948712079E-4</v>
      </c>
      <c r="N339" s="67">
        <v>7.6123101204394328E-5</v>
      </c>
      <c r="O339" s="67">
        <v>6.4129010467992137E-5</v>
      </c>
      <c r="P339" s="67">
        <v>7.0458177787120009E-5</v>
      </c>
      <c r="Q339" s="67">
        <v>6.7638023842403399E-5</v>
      </c>
      <c r="R339" s="67">
        <v>5.9759587180771753E-5</v>
      </c>
      <c r="S339" s="67">
        <v>7.4586789187899039E-5</v>
      </c>
      <c r="T339" s="67">
        <v>2.7186518938862695E-4</v>
      </c>
      <c r="U339" s="67">
        <v>1.0896565429072964E-3</v>
      </c>
      <c r="V339" s="67">
        <v>5.2730279774962112E-3</v>
      </c>
      <c r="W339" s="68">
        <v>2.6847282511035348E-4</v>
      </c>
    </row>
    <row r="340" spans="1:23" x14ac:dyDescent="0.3">
      <c r="A340" s="44" t="s">
        <v>297</v>
      </c>
      <c r="B340" t="s">
        <v>298</v>
      </c>
      <c r="C340" s="45">
        <v>2013</v>
      </c>
      <c r="D340" s="91">
        <v>6605043</v>
      </c>
      <c r="E340" s="2">
        <v>3197404</v>
      </c>
      <c r="F340" s="5">
        <v>0.48408526636389804</v>
      </c>
      <c r="G340" s="2">
        <v>3407639</v>
      </c>
      <c r="H340" s="78">
        <v>0.51591473363610196</v>
      </c>
      <c r="I340" s="52">
        <v>148496</v>
      </c>
      <c r="J340" s="82">
        <v>2.2482215482927212E-2</v>
      </c>
      <c r="K340" s="59">
        <v>883</v>
      </c>
      <c r="L340" s="60">
        <v>1962</v>
      </c>
      <c r="M340" s="66">
        <v>3.2813512604490527E-4</v>
      </c>
      <c r="N340" s="67">
        <v>7.6282596507019912E-5</v>
      </c>
      <c r="O340" s="67">
        <v>6.3632796343235308E-5</v>
      </c>
      <c r="P340" s="67">
        <v>6.8704597711678869E-5</v>
      </c>
      <c r="Q340" s="67">
        <v>6.8909755783825498E-5</v>
      </c>
      <c r="R340" s="67">
        <v>5.9655015047977544E-5</v>
      </c>
      <c r="S340" s="67">
        <v>1.0123750801463605E-4</v>
      </c>
      <c r="T340" s="67">
        <v>3.1242420629863643E-4</v>
      </c>
      <c r="U340" s="67">
        <v>1.2064450087076748E-3</v>
      </c>
      <c r="V340" s="67">
        <v>5.9462881155047951E-3</v>
      </c>
      <c r="W340" s="68">
        <v>2.970457573099827E-4</v>
      </c>
    </row>
    <row r="341" spans="1:23" x14ac:dyDescent="0.3">
      <c r="A341" s="44" t="s">
        <v>513</v>
      </c>
      <c r="B341" t="s">
        <v>463</v>
      </c>
      <c r="C341" s="45">
        <v>2011</v>
      </c>
      <c r="D341" s="91">
        <v>6628098</v>
      </c>
      <c r="E341" s="2">
        <v>3302333</v>
      </c>
      <c r="F341" s="5">
        <v>0.49823237375186669</v>
      </c>
      <c r="G341" s="2">
        <v>3325765</v>
      </c>
      <c r="H341" s="78">
        <v>0.50176762624813331</v>
      </c>
      <c r="I341" s="52">
        <v>111316</v>
      </c>
      <c r="J341" s="82">
        <v>1.679456157709195E-2</v>
      </c>
      <c r="K341" s="59">
        <v>365</v>
      </c>
      <c r="L341" s="60">
        <v>1166</v>
      </c>
      <c r="M341" s="66">
        <v>2.7812414534767837E-4</v>
      </c>
      <c r="N341" s="67">
        <v>6.987273845236543E-5</v>
      </c>
      <c r="O341" s="67">
        <v>6.5102612567842345E-5</v>
      </c>
      <c r="P341" s="67">
        <v>6.5552564416319968E-5</v>
      </c>
      <c r="Q341" s="67">
        <v>6.5722670049193422E-5</v>
      </c>
      <c r="R341" s="67">
        <v>6.1328748668655085E-5</v>
      </c>
      <c r="S341" s="67">
        <v>8.3140889061513083E-5</v>
      </c>
      <c r="T341" s="67">
        <v>1.9676707125942366E-4</v>
      </c>
      <c r="U341" s="67">
        <v>6.5478185630656266E-4</v>
      </c>
      <c r="V341" s="67">
        <v>3.278953609544001E-3</v>
      </c>
      <c r="W341" s="68">
        <v>1.7591773688319033E-4</v>
      </c>
    </row>
    <row r="342" spans="1:23" x14ac:dyDescent="0.3">
      <c r="A342" s="44" t="s">
        <v>344</v>
      </c>
      <c r="B342" t="s">
        <v>298</v>
      </c>
      <c r="C342" s="45">
        <v>2014</v>
      </c>
      <c r="D342" s="91">
        <v>6657196</v>
      </c>
      <c r="E342" s="2">
        <v>3224264</v>
      </c>
      <c r="F342" s="5">
        <v>0.48432763583947358</v>
      </c>
      <c r="G342" s="2">
        <v>3432933</v>
      </c>
      <c r="H342" s="78">
        <v>0.51567251437391959</v>
      </c>
      <c r="I342" s="52">
        <v>151054</v>
      </c>
      <c r="J342" s="82">
        <v>2.269033388832175E-2</v>
      </c>
      <c r="K342" s="59">
        <v>720</v>
      </c>
      <c r="L342" s="60">
        <v>1772</v>
      </c>
      <c r="M342" s="66">
        <v>3.2876352039977642E-4</v>
      </c>
      <c r="N342" s="67">
        <v>7.6551800689731727E-5</v>
      </c>
      <c r="O342" s="67">
        <v>6.3320662165271152E-5</v>
      </c>
      <c r="P342" s="67">
        <v>6.7268495472830252E-5</v>
      </c>
      <c r="Q342" s="67">
        <v>7.0046405743805267E-5</v>
      </c>
      <c r="R342" s="67">
        <v>5.9883108172846605E-5</v>
      </c>
      <c r="S342" s="67">
        <v>1.2222913025746861E-4</v>
      </c>
      <c r="T342" s="67">
        <v>3.0971465087513991E-4</v>
      </c>
      <c r="U342" s="67">
        <v>1.0346438822508512E-3</v>
      </c>
      <c r="V342" s="67">
        <v>4.7665073417453357E-3</v>
      </c>
      <c r="W342" s="68">
        <v>2.6617813265525006E-4</v>
      </c>
    </row>
    <row r="343" spans="1:23" x14ac:dyDescent="0.3">
      <c r="A343" s="44" t="s">
        <v>492</v>
      </c>
      <c r="B343" t="s">
        <v>463</v>
      </c>
      <c r="C343" s="45">
        <v>2015</v>
      </c>
      <c r="D343" s="91">
        <v>6666917</v>
      </c>
      <c r="E343" s="2">
        <v>3324257</v>
      </c>
      <c r="F343" s="5">
        <v>0.49861982682550271</v>
      </c>
      <c r="G343" s="2">
        <v>3342661</v>
      </c>
      <c r="H343" s="78">
        <v>0.50138032316886505</v>
      </c>
      <c r="I343" s="52">
        <v>119075</v>
      </c>
      <c r="J343" s="82">
        <v>1.7860579335245961E-2</v>
      </c>
      <c r="K343" s="59">
        <v>436</v>
      </c>
      <c r="L343" s="60">
        <v>1256</v>
      </c>
      <c r="M343" s="66">
        <v>2.8133484003769885E-4</v>
      </c>
      <c r="N343" s="67">
        <v>7.0947312161078775E-5</v>
      </c>
      <c r="O343" s="67">
        <v>6.746856808084533E-5</v>
      </c>
      <c r="P343" s="67">
        <v>6.2228528046397584E-5</v>
      </c>
      <c r="Q343" s="67">
        <v>6.7891043926636936E-5</v>
      </c>
      <c r="R343" s="67">
        <v>6.5601158079110617E-5</v>
      </c>
      <c r="S343" s="67">
        <v>7.0564492417845293E-5</v>
      </c>
      <c r="T343" s="67">
        <v>2.1150917565260194E-4</v>
      </c>
      <c r="U343" s="67">
        <v>6.7473437295347113E-4</v>
      </c>
      <c r="V343" s="67">
        <v>3.6615578416964098E-3</v>
      </c>
      <c r="W343" s="68">
        <v>1.8839292584563449E-4</v>
      </c>
    </row>
    <row r="344" spans="1:23" x14ac:dyDescent="0.3">
      <c r="A344" s="44" t="s">
        <v>309</v>
      </c>
      <c r="B344" t="s">
        <v>298</v>
      </c>
      <c r="C344" s="45">
        <v>2015</v>
      </c>
      <c r="D344" s="91">
        <v>6688538</v>
      </c>
      <c r="E344" s="2">
        <v>3241207</v>
      </c>
      <c r="F344" s="5">
        <v>0.48459125148126542</v>
      </c>
      <c r="G344" s="2">
        <v>3447331</v>
      </c>
      <c r="H344" s="78">
        <v>0.51540874851873464</v>
      </c>
      <c r="I344" s="52">
        <v>153647</v>
      </c>
      <c r="J344" s="82">
        <v>2.2971686787157372E-2</v>
      </c>
      <c r="K344" s="59">
        <v>868</v>
      </c>
      <c r="L344" s="60">
        <v>1941</v>
      </c>
      <c r="M344" s="66">
        <v>3.2992139622734884E-4</v>
      </c>
      <c r="N344" s="67">
        <v>7.7224152110986558E-5</v>
      </c>
      <c r="O344" s="67">
        <v>6.3256975135791646E-5</v>
      </c>
      <c r="P344" s="67">
        <v>6.6059724597008153E-5</v>
      </c>
      <c r="Q344" s="67">
        <v>7.082387047730567E-5</v>
      </c>
      <c r="R344" s="67">
        <v>6.0349362459276752E-5</v>
      </c>
      <c r="S344" s="67">
        <v>9.8256354296230187E-5</v>
      </c>
      <c r="T344" s="67">
        <v>3.2085561497326203E-4</v>
      </c>
      <c r="U344" s="67">
        <v>1.1474293496765407E-3</v>
      </c>
      <c r="V344" s="67">
        <v>5.6493130357247456E-3</v>
      </c>
      <c r="W344" s="68">
        <v>2.9019794759333058E-4</v>
      </c>
    </row>
    <row r="345" spans="1:23" x14ac:dyDescent="0.3">
      <c r="A345" s="44" t="s">
        <v>523</v>
      </c>
      <c r="B345" t="s">
        <v>463</v>
      </c>
      <c r="C345" s="45">
        <v>2012</v>
      </c>
      <c r="D345" s="91">
        <v>6707582</v>
      </c>
      <c r="E345" s="2">
        <v>3344743</v>
      </c>
      <c r="F345" s="5">
        <v>0.49865107873448283</v>
      </c>
      <c r="G345" s="2">
        <v>3362839</v>
      </c>
      <c r="H345" s="78">
        <v>0.50134892126551711</v>
      </c>
      <c r="I345" s="52">
        <v>113590</v>
      </c>
      <c r="J345" s="82">
        <v>1.6934567479011065E-2</v>
      </c>
      <c r="K345" s="59">
        <v>356</v>
      </c>
      <c r="L345" s="60">
        <v>1126</v>
      </c>
      <c r="M345" s="66">
        <v>2.7512902404856944E-4</v>
      </c>
      <c r="N345" s="67">
        <v>6.9661572470675379E-5</v>
      </c>
      <c r="O345" s="67">
        <v>6.482141699617554E-5</v>
      </c>
      <c r="P345" s="67">
        <v>6.3946251044455434E-5</v>
      </c>
      <c r="Q345" s="67">
        <v>6.5962408023667306E-5</v>
      </c>
      <c r="R345" s="67">
        <v>6.1423615127817428E-5</v>
      </c>
      <c r="S345" s="67">
        <v>7.2190090947482914E-5</v>
      </c>
      <c r="T345" s="67">
        <v>1.4112089066821827E-4</v>
      </c>
      <c r="U345" s="67">
        <v>6.4104058369658971E-4</v>
      </c>
      <c r="V345" s="67">
        <v>3.1340787041112773E-3</v>
      </c>
      <c r="W345" s="68">
        <v>1.6786973308712439E-4</v>
      </c>
    </row>
    <row r="346" spans="1:23" x14ac:dyDescent="0.3">
      <c r="A346" s="44" t="s">
        <v>375</v>
      </c>
      <c r="B346" t="s">
        <v>298</v>
      </c>
      <c r="C346" s="45">
        <v>2016</v>
      </c>
      <c r="D346" s="91">
        <v>6741921</v>
      </c>
      <c r="E346" s="2">
        <v>3269450</v>
      </c>
      <c r="F346" s="5">
        <v>0.48494338631378209</v>
      </c>
      <c r="G346" s="2">
        <v>3472471</v>
      </c>
      <c r="H346" s="78">
        <v>0.51505661368621791</v>
      </c>
      <c r="I346" s="52">
        <v>155006</v>
      </c>
      <c r="J346" s="82">
        <v>2.2991369967105813E-2</v>
      </c>
      <c r="K346" s="59">
        <v>654</v>
      </c>
      <c r="L346" s="60">
        <v>1663</v>
      </c>
      <c r="M346" s="66">
        <v>3.3000214501394262E-4</v>
      </c>
      <c r="N346" s="67">
        <v>7.7259751146341551E-5</v>
      </c>
      <c r="O346" s="67">
        <v>6.2893147686737618E-5</v>
      </c>
      <c r="P346" s="67">
        <v>6.4782363649320106E-5</v>
      </c>
      <c r="Q346" s="67">
        <v>7.154201662636466E-5</v>
      </c>
      <c r="R346" s="67">
        <v>6.0951823678564461E-5</v>
      </c>
      <c r="S346" s="67">
        <v>8.147063549358758E-5</v>
      </c>
      <c r="T346" s="67">
        <v>2.9430073254127791E-4</v>
      </c>
      <c r="U346" s="67">
        <v>9.7021248317910721E-4</v>
      </c>
      <c r="V346" s="67">
        <v>4.2191915151671552E-3</v>
      </c>
      <c r="W346" s="68">
        <v>2.4666560168830218E-4</v>
      </c>
    </row>
    <row r="347" spans="1:23" x14ac:dyDescent="0.3">
      <c r="A347" s="44" t="s">
        <v>495</v>
      </c>
      <c r="B347" t="s">
        <v>445</v>
      </c>
      <c r="C347" s="45">
        <v>2017</v>
      </c>
      <c r="D347" s="91">
        <v>6742401</v>
      </c>
      <c r="E347" s="2">
        <v>3349295</v>
      </c>
      <c r="F347" s="5">
        <v>0.49675108318238564</v>
      </c>
      <c r="G347" s="2">
        <v>3393106</v>
      </c>
      <c r="H347" s="78">
        <v>0.50324891681761441</v>
      </c>
      <c r="I347" s="52">
        <v>123325</v>
      </c>
      <c r="J347" s="82">
        <v>1.8290961928844041E-2</v>
      </c>
      <c r="K347" s="59">
        <v>339</v>
      </c>
      <c r="L347" s="60">
        <v>1256</v>
      </c>
      <c r="M347" s="66">
        <v>2.788823325718296E-4</v>
      </c>
      <c r="N347" s="67">
        <v>6.6373443542748926E-5</v>
      </c>
      <c r="O347" s="67">
        <v>6.4055959286032278E-5</v>
      </c>
      <c r="P347" s="67">
        <v>6.5990266435700729E-5</v>
      </c>
      <c r="Q347" s="67">
        <v>7.1921490500969138E-5</v>
      </c>
      <c r="R347" s="67">
        <v>7.1978435260795865E-5</v>
      </c>
      <c r="S347" s="67">
        <v>9.9795917349021252E-5</v>
      </c>
      <c r="T347" s="67">
        <v>2.2581363475271838E-4</v>
      </c>
      <c r="U347" s="67">
        <v>6.4205167159509142E-4</v>
      </c>
      <c r="V347" s="67">
        <v>2.7488343807013987E-3</v>
      </c>
      <c r="W347" s="68">
        <v>1.8628378822321603E-4</v>
      </c>
    </row>
    <row r="348" spans="1:23" x14ac:dyDescent="0.3">
      <c r="A348" s="44" t="s">
        <v>323</v>
      </c>
      <c r="B348" t="s">
        <v>298</v>
      </c>
      <c r="C348" s="45">
        <v>2017</v>
      </c>
      <c r="D348" s="91">
        <v>6771732</v>
      </c>
      <c r="E348" s="2">
        <v>3284798</v>
      </c>
      <c r="F348" s="5">
        <v>0.48507501478203802</v>
      </c>
      <c r="G348" s="2">
        <v>3486935</v>
      </c>
      <c r="H348" s="78">
        <v>0.51492513289066966</v>
      </c>
      <c r="I348" s="52">
        <v>154837</v>
      </c>
      <c r="J348" s="82">
        <v>2.2865199036228842E-2</v>
      </c>
      <c r="K348" s="59">
        <v>791</v>
      </c>
      <c r="L348" s="60">
        <v>1865</v>
      </c>
      <c r="M348" s="66">
        <v>3.3125471002790822E-4</v>
      </c>
      <c r="N348" s="67">
        <v>7.8086261893513763E-5</v>
      </c>
      <c r="O348" s="67">
        <v>6.3275053493784807E-5</v>
      </c>
      <c r="P348" s="67">
        <v>6.3495826207690616E-5</v>
      </c>
      <c r="Q348" s="67">
        <v>7.2049829662194375E-5</v>
      </c>
      <c r="R348" s="67">
        <v>6.1836354211004192E-5</v>
      </c>
      <c r="S348" s="67">
        <v>9.2346685032160012E-5</v>
      </c>
      <c r="T348" s="67">
        <v>2.8789233848643586E-4</v>
      </c>
      <c r="U348" s="67">
        <v>1.1242455720503347E-3</v>
      </c>
      <c r="V348" s="67">
        <v>5.1085980741037351E-3</v>
      </c>
      <c r="W348" s="68">
        <v>2.754095997892415E-4</v>
      </c>
    </row>
    <row r="349" spans="1:23" x14ac:dyDescent="0.3">
      <c r="A349" s="44" t="s">
        <v>511</v>
      </c>
      <c r="B349" t="s">
        <v>463</v>
      </c>
      <c r="C349" s="45">
        <v>2013</v>
      </c>
      <c r="D349" s="91">
        <v>6778158</v>
      </c>
      <c r="E349" s="2">
        <v>3380685</v>
      </c>
      <c r="F349" s="5">
        <v>0.49876161045522988</v>
      </c>
      <c r="G349" s="2">
        <v>3397474</v>
      </c>
      <c r="H349" s="78">
        <v>0.50123853707747734</v>
      </c>
      <c r="I349" s="52">
        <v>117389</v>
      </c>
      <c r="J349" s="82">
        <v>1.7318716972959319E-2</v>
      </c>
      <c r="K349" s="59">
        <v>416</v>
      </c>
      <c r="L349" s="60">
        <v>1201</v>
      </c>
      <c r="M349" s="66">
        <v>2.733721825579435E-4</v>
      </c>
      <c r="N349" s="67">
        <v>6.9147207490025521E-5</v>
      </c>
      <c r="O349" s="67">
        <v>6.473916590058654E-5</v>
      </c>
      <c r="P349" s="67">
        <v>6.295022525688938E-5</v>
      </c>
      <c r="Q349" s="67">
        <v>6.610980176975939E-5</v>
      </c>
      <c r="R349" s="67">
        <v>6.2110643901045317E-5</v>
      </c>
      <c r="S349" s="67">
        <v>7.6124535054762816E-5</v>
      </c>
      <c r="T349" s="67">
        <v>1.4796121772082184E-4</v>
      </c>
      <c r="U349" s="67">
        <v>6.519764977995793E-4</v>
      </c>
      <c r="V349" s="67">
        <v>3.5437732666604195E-3</v>
      </c>
      <c r="W349" s="68">
        <v>1.7718678142350768E-4</v>
      </c>
    </row>
    <row r="350" spans="1:23" x14ac:dyDescent="0.3">
      <c r="A350" s="44" t="s">
        <v>526</v>
      </c>
      <c r="B350" t="s">
        <v>463</v>
      </c>
      <c r="C350" s="45">
        <v>2014</v>
      </c>
      <c r="D350" s="91">
        <v>6894869</v>
      </c>
      <c r="E350" s="2">
        <v>3441156</v>
      </c>
      <c r="F350" s="5">
        <v>0.49908939531701035</v>
      </c>
      <c r="G350" s="2">
        <v>3453713</v>
      </c>
      <c r="H350" s="78">
        <v>0.50091060468298965</v>
      </c>
      <c r="I350" s="52">
        <v>123232</v>
      </c>
      <c r="J350" s="82">
        <v>1.7873000922860174E-2</v>
      </c>
      <c r="K350" s="59">
        <v>329</v>
      </c>
      <c r="L350" s="60">
        <v>1139</v>
      </c>
      <c r="M350" s="66">
        <v>2.7002700270027002E-4</v>
      </c>
      <c r="N350" s="67">
        <v>6.8237571379342892E-5</v>
      </c>
      <c r="O350" s="67">
        <v>6.4670224966155909E-5</v>
      </c>
      <c r="P350" s="67">
        <v>6.1319347071592386E-5</v>
      </c>
      <c r="Q350" s="67">
        <v>7.2336456587713987E-5</v>
      </c>
      <c r="R350" s="67">
        <v>7.1631824877836588E-5</v>
      </c>
      <c r="S350" s="67">
        <v>9.0939989837456132E-5</v>
      </c>
      <c r="T350" s="67">
        <v>1.6675387702764089E-4</v>
      </c>
      <c r="U350" s="67">
        <v>5.6421575915611619E-4</v>
      </c>
      <c r="V350" s="67">
        <v>2.6697611010127239E-3</v>
      </c>
      <c r="W350" s="68">
        <v>1.6519530682888972E-4</v>
      </c>
    </row>
    <row r="351" spans="1:23" x14ac:dyDescent="0.3">
      <c r="A351" s="44" t="s">
        <v>515</v>
      </c>
      <c r="B351" t="s">
        <v>463</v>
      </c>
      <c r="C351" s="45">
        <v>2016</v>
      </c>
      <c r="D351" s="91">
        <v>6963268</v>
      </c>
      <c r="E351" s="2">
        <v>3474006</v>
      </c>
      <c r="F351" s="5">
        <v>0.49890453735228918</v>
      </c>
      <c r="G351" s="2">
        <v>3489263</v>
      </c>
      <c r="H351" s="78">
        <v>0.50109560625844074</v>
      </c>
      <c r="I351" s="52">
        <v>123983</v>
      </c>
      <c r="J351" s="82">
        <v>1.7805289125738089E-2</v>
      </c>
      <c r="K351" s="59">
        <v>365</v>
      </c>
      <c r="L351" s="60">
        <v>1213</v>
      </c>
      <c r="M351" s="66">
        <v>2.7219834185843416E-4</v>
      </c>
      <c r="N351" s="67">
        <v>6.8404521538873724E-5</v>
      </c>
      <c r="O351" s="67">
        <v>6.5279122648591596E-5</v>
      </c>
      <c r="P351" s="67">
        <v>5.9385831728266271E-5</v>
      </c>
      <c r="Q351" s="67">
        <v>6.585879873551106E-5</v>
      </c>
      <c r="R351" s="67">
        <v>6.3812408535547763E-5</v>
      </c>
      <c r="S351" s="67">
        <v>9.3649034634534645E-5</v>
      </c>
      <c r="T351" s="67">
        <v>1.8461720667199618E-4</v>
      </c>
      <c r="U351" s="67">
        <v>6.5954506211951102E-4</v>
      </c>
      <c r="V351" s="67">
        <v>2.9439519934184527E-3</v>
      </c>
      <c r="W351" s="68">
        <v>1.7419981537404564E-4</v>
      </c>
    </row>
    <row r="352" spans="1:23" x14ac:dyDescent="0.3">
      <c r="A352" s="44" t="s">
        <v>462</v>
      </c>
      <c r="B352" t="s">
        <v>463</v>
      </c>
      <c r="C352" s="45">
        <v>2017</v>
      </c>
      <c r="D352" s="91">
        <v>6976375</v>
      </c>
      <c r="E352" s="2">
        <v>3483716</v>
      </c>
      <c r="F352" s="5">
        <v>0.49935905108311984</v>
      </c>
      <c r="G352" s="2">
        <v>3492660</v>
      </c>
      <c r="H352" s="78">
        <v>0.50064109225779863</v>
      </c>
      <c r="I352" s="52">
        <v>123557</v>
      </c>
      <c r="J352" s="82">
        <v>1.7710773861783519E-2</v>
      </c>
      <c r="K352" s="59">
        <v>488</v>
      </c>
      <c r="L352" s="60">
        <v>1444</v>
      </c>
      <c r="M352" s="66">
        <v>2.7593818984547461E-4</v>
      </c>
      <c r="N352" s="67">
        <v>6.8894484652031176E-5</v>
      </c>
      <c r="O352" s="67">
        <v>6.6474849794537325E-5</v>
      </c>
      <c r="P352" s="67">
        <v>5.8317595682165213E-5</v>
      </c>
      <c r="Q352" s="67">
        <v>6.5465019857722696E-5</v>
      </c>
      <c r="R352" s="67">
        <v>7.0132128930905827E-5</v>
      </c>
      <c r="S352" s="67">
        <v>9.6534950090321203E-5</v>
      </c>
      <c r="T352" s="67">
        <v>2.4242505304092972E-4</v>
      </c>
      <c r="U352" s="67">
        <v>8.7570807776580855E-4</v>
      </c>
      <c r="V352" s="67">
        <v>3.9495941144572951E-3</v>
      </c>
      <c r="W352" s="68">
        <v>2.0698428625181415E-4</v>
      </c>
    </row>
    <row r="353" spans="1:23" x14ac:dyDescent="0.3">
      <c r="A353" s="44" t="s">
        <v>433</v>
      </c>
      <c r="B353" t="s">
        <v>382</v>
      </c>
      <c r="C353" s="45">
        <v>2012</v>
      </c>
      <c r="D353" s="91">
        <v>7437512</v>
      </c>
      <c r="E353" s="2">
        <v>3652594</v>
      </c>
      <c r="F353" s="5">
        <v>0.49110428326031608</v>
      </c>
      <c r="G353" s="2">
        <v>3784922</v>
      </c>
      <c r="H353" s="78">
        <v>0.50889625455394227</v>
      </c>
      <c r="I353" s="52">
        <v>110486</v>
      </c>
      <c r="J353" s="82">
        <v>1.485523653608895E-2</v>
      </c>
      <c r="K353" s="59">
        <v>643</v>
      </c>
      <c r="L353" s="60">
        <v>1661</v>
      </c>
      <c r="M353" s="66">
        <v>2.5347150346622283E-4</v>
      </c>
      <c r="N353" s="67">
        <v>6.2720567328438347E-5</v>
      </c>
      <c r="O353" s="67">
        <v>5.7664196396564365E-5</v>
      </c>
      <c r="P353" s="67">
        <v>5.8774953641255316E-5</v>
      </c>
      <c r="Q353" s="67">
        <v>5.7551583004250188E-5</v>
      </c>
      <c r="R353" s="67">
        <v>5.3564015694256601E-5</v>
      </c>
      <c r="S353" s="67">
        <v>7.9160536437029489E-5</v>
      </c>
      <c r="T353" s="67">
        <v>2.709457774671282E-4</v>
      </c>
      <c r="U353" s="67">
        <v>1.182939856469964E-3</v>
      </c>
      <c r="V353" s="67">
        <v>5.8197418677479497E-3</v>
      </c>
      <c r="W353" s="68">
        <v>2.2332737076592279E-4</v>
      </c>
    </row>
    <row r="354" spans="1:23" x14ac:dyDescent="0.3">
      <c r="A354" s="44" t="s">
        <v>456</v>
      </c>
      <c r="B354" t="s">
        <v>382</v>
      </c>
      <c r="C354" s="45">
        <v>2010</v>
      </c>
      <c r="D354" s="91">
        <v>7511879</v>
      </c>
      <c r="E354" s="2">
        <v>3688283</v>
      </c>
      <c r="F354" s="5">
        <v>0.49099339858908803</v>
      </c>
      <c r="G354" s="2">
        <v>3823598</v>
      </c>
      <c r="H354" s="78">
        <v>0.5090068676558821</v>
      </c>
      <c r="I354" s="52">
        <v>106781</v>
      </c>
      <c r="J354" s="82">
        <v>1.4214952077902214E-2</v>
      </c>
      <c r="K354" s="59">
        <v>581</v>
      </c>
      <c r="L354" s="60">
        <v>1583</v>
      </c>
      <c r="M354" s="66">
        <v>2.460256604763877E-4</v>
      </c>
      <c r="N354" s="67">
        <v>6.1672686606131503E-5</v>
      </c>
      <c r="O354" s="67">
        <v>5.6802475073180525E-5</v>
      </c>
      <c r="P354" s="67">
        <v>5.9176091281093338E-5</v>
      </c>
      <c r="Q354" s="67">
        <v>5.448403617740002E-5</v>
      </c>
      <c r="R354" s="67">
        <v>5.2717777137354411E-5</v>
      </c>
      <c r="S354" s="67">
        <v>6.9637317245565549E-5</v>
      </c>
      <c r="T354" s="67">
        <v>2.7286361127808905E-4</v>
      </c>
      <c r="U354" s="67">
        <v>1.1500199243573521E-3</v>
      </c>
      <c r="V354" s="67">
        <v>5.441042882160684E-3</v>
      </c>
      <c r="W354" s="68">
        <v>2.107328938605108E-4</v>
      </c>
    </row>
    <row r="355" spans="1:23" x14ac:dyDescent="0.3">
      <c r="A355" s="44" t="s">
        <v>381</v>
      </c>
      <c r="B355" t="s">
        <v>382</v>
      </c>
      <c r="C355" s="45">
        <v>2014</v>
      </c>
      <c r="D355" s="91">
        <v>7607567</v>
      </c>
      <c r="E355" s="2">
        <v>3743468</v>
      </c>
      <c r="F355" s="5">
        <v>0.49207164393031305</v>
      </c>
      <c r="G355" s="2">
        <v>3864105</v>
      </c>
      <c r="H355" s="78">
        <v>0.50792914475810724</v>
      </c>
      <c r="I355" s="52">
        <v>118260</v>
      </c>
      <c r="J355" s="82">
        <v>1.5545048765262271E-2</v>
      </c>
      <c r="K355" s="59">
        <v>620</v>
      </c>
      <c r="L355" s="60">
        <v>1858</v>
      </c>
      <c r="M355" s="66">
        <v>2.5129311247460893E-4</v>
      </c>
      <c r="N355" s="67">
        <v>6.1860644464194027E-5</v>
      </c>
      <c r="O355" s="67">
        <v>5.6701985703539338E-5</v>
      </c>
      <c r="P355" s="67">
        <v>5.6294947997541788E-5</v>
      </c>
      <c r="Q355" s="67">
        <v>6.422863838206113E-5</v>
      </c>
      <c r="R355" s="67">
        <v>7.0822736070557377E-5</v>
      </c>
      <c r="S355" s="67">
        <v>1.3324536273900888E-4</v>
      </c>
      <c r="T355" s="67">
        <v>4.2272814834369045E-4</v>
      </c>
      <c r="U355" s="67">
        <v>1.3120998888947674E-3</v>
      </c>
      <c r="V355" s="67">
        <v>5.2426856079824113E-3</v>
      </c>
      <c r="W355" s="68">
        <v>2.4423051417095637E-4</v>
      </c>
    </row>
    <row r="356" spans="1:23" x14ac:dyDescent="0.3">
      <c r="A356" s="44" t="s">
        <v>405</v>
      </c>
      <c r="B356" t="s">
        <v>382</v>
      </c>
      <c r="C356" s="45">
        <v>2013</v>
      </c>
      <c r="D356" s="91">
        <v>7641756</v>
      </c>
      <c r="E356" s="2">
        <v>3752737</v>
      </c>
      <c r="F356" s="5">
        <v>0.49108307043564331</v>
      </c>
      <c r="G356" s="2">
        <v>3889023</v>
      </c>
      <c r="H356" s="78">
        <v>0.50891745300425717</v>
      </c>
      <c r="I356" s="52">
        <v>116930</v>
      </c>
      <c r="J356" s="82">
        <v>1.5301456890274958E-2</v>
      </c>
      <c r="K356" s="59">
        <v>649</v>
      </c>
      <c r="L356" s="60">
        <v>1797</v>
      </c>
      <c r="M356" s="66">
        <v>2.4546453139798186E-4</v>
      </c>
      <c r="N356" s="67">
        <v>6.0838846008768909E-5</v>
      </c>
      <c r="O356" s="67">
        <v>5.7220022430248791E-5</v>
      </c>
      <c r="P356" s="67">
        <v>5.6518036789474079E-5</v>
      </c>
      <c r="Q356" s="67">
        <v>5.7122401882754363E-5</v>
      </c>
      <c r="R356" s="67">
        <v>5.7102295687986028E-5</v>
      </c>
      <c r="S356" s="67">
        <v>8.791227874053179E-5</v>
      </c>
      <c r="T356" s="67">
        <v>3.679724167876376E-4</v>
      </c>
      <c r="U356" s="67">
        <v>1.3258088475180997E-3</v>
      </c>
      <c r="V356" s="67">
        <v>5.5503292568203199E-3</v>
      </c>
      <c r="W356" s="68">
        <v>2.3515537528285383E-4</v>
      </c>
    </row>
    <row r="357" spans="1:23" x14ac:dyDescent="0.3">
      <c r="A357" s="44" t="s">
        <v>459</v>
      </c>
      <c r="B357" t="s">
        <v>382</v>
      </c>
      <c r="C357" s="45">
        <v>2009</v>
      </c>
      <c r="D357" s="91">
        <v>7678761</v>
      </c>
      <c r="E357" s="2">
        <v>3772899</v>
      </c>
      <c r="F357" s="5">
        <v>0.49134215793407293</v>
      </c>
      <c r="G357" s="2">
        <v>3905862</v>
      </c>
      <c r="H357" s="78">
        <v>0.50865784206592701</v>
      </c>
      <c r="I357" s="52">
        <v>111360</v>
      </c>
      <c r="J357" s="82">
        <v>1.450233963526147E-2</v>
      </c>
      <c r="K357" s="59">
        <v>550</v>
      </c>
      <c r="L357" s="60">
        <v>1595</v>
      </c>
      <c r="M357" s="66">
        <v>2.3081850164169659E-4</v>
      </c>
      <c r="N357" s="67">
        <v>6.0514616296989601E-5</v>
      </c>
      <c r="O357" s="67">
        <v>5.4171180931744312E-5</v>
      </c>
      <c r="P357" s="67">
        <v>5.7694859580327592E-5</v>
      </c>
      <c r="Q357" s="67">
        <v>5.2588493287078833E-5</v>
      </c>
      <c r="R357" s="67">
        <v>5.7313765532030458E-5</v>
      </c>
      <c r="S357" s="67">
        <v>9.32503287369184E-5</v>
      </c>
      <c r="T357" s="67">
        <v>2.659988050515219E-4</v>
      </c>
      <c r="U357" s="67">
        <v>1.1732146080259912E-3</v>
      </c>
      <c r="V357" s="67">
        <v>4.9389367816091954E-3</v>
      </c>
      <c r="W357" s="68">
        <v>2.0771580206754709E-4</v>
      </c>
    </row>
    <row r="358" spans="1:23" x14ac:dyDescent="0.3">
      <c r="A358" s="44" t="s">
        <v>416</v>
      </c>
      <c r="B358" t="s">
        <v>382</v>
      </c>
      <c r="C358" s="45">
        <v>2011</v>
      </c>
      <c r="D358" s="91">
        <v>7752831</v>
      </c>
      <c r="E358" s="2">
        <v>3807156</v>
      </c>
      <c r="F358" s="5">
        <v>0.49106655362408907</v>
      </c>
      <c r="G358" s="2">
        <v>3945678</v>
      </c>
      <c r="H358" s="78">
        <v>0.50893383333133402</v>
      </c>
      <c r="I358" s="52">
        <v>113679</v>
      </c>
      <c r="J358" s="82">
        <v>1.4662901848369969E-2</v>
      </c>
      <c r="K358" s="59">
        <v>661</v>
      </c>
      <c r="L358" s="60">
        <v>1790</v>
      </c>
      <c r="M358" s="66">
        <v>2.3998080153587713E-4</v>
      </c>
      <c r="N358" s="67">
        <v>6.0088028962429959E-5</v>
      </c>
      <c r="O358" s="67">
        <v>5.4630081508081613E-5</v>
      </c>
      <c r="P358" s="67">
        <v>5.6924375966528464E-5</v>
      </c>
      <c r="Q358" s="67">
        <v>5.4272807695160494E-5</v>
      </c>
      <c r="R358" s="67">
        <v>6.324407941405215E-5</v>
      </c>
      <c r="S358" s="67">
        <v>1.0154233984455193E-4</v>
      </c>
      <c r="T358" s="67">
        <v>3.8100911327381597E-4</v>
      </c>
      <c r="U358" s="67">
        <v>1.1777721045017446E-3</v>
      </c>
      <c r="V358" s="67">
        <v>5.8146183551931315E-3</v>
      </c>
      <c r="W358" s="68">
        <v>2.3088340246291969E-4</v>
      </c>
    </row>
    <row r="359" spans="1:23" x14ac:dyDescent="0.3">
      <c r="A359" s="44" t="s">
        <v>418</v>
      </c>
      <c r="B359" t="s">
        <v>382</v>
      </c>
      <c r="C359" s="45">
        <v>2015</v>
      </c>
      <c r="D359" s="91">
        <v>7833844</v>
      </c>
      <c r="E359" s="2">
        <v>3850960</v>
      </c>
      <c r="F359" s="5">
        <v>0.4915798680698773</v>
      </c>
      <c r="G359" s="2">
        <v>3982890</v>
      </c>
      <c r="H359" s="78">
        <v>0.50842089783763889</v>
      </c>
      <c r="I359" s="52">
        <v>128355</v>
      </c>
      <c r="J359" s="82">
        <v>1.6384676539384753E-2</v>
      </c>
      <c r="K359" s="59">
        <v>632</v>
      </c>
      <c r="L359" s="60">
        <v>1807</v>
      </c>
      <c r="M359" s="66">
        <v>2.4355937673155493E-4</v>
      </c>
      <c r="N359" s="67">
        <v>6.0247920191588388E-5</v>
      </c>
      <c r="O359" s="67">
        <v>5.5662293156599368E-5</v>
      </c>
      <c r="P359" s="67">
        <v>5.4231552459536482E-5</v>
      </c>
      <c r="Q359" s="67">
        <v>5.7428523024530593E-5</v>
      </c>
      <c r="R359" s="67">
        <v>5.3218806461827478E-5</v>
      </c>
      <c r="S359" s="67">
        <v>1.2525205682509843E-4</v>
      </c>
      <c r="T359" s="67">
        <v>3.7354936938529447E-4</v>
      </c>
      <c r="U359" s="67">
        <v>1.1699894366668003E-3</v>
      </c>
      <c r="V359" s="67">
        <v>4.9238440263332161E-3</v>
      </c>
      <c r="W359" s="68">
        <v>2.3066581361589535E-4</v>
      </c>
    </row>
    <row r="360" spans="1:23" x14ac:dyDescent="0.3">
      <c r="A360" s="44" t="s">
        <v>476</v>
      </c>
      <c r="B360" t="s">
        <v>382</v>
      </c>
      <c r="C360" s="45">
        <v>2016</v>
      </c>
      <c r="D360" s="91">
        <v>7858495</v>
      </c>
      <c r="E360" s="2">
        <v>3866250</v>
      </c>
      <c r="F360" s="5">
        <v>0.49198351592766809</v>
      </c>
      <c r="G360" s="2">
        <v>3992249</v>
      </c>
      <c r="H360" s="78">
        <v>0.50801699307564618</v>
      </c>
      <c r="I360" s="52">
        <v>125813</v>
      </c>
      <c r="J360" s="82">
        <v>1.6009808493865556E-2</v>
      </c>
      <c r="K360" s="59">
        <v>494</v>
      </c>
      <c r="L360" s="60">
        <v>1572</v>
      </c>
      <c r="M360" s="66">
        <v>2.4609478340582874E-4</v>
      </c>
      <c r="N360" s="67">
        <v>6.0562504542187842E-5</v>
      </c>
      <c r="O360" s="67">
        <v>5.5297500552975008E-5</v>
      </c>
      <c r="P360" s="67">
        <v>5.4174751495900326E-5</v>
      </c>
      <c r="Q360" s="67">
        <v>5.7555392268776008E-5</v>
      </c>
      <c r="R360" s="67">
        <v>5.3864944424843592E-5</v>
      </c>
      <c r="S360" s="67">
        <v>1.126111138979518E-4</v>
      </c>
      <c r="T360" s="67">
        <v>3.0935287545902037E-4</v>
      </c>
      <c r="U360" s="67">
        <v>9.7643320534886798E-4</v>
      </c>
      <c r="V360" s="67">
        <v>3.9264622892705844E-3</v>
      </c>
      <c r="W360" s="68">
        <v>2.0003830249939715E-4</v>
      </c>
    </row>
    <row r="361" spans="1:23" x14ac:dyDescent="0.3">
      <c r="A361" s="44" t="s">
        <v>468</v>
      </c>
      <c r="B361" t="s">
        <v>382</v>
      </c>
      <c r="C361" s="45">
        <v>2017</v>
      </c>
      <c r="D361" s="91">
        <v>7945624</v>
      </c>
      <c r="E361" s="2">
        <v>3904752</v>
      </c>
      <c r="F361" s="5">
        <v>0.4914342787929557</v>
      </c>
      <c r="G361" s="2">
        <v>4040874</v>
      </c>
      <c r="H361" s="78">
        <v>0.50856597291792316</v>
      </c>
      <c r="I361" s="52">
        <v>131483</v>
      </c>
      <c r="J361" s="82">
        <v>1.6547850741489907E-2</v>
      </c>
      <c r="K361" s="59">
        <v>511</v>
      </c>
      <c r="L361" s="60">
        <v>1632</v>
      </c>
      <c r="M361" s="66">
        <v>2.4524881514166185E-4</v>
      </c>
      <c r="N361" s="67">
        <v>6.0309508397093888E-5</v>
      </c>
      <c r="O361" s="67">
        <v>5.5367306712732266E-5</v>
      </c>
      <c r="P361" s="67">
        <v>5.3732241494186173E-5</v>
      </c>
      <c r="Q361" s="67">
        <v>5.7311133547358577E-5</v>
      </c>
      <c r="R361" s="67">
        <v>6.1218463488588163E-5</v>
      </c>
      <c r="S361" s="67">
        <v>1.0705599028291796E-4</v>
      </c>
      <c r="T361" s="67">
        <v>3.2131082634748778E-4</v>
      </c>
      <c r="U361" s="67">
        <v>9.9733411009302118E-4</v>
      </c>
      <c r="V361" s="67">
        <v>3.8864339876638044E-3</v>
      </c>
      <c r="W361" s="68">
        <v>2.0539607713629539E-4</v>
      </c>
    </row>
    <row r="362" spans="1:23" x14ac:dyDescent="0.3">
      <c r="A362" s="44" t="s">
        <v>485</v>
      </c>
      <c r="B362" t="s">
        <v>472</v>
      </c>
      <c r="C362" s="45">
        <v>2009</v>
      </c>
      <c r="D362" s="91">
        <v>8650548</v>
      </c>
      <c r="E362" s="2">
        <v>4231941</v>
      </c>
      <c r="F362" s="5">
        <v>0.48921074133106945</v>
      </c>
      <c r="G362" s="2">
        <v>4418607</v>
      </c>
      <c r="H362" s="78">
        <v>0.51078925866893055</v>
      </c>
      <c r="I362" s="52">
        <v>161660</v>
      </c>
      <c r="J362" s="82">
        <v>1.8687833418183451E-2</v>
      </c>
      <c r="K362" s="59">
        <v>605</v>
      </c>
      <c r="L362" s="60">
        <v>1673</v>
      </c>
      <c r="M362" s="66">
        <v>2.1371707421325402E-4</v>
      </c>
      <c r="N362" s="67">
        <v>5.2350995977698473E-5</v>
      </c>
      <c r="O362" s="67">
        <v>5.4542132433751764E-5</v>
      </c>
      <c r="P362" s="67">
        <v>5.4353143242273701E-5</v>
      </c>
      <c r="Q362" s="67">
        <v>4.5601991895005976E-5</v>
      </c>
      <c r="R362" s="67">
        <v>4.965684113271769E-5</v>
      </c>
      <c r="S362" s="67">
        <v>9.7559235765006021E-5</v>
      </c>
      <c r="T362" s="67">
        <v>2.1823396759745186E-4</v>
      </c>
      <c r="U362" s="67">
        <v>9.0198212435426285E-4</v>
      </c>
      <c r="V362" s="67">
        <v>3.7424223679326982E-3</v>
      </c>
      <c r="W362" s="68">
        <v>1.9339815234826742E-4</v>
      </c>
    </row>
    <row r="363" spans="1:23" x14ac:dyDescent="0.3">
      <c r="A363" s="44" t="s">
        <v>518</v>
      </c>
      <c r="B363" t="s">
        <v>472</v>
      </c>
      <c r="C363" s="45">
        <v>2010</v>
      </c>
      <c r="D363" s="91">
        <v>8721577</v>
      </c>
      <c r="E363" s="2">
        <v>4244502</v>
      </c>
      <c r="F363" s="5">
        <v>0.48666680349207486</v>
      </c>
      <c r="G363" s="2">
        <v>4477075</v>
      </c>
      <c r="H363" s="78">
        <v>0.51333319650792508</v>
      </c>
      <c r="I363" s="52">
        <v>166423</v>
      </c>
      <c r="J363" s="82">
        <v>1.9081755512793157E-2</v>
      </c>
      <c r="K363" s="59">
        <v>546</v>
      </c>
      <c r="L363" s="60">
        <v>1505</v>
      </c>
      <c r="M363" s="66">
        <v>2.1935156022936863E-4</v>
      </c>
      <c r="N363" s="67">
        <v>5.1892161170133639E-5</v>
      </c>
      <c r="O363" s="67">
        <v>5.3212529067344003E-5</v>
      </c>
      <c r="P363" s="67">
        <v>5.4698411193482865E-5</v>
      </c>
      <c r="Q363" s="67">
        <v>4.6356889329107645E-5</v>
      </c>
      <c r="R363" s="67">
        <v>4.4425292207359494E-5</v>
      </c>
      <c r="S363" s="67">
        <v>7.65228808448126E-5</v>
      </c>
      <c r="T363" s="67">
        <v>1.9957424161788184E-4</v>
      </c>
      <c r="U363" s="67">
        <v>7.0974434313905526E-4</v>
      </c>
      <c r="V363" s="67">
        <v>3.2807965245188466E-3</v>
      </c>
      <c r="W363" s="68">
        <v>1.7256053578383818E-4</v>
      </c>
    </row>
    <row r="364" spans="1:23" x14ac:dyDescent="0.3">
      <c r="A364" s="44" t="s">
        <v>503</v>
      </c>
      <c r="B364" t="s">
        <v>472</v>
      </c>
      <c r="C364" s="45">
        <v>2011</v>
      </c>
      <c r="D364" s="91">
        <v>8753064</v>
      </c>
      <c r="E364" s="2">
        <v>4261485</v>
      </c>
      <c r="F364" s="5">
        <v>0.48685637395088166</v>
      </c>
      <c r="G364" s="2">
        <v>4491579</v>
      </c>
      <c r="H364" s="78">
        <v>0.51314362604911834</v>
      </c>
      <c r="I364" s="52">
        <v>172164</v>
      </c>
      <c r="J364" s="82">
        <v>1.9668998193089871E-2</v>
      </c>
      <c r="K364" s="59">
        <v>603</v>
      </c>
      <c r="L364" s="60">
        <v>1592</v>
      </c>
      <c r="M364" s="66">
        <v>2.2083220616894768E-4</v>
      </c>
      <c r="N364" s="67">
        <v>5.2155590557751889E-5</v>
      </c>
      <c r="O364" s="67">
        <v>5.3030704778066499E-5</v>
      </c>
      <c r="P364" s="67">
        <v>5.4376344115256102E-5</v>
      </c>
      <c r="Q364" s="67">
        <v>4.7403474674693655E-5</v>
      </c>
      <c r="R364" s="67">
        <v>4.9213212939696188E-5</v>
      </c>
      <c r="S364" s="67">
        <v>8.4220422473142505E-5</v>
      </c>
      <c r="T364" s="67">
        <v>2.0660709495428818E-4</v>
      </c>
      <c r="U364" s="67">
        <v>7.2862472083941559E-4</v>
      </c>
      <c r="V364" s="67">
        <v>3.5024743848888268E-3</v>
      </c>
      <c r="W364" s="68">
        <v>1.8187916825468202E-4</v>
      </c>
    </row>
    <row r="365" spans="1:23" x14ac:dyDescent="0.3">
      <c r="A365" s="44" t="s">
        <v>517</v>
      </c>
      <c r="B365" t="s">
        <v>472</v>
      </c>
      <c r="C365" s="45">
        <v>2012</v>
      </c>
      <c r="D365" s="91">
        <v>8793888</v>
      </c>
      <c r="E365" s="2">
        <v>4283189</v>
      </c>
      <c r="F365" s="5">
        <v>0.4870643110305703</v>
      </c>
      <c r="G365" s="2">
        <v>4510699</v>
      </c>
      <c r="H365" s="78">
        <v>0.51293568896942965</v>
      </c>
      <c r="I365" s="52">
        <v>177904</v>
      </c>
      <c r="J365" s="82">
        <v>2.023041457885295E-2</v>
      </c>
      <c r="K365" s="59">
        <v>571</v>
      </c>
      <c r="L365" s="60">
        <v>1525</v>
      </c>
      <c r="M365" s="66">
        <v>2.229070421907304E-4</v>
      </c>
      <c r="N365" s="67">
        <v>5.2216321777861324E-5</v>
      </c>
      <c r="O365" s="67">
        <v>5.274145698274915E-5</v>
      </c>
      <c r="P365" s="67">
        <v>5.3897072760149945E-5</v>
      </c>
      <c r="Q365" s="67">
        <v>4.8294519296477641E-5</v>
      </c>
      <c r="R365" s="67">
        <v>4.3904805600497002E-5</v>
      </c>
      <c r="S365" s="67">
        <v>6.9491909428243421E-5</v>
      </c>
      <c r="T365" s="67">
        <v>1.8950769754571471E-4</v>
      </c>
      <c r="U365" s="67">
        <v>7.1124827842731196E-4</v>
      </c>
      <c r="V365" s="67">
        <v>3.2095961867074376E-3</v>
      </c>
      <c r="W365" s="68">
        <v>1.7341589977038597E-4</v>
      </c>
    </row>
    <row r="366" spans="1:23" x14ac:dyDescent="0.3">
      <c r="A366" s="44" t="s">
        <v>480</v>
      </c>
      <c r="B366" t="s">
        <v>472</v>
      </c>
      <c r="C366" s="45">
        <v>2013</v>
      </c>
      <c r="D366" s="91">
        <v>8832406</v>
      </c>
      <c r="E366" s="2">
        <v>4304817</v>
      </c>
      <c r="F366" s="5">
        <v>0.48738894022761181</v>
      </c>
      <c r="G366" s="2">
        <v>4527589</v>
      </c>
      <c r="H366" s="78">
        <v>0.51261105977238819</v>
      </c>
      <c r="I366" s="52">
        <v>184444</v>
      </c>
      <c r="J366" s="82">
        <v>2.0882645113913467E-2</v>
      </c>
      <c r="K366" s="59">
        <v>690</v>
      </c>
      <c r="L366" s="60">
        <v>1744</v>
      </c>
      <c r="M366" s="66">
        <v>2.2291118289676797E-4</v>
      </c>
      <c r="N366" s="67">
        <v>5.252054866466505E-5</v>
      </c>
      <c r="O366" s="67">
        <v>5.2477690421859406E-5</v>
      </c>
      <c r="P366" s="67">
        <v>5.3471599005784736E-5</v>
      </c>
      <c r="Q366" s="67">
        <v>5.4247987276381163E-5</v>
      </c>
      <c r="R366" s="67">
        <v>4.382585067802243E-5</v>
      </c>
      <c r="S366" s="67">
        <v>8.5284683983165549E-5</v>
      </c>
      <c r="T366" s="67">
        <v>2.2060959713891102E-4</v>
      </c>
      <c r="U366" s="67">
        <v>8.4824319691178521E-4</v>
      </c>
      <c r="V366" s="67">
        <v>3.7409728698141443E-3</v>
      </c>
      <c r="W366" s="68">
        <v>1.9745469128117524E-4</v>
      </c>
    </row>
    <row r="367" spans="1:23" x14ac:dyDescent="0.3">
      <c r="A367" s="44" t="s">
        <v>504</v>
      </c>
      <c r="B367" t="s">
        <v>472</v>
      </c>
      <c r="C367" s="45">
        <v>2016</v>
      </c>
      <c r="D367" s="91">
        <v>8850952</v>
      </c>
      <c r="E367" s="2">
        <v>4319124</v>
      </c>
      <c r="F367" s="5">
        <v>0.48798411741471426</v>
      </c>
      <c r="G367" s="2">
        <v>4531828</v>
      </c>
      <c r="H367" s="78">
        <v>0.51201588258528574</v>
      </c>
      <c r="I367" s="52">
        <v>193400</v>
      </c>
      <c r="J367" s="82">
        <v>2.1850756845139371E-2</v>
      </c>
      <c r="K367" s="59">
        <v>581</v>
      </c>
      <c r="L367" s="60">
        <v>1609</v>
      </c>
      <c r="M367" s="66">
        <v>2.2867683770423701E-4</v>
      </c>
      <c r="N367" s="67">
        <v>5.373435882371906E-5</v>
      </c>
      <c r="O367" s="67">
        <v>5.2536368300956335E-5</v>
      </c>
      <c r="P367" s="67">
        <v>5.2587433181092711E-5</v>
      </c>
      <c r="Q367" s="67">
        <v>5.1662365774715923E-5</v>
      </c>
      <c r="R367" s="67">
        <v>4.537627138640391E-5</v>
      </c>
      <c r="S367" s="67">
        <v>8.5784839367888282E-5</v>
      </c>
      <c r="T367" s="67">
        <v>2.3460329138700519E-4</v>
      </c>
      <c r="U367" s="67">
        <v>7.2425853710085238E-4</v>
      </c>
      <c r="V367" s="67">
        <v>3.0041365046535678E-3</v>
      </c>
      <c r="W367" s="68">
        <v>1.8178835451824845E-4</v>
      </c>
    </row>
    <row r="368" spans="1:23" x14ac:dyDescent="0.3">
      <c r="A368" s="44" t="s">
        <v>509</v>
      </c>
      <c r="B368" t="s">
        <v>472</v>
      </c>
      <c r="C368" s="45">
        <v>2014</v>
      </c>
      <c r="D368" s="91">
        <v>8874374</v>
      </c>
      <c r="E368" s="2">
        <v>4326518</v>
      </c>
      <c r="F368" s="5">
        <v>0.48752937390288037</v>
      </c>
      <c r="G368" s="2">
        <v>4547856</v>
      </c>
      <c r="H368" s="78">
        <v>0.51247062609711969</v>
      </c>
      <c r="I368" s="52">
        <v>188711</v>
      </c>
      <c r="J368" s="82">
        <v>2.1264711178501153E-2</v>
      </c>
      <c r="K368" s="59">
        <v>633</v>
      </c>
      <c r="L368" s="60">
        <v>1604</v>
      </c>
      <c r="M368" s="66">
        <v>2.2359276304756935E-4</v>
      </c>
      <c r="N368" s="67">
        <v>5.2660172497171712E-5</v>
      </c>
      <c r="O368" s="67">
        <v>5.2233732021802359E-5</v>
      </c>
      <c r="P368" s="67">
        <v>5.2969889266446491E-5</v>
      </c>
      <c r="Q368" s="67">
        <v>4.9945018858406702E-5</v>
      </c>
      <c r="R368" s="67">
        <v>4.3974245750072374E-5</v>
      </c>
      <c r="S368" s="67">
        <v>7.4970170001634889E-5</v>
      </c>
      <c r="T368" s="67">
        <v>2.00114991450311E-4</v>
      </c>
      <c r="U368" s="67">
        <v>7.0312840818400409E-4</v>
      </c>
      <c r="V368" s="67">
        <v>3.3543354653411831E-3</v>
      </c>
      <c r="W368" s="68">
        <v>1.8074514326306285E-4</v>
      </c>
    </row>
    <row r="369" spans="1:23" x14ac:dyDescent="0.3">
      <c r="A369" s="44" t="s">
        <v>471</v>
      </c>
      <c r="B369" t="s">
        <v>472</v>
      </c>
      <c r="C369" s="45">
        <v>2015</v>
      </c>
      <c r="D369" s="91">
        <v>8904413</v>
      </c>
      <c r="E369" s="2">
        <v>4343027</v>
      </c>
      <c r="F369" s="5">
        <v>0.48773872011552027</v>
      </c>
      <c r="G369" s="2">
        <v>4561386</v>
      </c>
      <c r="H369" s="78">
        <v>0.51226127988447978</v>
      </c>
      <c r="I369" s="52">
        <v>191628</v>
      </c>
      <c r="J369" s="82">
        <v>2.1520565140004177E-2</v>
      </c>
      <c r="K369" s="59">
        <v>754</v>
      </c>
      <c r="L369" s="60">
        <v>1808</v>
      </c>
      <c r="M369" s="66">
        <v>2.2515718786177599E-4</v>
      </c>
      <c r="N369" s="67">
        <v>5.3076161638142654E-5</v>
      </c>
      <c r="O369" s="67">
        <v>5.2286488125738547E-5</v>
      </c>
      <c r="P369" s="67">
        <v>5.2596791245088773E-5</v>
      </c>
      <c r="Q369" s="67">
        <v>5.0473101201932782E-5</v>
      </c>
      <c r="R369" s="67">
        <v>4.8048811678965934E-5</v>
      </c>
      <c r="S369" s="67">
        <v>7.7803122734426111E-5</v>
      </c>
      <c r="T369" s="67">
        <v>2.1448242531007009E-4</v>
      </c>
      <c r="U369" s="67">
        <v>8.5126081757043481E-4</v>
      </c>
      <c r="V369" s="67">
        <v>3.9347068278122194E-3</v>
      </c>
      <c r="W369" s="68">
        <v>2.030453888425885E-4</v>
      </c>
    </row>
    <row r="370" spans="1:23" x14ac:dyDescent="0.3">
      <c r="A370" s="44" t="s">
        <v>486</v>
      </c>
      <c r="B370" t="s">
        <v>472</v>
      </c>
      <c r="C370" s="45">
        <v>2017</v>
      </c>
      <c r="D370" s="91">
        <v>8960557</v>
      </c>
      <c r="E370" s="2">
        <v>4371945</v>
      </c>
      <c r="F370" s="5">
        <v>0.4879099591688329</v>
      </c>
      <c r="G370" s="2">
        <v>4588612</v>
      </c>
      <c r="H370" s="78">
        <v>0.51209004083116705</v>
      </c>
      <c r="I370" s="52">
        <v>198172</v>
      </c>
      <c r="J370" s="82">
        <v>2.2116035866966751E-2</v>
      </c>
      <c r="K370" s="59">
        <v>650</v>
      </c>
      <c r="L370" s="60">
        <v>1718</v>
      </c>
      <c r="M370" s="66">
        <v>2.269636612264738E-4</v>
      </c>
      <c r="N370" s="67">
        <v>5.3500397240449511E-5</v>
      </c>
      <c r="O370" s="67">
        <v>5.2043081262669238E-5</v>
      </c>
      <c r="P370" s="67">
        <v>5.2046918562186528E-5</v>
      </c>
      <c r="Q370" s="67">
        <v>5.1525365508061574E-5</v>
      </c>
      <c r="R370" s="67">
        <v>4.5600640232988868E-5</v>
      </c>
      <c r="S370" s="67">
        <v>8.4325650329636635E-5</v>
      </c>
      <c r="T370" s="67">
        <v>1.9378584540402359E-4</v>
      </c>
      <c r="U370" s="67">
        <v>8.6005436145351693E-4</v>
      </c>
      <c r="V370" s="67">
        <v>3.2799790081343479E-3</v>
      </c>
      <c r="W370" s="68">
        <v>1.9172915255156572E-4</v>
      </c>
    </row>
    <row r="371" spans="1:23" x14ac:dyDescent="0.3">
      <c r="A371" s="44" t="s">
        <v>420</v>
      </c>
      <c r="B371" t="s">
        <v>332</v>
      </c>
      <c r="C371" s="45">
        <v>2009</v>
      </c>
      <c r="D371" s="91">
        <v>8979738</v>
      </c>
      <c r="E371" s="2">
        <v>4392556</v>
      </c>
      <c r="F371" s="5">
        <v>0.48916304685058742</v>
      </c>
      <c r="G371" s="2">
        <v>4587183</v>
      </c>
      <c r="H371" s="78">
        <v>0.51083706451123634</v>
      </c>
      <c r="I371" s="52">
        <v>132098</v>
      </c>
      <c r="J371" s="82">
        <v>1.4710674186707897E-2</v>
      </c>
      <c r="K371" s="59">
        <v>697</v>
      </c>
      <c r="L371" s="60">
        <v>2057</v>
      </c>
      <c r="M371" s="66">
        <v>1.9046409751761792E-4</v>
      </c>
      <c r="N371" s="67">
        <v>5.0240568589261584E-5</v>
      </c>
      <c r="O371" s="67">
        <v>4.762169326867366E-5</v>
      </c>
      <c r="P371" s="67">
        <v>4.9982506122857E-5</v>
      </c>
      <c r="Q371" s="67">
        <v>4.5694684870413683E-5</v>
      </c>
      <c r="R371" s="67">
        <v>7.213259224935296E-5</v>
      </c>
      <c r="S371" s="67">
        <v>1.1327594019030358E-4</v>
      </c>
      <c r="T371" s="67">
        <v>4.3273255630100213E-4</v>
      </c>
      <c r="U371" s="67">
        <v>1.254622292657158E-3</v>
      </c>
      <c r="V371" s="67">
        <v>5.2763857136368456E-3</v>
      </c>
      <c r="W371" s="68">
        <v>2.2907127134444235E-4</v>
      </c>
    </row>
    <row r="372" spans="1:23" x14ac:dyDescent="0.3">
      <c r="A372" s="44" t="s">
        <v>331</v>
      </c>
      <c r="B372" t="s">
        <v>332</v>
      </c>
      <c r="C372" s="45">
        <v>2015</v>
      </c>
      <c r="D372" s="91">
        <v>9104855</v>
      </c>
      <c r="E372" s="2">
        <v>4437335</v>
      </c>
      <c r="F372" s="5">
        <v>0.48735921659378428</v>
      </c>
      <c r="G372" s="2">
        <v>4667522</v>
      </c>
      <c r="H372" s="78">
        <v>0.51264100306924165</v>
      </c>
      <c r="I372" s="52">
        <v>144833</v>
      </c>
      <c r="J372" s="82">
        <v>1.5907227517626583E-2</v>
      </c>
      <c r="K372" s="59">
        <v>903</v>
      </c>
      <c r="L372" s="60">
        <v>2471</v>
      </c>
      <c r="M372" s="66">
        <v>2.1015614601649027E-4</v>
      </c>
      <c r="N372" s="67">
        <v>4.9934793482177858E-5</v>
      </c>
      <c r="O372" s="67">
        <v>4.7258234747404736E-5</v>
      </c>
      <c r="P372" s="67">
        <v>5.0393277536776591E-5</v>
      </c>
      <c r="Q372" s="67">
        <v>4.9387715793450696E-5</v>
      </c>
      <c r="R372" s="67">
        <v>6.4847714632095983E-5</v>
      </c>
      <c r="S372" s="67">
        <v>1.7010377220700294E-4</v>
      </c>
      <c r="T372" s="67">
        <v>4.8928860118421249E-4</v>
      </c>
      <c r="U372" s="67">
        <v>1.3412616801537979E-3</v>
      </c>
      <c r="V372" s="67">
        <v>6.2347669384739662E-3</v>
      </c>
      <c r="W372" s="68">
        <v>2.7139366854277196E-4</v>
      </c>
    </row>
    <row r="373" spans="1:23" x14ac:dyDescent="0.3">
      <c r="A373" s="44" t="s">
        <v>436</v>
      </c>
      <c r="B373" t="s">
        <v>332</v>
      </c>
      <c r="C373" s="45">
        <v>2010</v>
      </c>
      <c r="D373" s="91">
        <v>9228859</v>
      </c>
      <c r="E373" s="2">
        <v>4498188</v>
      </c>
      <c r="F373" s="5">
        <v>0.48740456431287987</v>
      </c>
      <c r="G373" s="2">
        <v>4730671</v>
      </c>
      <c r="H373" s="78">
        <v>0.51259543568712018</v>
      </c>
      <c r="I373" s="52">
        <v>134211</v>
      </c>
      <c r="J373" s="82">
        <v>1.4542534456317948E-2</v>
      </c>
      <c r="K373" s="59">
        <v>783</v>
      </c>
      <c r="L373" s="60">
        <v>2057</v>
      </c>
      <c r="M373" s="66">
        <v>1.9369647117312269E-4</v>
      </c>
      <c r="N373" s="67">
        <v>4.8734091365050025E-5</v>
      </c>
      <c r="O373" s="67">
        <v>4.660834926432605E-5</v>
      </c>
      <c r="P373" s="67">
        <v>4.9355621235091517E-5</v>
      </c>
      <c r="Q373" s="67">
        <v>4.500942947547511E-5</v>
      </c>
      <c r="R373" s="67">
        <v>5.3649528035278717E-5</v>
      </c>
      <c r="S373" s="67">
        <v>1.2236768288320852E-4</v>
      </c>
      <c r="T373" s="67">
        <v>3.2925143989538154E-4</v>
      </c>
      <c r="U373" s="67">
        <v>1.1591789851387985E-3</v>
      </c>
      <c r="V373" s="67">
        <v>5.834097056128037E-3</v>
      </c>
      <c r="W373" s="68">
        <v>2.2288779143770645E-4</v>
      </c>
    </row>
    <row r="374" spans="1:23" x14ac:dyDescent="0.3">
      <c r="A374" s="44" t="s">
        <v>458</v>
      </c>
      <c r="B374" t="s">
        <v>332</v>
      </c>
      <c r="C374" s="45">
        <v>2011</v>
      </c>
      <c r="D374" s="91">
        <v>9277834</v>
      </c>
      <c r="E374" s="2">
        <v>4519697</v>
      </c>
      <c r="F374" s="5">
        <v>0.48715001798911256</v>
      </c>
      <c r="G374" s="2">
        <v>4758137</v>
      </c>
      <c r="H374" s="78">
        <v>0.5128499820108875</v>
      </c>
      <c r="I374" s="52">
        <v>137573</v>
      </c>
      <c r="J374" s="82">
        <v>1.4828137688171613E-2</v>
      </c>
      <c r="K374" s="59">
        <v>709</v>
      </c>
      <c r="L374" s="60">
        <v>1942</v>
      </c>
      <c r="M374" s="66">
        <v>1.9378812175707691E-4</v>
      </c>
      <c r="N374" s="67">
        <v>4.851221133212915E-5</v>
      </c>
      <c r="O374" s="67">
        <v>4.6392410201691E-5</v>
      </c>
      <c r="P374" s="67">
        <v>4.928532176333024E-5</v>
      </c>
      <c r="Q374" s="67">
        <v>4.5550235456758782E-5</v>
      </c>
      <c r="R374" s="67">
        <v>4.8990162021771227E-5</v>
      </c>
      <c r="S374" s="67">
        <v>1.0395775451250253E-4</v>
      </c>
      <c r="T374" s="67">
        <v>3.3806318598023164E-4</v>
      </c>
      <c r="U374" s="67">
        <v>1.082302256547666E-3</v>
      </c>
      <c r="V374" s="67">
        <v>5.1536275286575128E-3</v>
      </c>
      <c r="W374" s="68">
        <v>2.0931609683898204E-4</v>
      </c>
    </row>
    <row r="375" spans="1:23" x14ac:dyDescent="0.3">
      <c r="A375" s="44" t="s">
        <v>387</v>
      </c>
      <c r="B375" t="s">
        <v>332</v>
      </c>
      <c r="C375" s="45">
        <v>2012</v>
      </c>
      <c r="D375" s="91">
        <v>9334402</v>
      </c>
      <c r="E375" s="2">
        <v>4546044</v>
      </c>
      <c r="F375" s="5">
        <v>0.48702037902374462</v>
      </c>
      <c r="G375" s="2">
        <v>4788358</v>
      </c>
      <c r="H375" s="78">
        <v>0.51297962097625538</v>
      </c>
      <c r="I375" s="52">
        <v>140169</v>
      </c>
      <c r="J375" s="82">
        <v>1.5016387766457884E-2</v>
      </c>
      <c r="K375" s="59">
        <v>794</v>
      </c>
      <c r="L375" s="60">
        <v>2262</v>
      </c>
      <c r="M375" s="66">
        <v>1.9473533034414602E-4</v>
      </c>
      <c r="N375" s="67">
        <v>4.8306106133345786E-5</v>
      </c>
      <c r="O375" s="67">
        <v>4.6076756196363778E-5</v>
      </c>
      <c r="P375" s="67">
        <v>4.8965561704360626E-5</v>
      </c>
      <c r="Q375" s="67">
        <v>4.6022257897994736E-5</v>
      </c>
      <c r="R375" s="67">
        <v>5.3492011231815542E-5</v>
      </c>
      <c r="S375" s="67">
        <v>1.5672879972761616E-4</v>
      </c>
      <c r="T375" s="67">
        <v>4.2781154682346276E-4</v>
      </c>
      <c r="U375" s="67">
        <v>1.3353826656856405E-3</v>
      </c>
      <c r="V375" s="67">
        <v>5.6645906013455182E-3</v>
      </c>
      <c r="W375" s="68">
        <v>2.4232939614128468E-4</v>
      </c>
    </row>
    <row r="376" spans="1:23" x14ac:dyDescent="0.3">
      <c r="A376" s="44" t="s">
        <v>490</v>
      </c>
      <c r="B376" t="s">
        <v>483</v>
      </c>
      <c r="C376" s="45">
        <v>2010</v>
      </c>
      <c r="D376" s="91">
        <v>9411405</v>
      </c>
      <c r="E376" s="2">
        <v>4599379</v>
      </c>
      <c r="F376" s="5">
        <v>0.48870269635617636</v>
      </c>
      <c r="G376" s="2">
        <v>4812031</v>
      </c>
      <c r="H376" s="78">
        <v>0.51129783491412817</v>
      </c>
      <c r="I376" s="52">
        <v>108740</v>
      </c>
      <c r="J376" s="82">
        <v>1.1554066581982179E-2</v>
      </c>
      <c r="K376" s="59">
        <v>557</v>
      </c>
      <c r="L376" s="60">
        <v>1780</v>
      </c>
      <c r="M376" s="66">
        <v>1.7545860492863222E-4</v>
      </c>
      <c r="N376" s="67">
        <v>4.4579437585815416E-5</v>
      </c>
      <c r="O376" s="67">
        <v>4.39476729707162E-5</v>
      </c>
      <c r="P376" s="67">
        <v>4.5732962184938003E-5</v>
      </c>
      <c r="Q376" s="67">
        <v>4.2483921605835592E-5</v>
      </c>
      <c r="R376" s="67">
        <v>5.3905974503971448E-5</v>
      </c>
      <c r="S376" s="67">
        <v>1.1680549066361629E-4</v>
      </c>
      <c r="T376" s="67">
        <v>4.0047266549577798E-4</v>
      </c>
      <c r="U376" s="67">
        <v>1.3121865982901404E-3</v>
      </c>
      <c r="V376" s="67">
        <v>5.1223100974802285E-3</v>
      </c>
      <c r="W376" s="68">
        <v>1.8913222839735407E-4</v>
      </c>
    </row>
    <row r="377" spans="1:23" x14ac:dyDescent="0.3">
      <c r="A377" s="44" t="s">
        <v>397</v>
      </c>
      <c r="B377" t="s">
        <v>332</v>
      </c>
      <c r="C377" s="45">
        <v>2016</v>
      </c>
      <c r="D377" s="91">
        <v>9439599</v>
      </c>
      <c r="E377" s="2">
        <v>4591154</v>
      </c>
      <c r="F377" s="5">
        <v>0.48637171981564048</v>
      </c>
      <c r="G377" s="2">
        <v>4848446</v>
      </c>
      <c r="H377" s="78">
        <v>0.51362838612106299</v>
      </c>
      <c r="I377" s="52">
        <v>151983</v>
      </c>
      <c r="J377" s="82">
        <v>1.6100578001247721E-2</v>
      </c>
      <c r="K377" s="59">
        <v>740</v>
      </c>
      <c r="L377" s="60">
        <v>2248</v>
      </c>
      <c r="M377" s="66">
        <v>2.0648536104825736E-4</v>
      </c>
      <c r="N377" s="67">
        <v>4.8386394391049164E-5</v>
      </c>
      <c r="O377" s="67">
        <v>4.6077994685671279E-5</v>
      </c>
      <c r="P377" s="67">
        <v>4.8262548262548262E-5</v>
      </c>
      <c r="Q377" s="67">
        <v>4.8083126108416231E-5</v>
      </c>
      <c r="R377" s="67">
        <v>7.1917457121128896E-5</v>
      </c>
      <c r="S377" s="67">
        <v>1.5690969761625176E-4</v>
      </c>
      <c r="T377" s="67">
        <v>4.058936257107851E-4</v>
      </c>
      <c r="U377" s="67">
        <v>1.2214605859499426E-3</v>
      </c>
      <c r="V377" s="67">
        <v>4.8689656079956307E-3</v>
      </c>
      <c r="W377" s="68">
        <v>2.3814570936752717E-4</v>
      </c>
    </row>
    <row r="378" spans="1:23" x14ac:dyDescent="0.3">
      <c r="A378" s="44" t="s">
        <v>499</v>
      </c>
      <c r="B378" t="s">
        <v>483</v>
      </c>
      <c r="C378" s="45">
        <v>2012</v>
      </c>
      <c r="D378" s="91">
        <v>9449909</v>
      </c>
      <c r="E378" s="2">
        <v>4616109</v>
      </c>
      <c r="F378" s="5">
        <v>0.48848184675640793</v>
      </c>
      <c r="G378" s="2">
        <v>4833806</v>
      </c>
      <c r="H378" s="78">
        <v>0.51151878817034113</v>
      </c>
      <c r="I378" s="52">
        <v>113170</v>
      </c>
      <c r="J378" s="82">
        <v>1.1975776697955505E-2</v>
      </c>
      <c r="K378" s="59">
        <v>533</v>
      </c>
      <c r="L378" s="60">
        <v>1740</v>
      </c>
      <c r="M378" s="66">
        <v>1.7975535296461517E-4</v>
      </c>
      <c r="N378" s="67">
        <v>4.4542801549198639E-5</v>
      </c>
      <c r="O378" s="67">
        <v>4.3937020674565077E-5</v>
      </c>
      <c r="P378" s="67">
        <v>4.5913576874249601E-5</v>
      </c>
      <c r="Q378" s="67">
        <v>4.3807387677857992E-5</v>
      </c>
      <c r="R378" s="67">
        <v>5.0511953505232444E-5</v>
      </c>
      <c r="S378" s="67">
        <v>1.2877433738876396E-4</v>
      </c>
      <c r="T378" s="67">
        <v>2.7892268632791564E-4</v>
      </c>
      <c r="U378" s="67">
        <v>1.3746223069377418E-3</v>
      </c>
      <c r="V378" s="67">
        <v>4.7097287266943538E-3</v>
      </c>
      <c r="W378" s="68">
        <v>1.841287572187203E-4</v>
      </c>
    </row>
    <row r="379" spans="1:23" x14ac:dyDescent="0.3">
      <c r="A379" s="44" t="s">
        <v>487</v>
      </c>
      <c r="B379" t="s">
        <v>483</v>
      </c>
      <c r="C379" s="45">
        <v>2011</v>
      </c>
      <c r="D379" s="91">
        <v>9452654</v>
      </c>
      <c r="E379" s="2">
        <v>4617735</v>
      </c>
      <c r="F379" s="5">
        <v>0.48851200943142531</v>
      </c>
      <c r="G379" s="2">
        <v>4834924</v>
      </c>
      <c r="H379" s="78">
        <v>0.51148851952054941</v>
      </c>
      <c r="I379" s="52">
        <v>110113</v>
      </c>
      <c r="J379" s="82">
        <v>1.1648897759295961E-2</v>
      </c>
      <c r="K379" s="59">
        <v>544</v>
      </c>
      <c r="L379" s="60">
        <v>1805</v>
      </c>
      <c r="M379" s="66">
        <v>1.7649005405007904E-4</v>
      </c>
      <c r="N379" s="67">
        <v>4.4376630378909855E-5</v>
      </c>
      <c r="O379" s="67">
        <v>4.3824570245308031E-5</v>
      </c>
      <c r="P379" s="67">
        <v>4.5795024523235633E-5</v>
      </c>
      <c r="Q379" s="67">
        <v>4.3057637671414252E-5</v>
      </c>
      <c r="R379" s="67">
        <v>4.977874462463855E-5</v>
      </c>
      <c r="S379" s="67">
        <v>1.4239768235496306E-4</v>
      </c>
      <c r="T379" s="67">
        <v>4.4108083983186627E-4</v>
      </c>
      <c r="U379" s="67">
        <v>1.2431313685686135E-3</v>
      </c>
      <c r="V379" s="67">
        <v>4.9403794284053658E-3</v>
      </c>
      <c r="W379" s="68">
        <v>1.9095166288748112E-4</v>
      </c>
    </row>
    <row r="380" spans="1:23" x14ac:dyDescent="0.3">
      <c r="A380" s="44" t="s">
        <v>482</v>
      </c>
      <c r="B380" t="s">
        <v>483</v>
      </c>
      <c r="C380" s="45">
        <v>2014</v>
      </c>
      <c r="D380" s="91">
        <v>9478325</v>
      </c>
      <c r="E380" s="2">
        <v>4628890</v>
      </c>
      <c r="F380" s="5">
        <v>0.48836582413031837</v>
      </c>
      <c r="G380" s="2">
        <v>4849441</v>
      </c>
      <c r="H380" s="78">
        <v>0.51163480889292146</v>
      </c>
      <c r="I380" s="52">
        <v>115190</v>
      </c>
      <c r="J380" s="82">
        <v>1.2152991166688207E-2</v>
      </c>
      <c r="K380" s="59">
        <v>528</v>
      </c>
      <c r="L380" s="60">
        <v>1851</v>
      </c>
      <c r="M380" s="66">
        <v>1.8593927223368848E-4</v>
      </c>
      <c r="N380" s="67">
        <v>4.4546505438014654E-5</v>
      </c>
      <c r="O380" s="67">
        <v>4.4008241276649738E-5</v>
      </c>
      <c r="P380" s="67">
        <v>4.597144560275461E-5</v>
      </c>
      <c r="Q380" s="67">
        <v>5.1808180586798976E-5</v>
      </c>
      <c r="R380" s="67">
        <v>6.8857636835841895E-5</v>
      </c>
      <c r="S380" s="67">
        <v>1.8288629856698838E-4</v>
      </c>
      <c r="T380" s="67">
        <v>4.0032898631092945E-4</v>
      </c>
      <c r="U380" s="67">
        <v>1.1103914129730729E-3</v>
      </c>
      <c r="V380" s="67">
        <v>4.5837312266689819E-3</v>
      </c>
      <c r="W380" s="68">
        <v>1.9528766949856646E-4</v>
      </c>
    </row>
    <row r="381" spans="1:23" x14ac:dyDescent="0.3">
      <c r="A381" s="44" t="s">
        <v>396</v>
      </c>
      <c r="B381" t="s">
        <v>332</v>
      </c>
      <c r="C381" s="45">
        <v>2013</v>
      </c>
      <c r="D381" s="91">
        <v>9486397</v>
      </c>
      <c r="E381" s="2">
        <v>4621510</v>
      </c>
      <c r="F381" s="5">
        <v>0.48717231631777586</v>
      </c>
      <c r="G381" s="2">
        <v>4864890</v>
      </c>
      <c r="H381" s="78">
        <v>0.51282799992452355</v>
      </c>
      <c r="I381" s="52">
        <v>147458</v>
      </c>
      <c r="J381" s="82">
        <v>1.5544152326747447E-2</v>
      </c>
      <c r="K381" s="59">
        <v>797</v>
      </c>
      <c r="L381" s="60">
        <v>2263</v>
      </c>
      <c r="M381" s="66">
        <v>1.9475524135043285E-4</v>
      </c>
      <c r="N381" s="67">
        <v>4.7470157094573215E-5</v>
      </c>
      <c r="O381" s="67">
        <v>4.5329717029241448E-5</v>
      </c>
      <c r="P381" s="67">
        <v>4.8444253179355965E-5</v>
      </c>
      <c r="Q381" s="67">
        <v>4.6093215846847605E-5</v>
      </c>
      <c r="R381" s="67">
        <v>6.7821773323237084E-5</v>
      </c>
      <c r="S381" s="67">
        <v>1.4503174535221308E-4</v>
      </c>
      <c r="T381" s="67">
        <v>3.9859715944163182E-4</v>
      </c>
      <c r="U381" s="67">
        <v>1.2876065937793952E-3</v>
      </c>
      <c r="V381" s="67">
        <v>5.404928861099432E-3</v>
      </c>
      <c r="W381" s="68">
        <v>2.3855210782344446E-4</v>
      </c>
    </row>
    <row r="382" spans="1:23" x14ac:dyDescent="0.3">
      <c r="A382" s="44" t="s">
        <v>489</v>
      </c>
      <c r="B382" t="s">
        <v>483</v>
      </c>
      <c r="C382" s="45">
        <v>2009</v>
      </c>
      <c r="D382" s="91">
        <v>9497667</v>
      </c>
      <c r="E382" s="2">
        <v>4666651</v>
      </c>
      <c r="F382" s="5">
        <v>0.49134708555269413</v>
      </c>
      <c r="G382" s="2">
        <v>4831025</v>
      </c>
      <c r="H382" s="78">
        <v>0.50865386204843777</v>
      </c>
      <c r="I382" s="52">
        <v>112366</v>
      </c>
      <c r="J382" s="82">
        <v>1.1830905421299779E-2</v>
      </c>
      <c r="K382" s="59">
        <v>562</v>
      </c>
      <c r="L382" s="60">
        <v>1798</v>
      </c>
      <c r="M382" s="66">
        <v>1.6526057461101792E-4</v>
      </c>
      <c r="N382" s="67">
        <v>4.3950860008453216E-5</v>
      </c>
      <c r="O382" s="67">
        <v>4.3515469749495947E-5</v>
      </c>
      <c r="P382" s="67">
        <v>4.4338229751838927E-5</v>
      </c>
      <c r="Q382" s="67">
        <v>4.5128640926678455E-5</v>
      </c>
      <c r="R382" s="67">
        <v>5.7317092484899588E-5</v>
      </c>
      <c r="S382" s="67">
        <v>1.3664308617276276E-4</v>
      </c>
      <c r="T382" s="67">
        <v>3.6556043806953937E-4</v>
      </c>
      <c r="U382" s="67">
        <v>1.3407982000601725E-3</v>
      </c>
      <c r="V382" s="67">
        <v>5.0015129131587843E-3</v>
      </c>
      <c r="W382" s="68">
        <v>1.893096483589075E-4</v>
      </c>
    </row>
    <row r="383" spans="1:23" x14ac:dyDescent="0.3">
      <c r="A383" s="44" t="s">
        <v>429</v>
      </c>
      <c r="B383" t="s">
        <v>408</v>
      </c>
      <c r="C383" s="45">
        <v>2017</v>
      </c>
      <c r="D383" s="91">
        <v>9550757</v>
      </c>
      <c r="E383" s="2">
        <v>4689554</v>
      </c>
      <c r="F383" s="5">
        <v>0.4910138536662591</v>
      </c>
      <c r="G383" s="2">
        <v>4861207</v>
      </c>
      <c r="H383" s="78">
        <v>0.50898656514871021</v>
      </c>
      <c r="I383" s="52">
        <v>196893</v>
      </c>
      <c r="J383" s="82">
        <v>2.0615433938901386E-2</v>
      </c>
      <c r="K383" s="59">
        <v>784</v>
      </c>
      <c r="L383" s="60">
        <v>2157</v>
      </c>
      <c r="M383" s="66">
        <v>2.1604999396860434E-4</v>
      </c>
      <c r="N383" s="67">
        <v>5.0103923888799352E-5</v>
      </c>
      <c r="O383" s="67">
        <v>4.441128401904356E-5</v>
      </c>
      <c r="P383" s="67">
        <v>5.0782215391073842E-5</v>
      </c>
      <c r="Q383" s="67">
        <v>5.2660911999227637E-5</v>
      </c>
      <c r="R383" s="67">
        <v>4.9377501635154956E-5</v>
      </c>
      <c r="S383" s="67">
        <v>1.3458530617396785E-4</v>
      </c>
      <c r="T383" s="67">
        <v>3.1311426931306211E-4</v>
      </c>
      <c r="U383" s="67">
        <v>1.0132061426483968E-3</v>
      </c>
      <c r="V383" s="67">
        <v>3.9818581666184174E-3</v>
      </c>
      <c r="W383" s="68">
        <v>2.2584597220932329E-4</v>
      </c>
    </row>
    <row r="384" spans="1:23" x14ac:dyDescent="0.3">
      <c r="A384" s="44" t="s">
        <v>500</v>
      </c>
      <c r="B384" t="s">
        <v>483</v>
      </c>
      <c r="C384" s="45">
        <v>2016</v>
      </c>
      <c r="D384" s="91">
        <v>9578273</v>
      </c>
      <c r="E384" s="2">
        <v>4665372</v>
      </c>
      <c r="F384" s="5">
        <v>0.48707862054046697</v>
      </c>
      <c r="G384" s="2">
        <v>4912909</v>
      </c>
      <c r="H384" s="78">
        <v>0.5129222146831689</v>
      </c>
      <c r="I384" s="52">
        <v>119810</v>
      </c>
      <c r="J384" s="82">
        <v>1.2508517976048501E-2</v>
      </c>
      <c r="K384" s="59">
        <v>451</v>
      </c>
      <c r="L384" s="60">
        <v>1755</v>
      </c>
      <c r="M384" s="66">
        <v>1.898088466739954E-4</v>
      </c>
      <c r="N384" s="67">
        <v>4.4559109887220896E-5</v>
      </c>
      <c r="O384" s="67">
        <v>4.4022997613953529E-5</v>
      </c>
      <c r="P384" s="67">
        <v>4.554861023598735E-5</v>
      </c>
      <c r="Q384" s="67">
        <v>4.5761005521828001E-5</v>
      </c>
      <c r="R384" s="67">
        <v>4.8818150137592075E-5</v>
      </c>
      <c r="S384" s="67">
        <v>1.8097569191844986E-4</v>
      </c>
      <c r="T384" s="67">
        <v>3.748273821266522E-4</v>
      </c>
      <c r="U384" s="67">
        <v>1.0624805136230586E-3</v>
      </c>
      <c r="V384" s="67">
        <v>3.7642934646523662E-3</v>
      </c>
      <c r="W384" s="68">
        <v>1.8322718510946598E-4</v>
      </c>
    </row>
    <row r="385" spans="1:23" x14ac:dyDescent="0.3">
      <c r="A385" s="44" t="s">
        <v>498</v>
      </c>
      <c r="B385" t="s">
        <v>483</v>
      </c>
      <c r="C385" s="45">
        <v>2017</v>
      </c>
      <c r="D385" s="91">
        <v>9583666</v>
      </c>
      <c r="E385" s="2">
        <v>4666664</v>
      </c>
      <c r="F385" s="5">
        <v>0.48693934033176867</v>
      </c>
      <c r="G385" s="2">
        <v>4917010</v>
      </c>
      <c r="H385" s="78">
        <v>0.51306149442186322</v>
      </c>
      <c r="I385" s="52">
        <v>119701</v>
      </c>
      <c r="J385" s="82">
        <v>1.24901055608574E-2</v>
      </c>
      <c r="K385" s="59">
        <v>452</v>
      </c>
      <c r="L385" s="60">
        <v>1766</v>
      </c>
      <c r="M385" s="66">
        <v>1.9385010540599483E-4</v>
      </c>
      <c r="N385" s="67">
        <v>4.510633819228832E-5</v>
      </c>
      <c r="O385" s="67">
        <v>4.4488636490024536E-5</v>
      </c>
      <c r="P385" s="67">
        <v>4.5313763829194296E-5</v>
      </c>
      <c r="Q385" s="67">
        <v>4.6211254751094631E-5</v>
      </c>
      <c r="R385" s="67">
        <v>5.2807551178061028E-5</v>
      </c>
      <c r="S385" s="67">
        <v>1.400023773988615E-4</v>
      </c>
      <c r="T385" s="67">
        <v>3.6883182614829194E-4</v>
      </c>
      <c r="U385" s="67">
        <v>1.1514155638402506E-3</v>
      </c>
      <c r="V385" s="67">
        <v>3.7760753878413713E-3</v>
      </c>
      <c r="W385" s="68">
        <v>1.842718642323303E-4</v>
      </c>
    </row>
    <row r="386" spans="1:23" x14ac:dyDescent="0.3">
      <c r="A386" s="44" t="s">
        <v>488</v>
      </c>
      <c r="B386" t="s">
        <v>483</v>
      </c>
      <c r="C386" s="45">
        <v>2013</v>
      </c>
      <c r="D386" s="91">
        <v>9590802</v>
      </c>
      <c r="E386" s="2">
        <v>4681047</v>
      </c>
      <c r="F386" s="5">
        <v>0.48807670098913519</v>
      </c>
      <c r="G386" s="2">
        <v>4909762</v>
      </c>
      <c r="H386" s="78">
        <v>0.5119240288768343</v>
      </c>
      <c r="I386" s="52">
        <v>117183</v>
      </c>
      <c r="J386" s="82">
        <v>1.2218269129109328E-2</v>
      </c>
      <c r="K386" s="59">
        <v>531</v>
      </c>
      <c r="L386" s="60">
        <v>1818</v>
      </c>
      <c r="M386" s="66">
        <v>1.8057875490948489E-4</v>
      </c>
      <c r="N386" s="67">
        <v>4.3819033235276071E-5</v>
      </c>
      <c r="O386" s="67">
        <v>4.3281924025796025E-5</v>
      </c>
      <c r="P386" s="67">
        <v>4.5678960651381982E-5</v>
      </c>
      <c r="Q386" s="67">
        <v>5.296481591416169E-5</v>
      </c>
      <c r="R386" s="67">
        <v>6.4002401193534437E-5</v>
      </c>
      <c r="S386" s="67">
        <v>1.3292038162092222E-4</v>
      </c>
      <c r="T386" s="67">
        <v>3.5928181622497691E-4</v>
      </c>
      <c r="U386" s="67">
        <v>1.2626583081647674E-3</v>
      </c>
      <c r="V386" s="67">
        <v>4.5313740047617825E-3</v>
      </c>
      <c r="W386" s="68">
        <v>1.895566189355176E-4</v>
      </c>
    </row>
    <row r="387" spans="1:23" x14ac:dyDescent="0.3">
      <c r="A387" s="44" t="s">
        <v>411</v>
      </c>
      <c r="B387" t="s">
        <v>332</v>
      </c>
      <c r="C387" s="45">
        <v>2014</v>
      </c>
      <c r="D387" s="91">
        <v>9606083</v>
      </c>
      <c r="E387" s="2">
        <v>4678807</v>
      </c>
      <c r="F387" s="5">
        <v>0.48706710112748347</v>
      </c>
      <c r="G387" s="2">
        <v>4927281</v>
      </c>
      <c r="H387" s="78">
        <v>0.51293341937603498</v>
      </c>
      <c r="I387" s="52">
        <v>155756</v>
      </c>
      <c r="J387" s="82">
        <v>1.6214309203865924E-2</v>
      </c>
      <c r="K387" s="59">
        <v>745</v>
      </c>
      <c r="L387" s="60">
        <v>2224</v>
      </c>
      <c r="M387" s="66">
        <v>1.9656567013332066E-4</v>
      </c>
      <c r="N387" s="67">
        <v>4.7200647592884972E-5</v>
      </c>
      <c r="O387" s="67">
        <v>4.487481049741484E-5</v>
      </c>
      <c r="P387" s="67">
        <v>4.8012329566232608E-5</v>
      </c>
      <c r="Q387" s="67">
        <v>5.0939486205818677E-5</v>
      </c>
      <c r="R387" s="67">
        <v>7.4332973066190537E-5</v>
      </c>
      <c r="S387" s="67">
        <v>1.443446202335496E-4</v>
      </c>
      <c r="T387" s="67">
        <v>3.9702233250620347E-4</v>
      </c>
      <c r="U387" s="67">
        <v>1.1947848514251363E-3</v>
      </c>
      <c r="V387" s="67">
        <v>4.7831223195254112E-3</v>
      </c>
      <c r="W387" s="68">
        <v>2.3151996500550746E-4</v>
      </c>
    </row>
    <row r="388" spans="1:23" x14ac:dyDescent="0.3">
      <c r="A388" s="44" t="s">
        <v>460</v>
      </c>
      <c r="B388" t="s">
        <v>408</v>
      </c>
      <c r="C388" s="45">
        <v>2016</v>
      </c>
      <c r="D388" s="91">
        <v>9626361</v>
      </c>
      <c r="E388" s="2">
        <v>4723876</v>
      </c>
      <c r="F388" s="5">
        <v>0.49072292219250868</v>
      </c>
      <c r="G388" s="2">
        <v>4902490</v>
      </c>
      <c r="H388" s="78">
        <v>0.50927759721456534</v>
      </c>
      <c r="I388" s="52">
        <v>196665</v>
      </c>
      <c r="J388" s="82">
        <v>2.0429838440507268E-2</v>
      </c>
      <c r="K388" s="59">
        <v>640</v>
      </c>
      <c r="L388" s="60">
        <v>1999</v>
      </c>
      <c r="M388" s="66">
        <v>2.1361397462622004E-4</v>
      </c>
      <c r="N388" s="67">
        <v>4.9122548477815027E-5</v>
      </c>
      <c r="O388" s="67">
        <v>4.3442279329511861E-5</v>
      </c>
      <c r="P388" s="67">
        <v>5.069652804827661E-5</v>
      </c>
      <c r="Q388" s="67">
        <v>5.159022571583588E-5</v>
      </c>
      <c r="R388" s="67">
        <v>5.6075855876196319E-5</v>
      </c>
      <c r="S388" s="67">
        <v>1.1394373015065808E-4</v>
      </c>
      <c r="T388" s="67">
        <v>3.2881296103324636E-4</v>
      </c>
      <c r="U388" s="67">
        <v>1.0287467211607614E-3</v>
      </c>
      <c r="V388" s="67">
        <v>3.2542648666514123E-3</v>
      </c>
      <c r="W388" s="68">
        <v>2.0765894817366604E-4</v>
      </c>
    </row>
    <row r="389" spans="1:23" x14ac:dyDescent="0.3">
      <c r="A389" s="44" t="s">
        <v>493</v>
      </c>
      <c r="B389" t="s">
        <v>483</v>
      </c>
      <c r="C389" s="45">
        <v>2015</v>
      </c>
      <c r="D389" s="91">
        <v>9630032</v>
      </c>
      <c r="E389" s="2">
        <v>4695465</v>
      </c>
      <c r="F389" s="5">
        <v>0.48758560719216715</v>
      </c>
      <c r="G389" s="2">
        <v>4934577</v>
      </c>
      <c r="H389" s="78">
        <v>0.51241543122598143</v>
      </c>
      <c r="I389" s="52">
        <v>118824</v>
      </c>
      <c r="J389" s="82">
        <v>1.233889980843262E-2</v>
      </c>
      <c r="K389" s="59">
        <v>499</v>
      </c>
      <c r="L389" s="60">
        <v>1812</v>
      </c>
      <c r="M389" s="66">
        <v>1.8727790011533198E-4</v>
      </c>
      <c r="N389" s="67">
        <v>4.4099423620533277E-5</v>
      </c>
      <c r="O389" s="67">
        <v>4.3700850200040644E-5</v>
      </c>
      <c r="P389" s="67">
        <v>4.5628937872398678E-5</v>
      </c>
      <c r="Q389" s="67">
        <v>4.5004129128847573E-5</v>
      </c>
      <c r="R389" s="67">
        <v>4.8871874236376962E-5</v>
      </c>
      <c r="S389" s="67">
        <v>1.4918599831339422E-4</v>
      </c>
      <c r="T389" s="67">
        <v>3.485807268125113E-4</v>
      </c>
      <c r="U389" s="67">
        <v>1.2707559329744485E-3</v>
      </c>
      <c r="V389" s="67">
        <v>4.1994883188581434E-3</v>
      </c>
      <c r="W389" s="68">
        <v>1.8816136851881697E-4</v>
      </c>
    </row>
    <row r="390" spans="1:23" x14ac:dyDescent="0.3">
      <c r="A390" s="44" t="s">
        <v>407</v>
      </c>
      <c r="B390" t="s">
        <v>408</v>
      </c>
      <c r="C390" s="45">
        <v>2015</v>
      </c>
      <c r="D390" s="91">
        <v>9637114</v>
      </c>
      <c r="E390" s="2">
        <v>4727091</v>
      </c>
      <c r="F390" s="5">
        <v>0.49050898432871087</v>
      </c>
      <c r="G390" s="2">
        <v>4910024</v>
      </c>
      <c r="H390" s="78">
        <v>0.50949111943679404</v>
      </c>
      <c r="I390" s="52">
        <v>196103</v>
      </c>
      <c r="J390" s="82">
        <v>2.0348726807631414E-2</v>
      </c>
      <c r="K390" s="59">
        <v>900</v>
      </c>
      <c r="L390" s="60">
        <v>2256</v>
      </c>
      <c r="M390" s="66">
        <v>2.1347147309547866E-4</v>
      </c>
      <c r="N390" s="67">
        <v>4.8557125029741236E-5</v>
      </c>
      <c r="O390" s="67">
        <v>4.3465315764652705E-5</v>
      </c>
      <c r="P390" s="67">
        <v>5.1572931431209017E-5</v>
      </c>
      <c r="Q390" s="67">
        <v>5.0875482257175563E-5</v>
      </c>
      <c r="R390" s="67">
        <v>5.6932915729195343E-5</v>
      </c>
      <c r="S390" s="67">
        <v>1.150736509724107E-4</v>
      </c>
      <c r="T390" s="67">
        <v>3.3665019291682989E-4</v>
      </c>
      <c r="U390" s="67">
        <v>1.0097656790328381E-3</v>
      </c>
      <c r="V390" s="67">
        <v>4.5894249450543845E-3</v>
      </c>
      <c r="W390" s="68">
        <v>2.3409497905700814E-4</v>
      </c>
    </row>
    <row r="391" spans="1:23" x14ac:dyDescent="0.3">
      <c r="A391" s="44" t="s">
        <v>412</v>
      </c>
      <c r="B391" t="s">
        <v>408</v>
      </c>
      <c r="C391" s="45">
        <v>2013</v>
      </c>
      <c r="D391" s="91">
        <v>9712226</v>
      </c>
      <c r="E391" s="2">
        <v>4764052</v>
      </c>
      <c r="F391" s="5">
        <v>0.49052112255213171</v>
      </c>
      <c r="G391" s="2">
        <v>4948179</v>
      </c>
      <c r="H391" s="78">
        <v>0.50947939226290662</v>
      </c>
      <c r="I391" s="52">
        <v>190520</v>
      </c>
      <c r="J391" s="82">
        <v>1.961651221872308E-2</v>
      </c>
      <c r="K391" s="59">
        <v>847</v>
      </c>
      <c r="L391" s="60">
        <v>2247</v>
      </c>
      <c r="M391" s="66">
        <v>2.0796109741071103E-4</v>
      </c>
      <c r="N391" s="67">
        <v>4.6993401343228056E-5</v>
      </c>
      <c r="O391" s="67">
        <v>4.2975355782226679E-5</v>
      </c>
      <c r="P391" s="67">
        <v>5.1871748830075928E-5</v>
      </c>
      <c r="Q391" s="67">
        <v>4.8709087410892812E-5</v>
      </c>
      <c r="R391" s="67">
        <v>4.8306278366999361E-5</v>
      </c>
      <c r="S391" s="67">
        <v>1.3551660355766746E-4</v>
      </c>
      <c r="T391" s="67">
        <v>3.6049708091876798E-4</v>
      </c>
      <c r="U391" s="67">
        <v>1.0941172652631677E-3</v>
      </c>
      <c r="V391" s="67">
        <v>4.4457274826789836E-3</v>
      </c>
      <c r="W391" s="68">
        <v>2.3135787820423453E-4</v>
      </c>
    </row>
    <row r="392" spans="1:23" x14ac:dyDescent="0.3">
      <c r="A392" s="44" t="s">
        <v>427</v>
      </c>
      <c r="B392" t="s">
        <v>408</v>
      </c>
      <c r="C392" s="45">
        <v>2014</v>
      </c>
      <c r="D392" s="91">
        <v>9750015</v>
      </c>
      <c r="E392" s="2">
        <v>4783768</v>
      </c>
      <c r="F392" s="5">
        <v>0.4906421169608457</v>
      </c>
      <c r="G392" s="2">
        <v>4966250</v>
      </c>
      <c r="H392" s="78">
        <v>0.50935819073098865</v>
      </c>
      <c r="I392" s="52">
        <v>197129</v>
      </c>
      <c r="J392" s="82">
        <v>2.0218327869239175E-2</v>
      </c>
      <c r="K392" s="59">
        <v>829</v>
      </c>
      <c r="L392" s="60">
        <v>2211</v>
      </c>
      <c r="M392" s="66">
        <v>2.0841221156618303E-4</v>
      </c>
      <c r="N392" s="67">
        <v>4.7500785742164153E-5</v>
      </c>
      <c r="O392" s="67">
        <v>4.2946471517900088E-5</v>
      </c>
      <c r="P392" s="67">
        <v>5.115154925254799E-5</v>
      </c>
      <c r="Q392" s="67">
        <v>5.4473198773527679E-5</v>
      </c>
      <c r="R392" s="67">
        <v>6.0881522457934014E-5</v>
      </c>
      <c r="S392" s="67">
        <v>1.1197291645430424E-4</v>
      </c>
      <c r="T392" s="67">
        <v>3.4439836700999015E-4</v>
      </c>
      <c r="U392" s="67">
        <v>1.0451256437699534E-3</v>
      </c>
      <c r="V392" s="67">
        <v>4.2053680584794731E-3</v>
      </c>
      <c r="W392" s="68">
        <v>2.2676888189402785E-4</v>
      </c>
    </row>
    <row r="393" spans="1:23" x14ac:dyDescent="0.3">
      <c r="A393" s="44" t="s">
        <v>479</v>
      </c>
      <c r="B393" t="s">
        <v>408</v>
      </c>
      <c r="C393" s="45">
        <v>2012</v>
      </c>
      <c r="D393" s="91">
        <v>9778692</v>
      </c>
      <c r="E393" s="2">
        <v>4795155</v>
      </c>
      <c r="F393" s="5">
        <v>0.49036773016268431</v>
      </c>
      <c r="G393" s="2">
        <v>4983541</v>
      </c>
      <c r="H393" s="78">
        <v>0.50963267888997832</v>
      </c>
      <c r="I393" s="52">
        <v>187879</v>
      </c>
      <c r="J393" s="82">
        <v>1.9213101302300962E-2</v>
      </c>
      <c r="K393" s="59">
        <v>717</v>
      </c>
      <c r="L393" s="60">
        <v>1932</v>
      </c>
      <c r="M393" s="66">
        <v>2.0340741318317345E-4</v>
      </c>
      <c r="N393" s="67">
        <v>4.6199441448752888E-5</v>
      </c>
      <c r="O393" s="67">
        <v>4.2810173980547056E-5</v>
      </c>
      <c r="P393" s="67">
        <v>5.147183718428462E-5</v>
      </c>
      <c r="Q393" s="67">
        <v>4.7308239991547592E-5</v>
      </c>
      <c r="R393" s="67">
        <v>4.6031415086931678E-5</v>
      </c>
      <c r="S393" s="67">
        <v>8.828942082139941E-5</v>
      </c>
      <c r="T393" s="67">
        <v>2.5525326563774958E-4</v>
      </c>
      <c r="U393" s="67">
        <v>9.8934014423896995E-4</v>
      </c>
      <c r="V393" s="67">
        <v>3.8162860138706294E-3</v>
      </c>
      <c r="W393" s="68">
        <v>1.9757243606813673E-4</v>
      </c>
    </row>
    <row r="394" spans="1:23" x14ac:dyDescent="0.3">
      <c r="A394" s="44" t="s">
        <v>453</v>
      </c>
      <c r="B394" t="s">
        <v>408</v>
      </c>
      <c r="C394" s="45">
        <v>2011</v>
      </c>
      <c r="D394" s="91">
        <v>9857670</v>
      </c>
      <c r="E394" s="2">
        <v>4834805</v>
      </c>
      <c r="F394" s="5">
        <v>0.49046123475425735</v>
      </c>
      <c r="G394" s="2">
        <v>5022866</v>
      </c>
      <c r="H394" s="78">
        <v>0.50953886668959303</v>
      </c>
      <c r="I394" s="52">
        <v>182934</v>
      </c>
      <c r="J394" s="82">
        <v>1.8557529314736646E-2</v>
      </c>
      <c r="K394" s="59">
        <v>805</v>
      </c>
      <c r="L394" s="60">
        <v>2092</v>
      </c>
      <c r="M394" s="66">
        <v>1.9878476248533962E-4</v>
      </c>
      <c r="N394" s="67">
        <v>4.5237542334800035E-5</v>
      </c>
      <c r="O394" s="67">
        <v>4.2514144810262915E-5</v>
      </c>
      <c r="P394" s="67">
        <v>5.1134199148956476E-5</v>
      </c>
      <c r="Q394" s="67">
        <v>4.5783143562203268E-5</v>
      </c>
      <c r="R394" s="67">
        <v>4.4608437785876836E-5</v>
      </c>
      <c r="S394" s="67">
        <v>1.1566825682979746E-4</v>
      </c>
      <c r="T394" s="67">
        <v>3.1703041483644958E-4</v>
      </c>
      <c r="U394" s="67">
        <v>9.8336786694293559E-4</v>
      </c>
      <c r="V394" s="67">
        <v>4.4004941672953083E-3</v>
      </c>
      <c r="W394" s="68">
        <v>2.122205348728452E-4</v>
      </c>
    </row>
    <row r="395" spans="1:23" x14ac:dyDescent="0.3">
      <c r="A395" s="44" t="s">
        <v>384</v>
      </c>
      <c r="B395" t="s">
        <v>332</v>
      </c>
      <c r="C395" s="45">
        <v>2017</v>
      </c>
      <c r="D395" s="91">
        <v>9862116</v>
      </c>
      <c r="E395" s="2">
        <v>4802335</v>
      </c>
      <c r="F395" s="5">
        <v>0.48694773008145514</v>
      </c>
      <c r="G395" s="2">
        <v>5059788</v>
      </c>
      <c r="H395" s="78">
        <v>0.51305297970536956</v>
      </c>
      <c r="I395" s="52">
        <v>162244</v>
      </c>
      <c r="J395" s="82">
        <v>1.6451236225572687E-2</v>
      </c>
      <c r="K395" s="59">
        <v>813</v>
      </c>
      <c r="L395" s="60">
        <v>2408</v>
      </c>
      <c r="M395" s="66">
        <v>2.0149204862003134E-4</v>
      </c>
      <c r="N395" s="67">
        <v>4.7122873678497909E-5</v>
      </c>
      <c r="O395" s="67">
        <v>4.4473203782890714E-5</v>
      </c>
      <c r="P395" s="67">
        <v>4.6202892301058043E-5</v>
      </c>
      <c r="Q395" s="67">
        <v>4.6930546701760285E-5</v>
      </c>
      <c r="R395" s="67">
        <v>5.9927288223622002E-5</v>
      </c>
      <c r="S395" s="67">
        <v>1.7433345571488365E-4</v>
      </c>
      <c r="T395" s="67">
        <v>4.1341232583724536E-4</v>
      </c>
      <c r="U395" s="67">
        <v>1.1941491338933908E-3</v>
      </c>
      <c r="V395" s="67">
        <v>5.0109711299031086E-3</v>
      </c>
      <c r="W395" s="68">
        <v>2.4416666768064784E-4</v>
      </c>
    </row>
    <row r="396" spans="1:23" x14ac:dyDescent="0.3">
      <c r="A396" s="44" t="s">
        <v>496</v>
      </c>
      <c r="B396" t="s">
        <v>408</v>
      </c>
      <c r="C396" s="45">
        <v>2010</v>
      </c>
      <c r="D396" s="91">
        <v>9937373</v>
      </c>
      <c r="E396" s="2">
        <v>4877679</v>
      </c>
      <c r="F396" s="5">
        <v>0.49084189553919333</v>
      </c>
      <c r="G396" s="2">
        <v>5059697</v>
      </c>
      <c r="H396" s="78">
        <v>0.50915840635145726</v>
      </c>
      <c r="I396" s="52">
        <v>178490</v>
      </c>
      <c r="J396" s="82">
        <v>1.7961487407184978E-2</v>
      </c>
      <c r="K396" s="59">
        <v>643</v>
      </c>
      <c r="L396" s="60">
        <v>1851</v>
      </c>
      <c r="M396" s="66">
        <v>1.9511814403621393E-4</v>
      </c>
      <c r="N396" s="67">
        <v>4.4425522462654793E-5</v>
      </c>
      <c r="O396" s="67">
        <v>4.2046368735441442E-5</v>
      </c>
      <c r="P396" s="67">
        <v>5.0491365135039156E-5</v>
      </c>
      <c r="Q396" s="67">
        <v>4.4301890804699544E-5</v>
      </c>
      <c r="R396" s="67">
        <v>3.9611333594768133E-5</v>
      </c>
      <c r="S396" s="67">
        <v>8.2350643948076648E-5</v>
      </c>
      <c r="T396" s="67">
        <v>2.9010903997350924E-4</v>
      </c>
      <c r="U396" s="67">
        <v>9.5956316607091014E-4</v>
      </c>
      <c r="V396" s="67">
        <v>3.6024427138775282E-3</v>
      </c>
      <c r="W396" s="68">
        <v>1.8626653140623784E-4</v>
      </c>
    </row>
    <row r="397" spans="1:23" x14ac:dyDescent="0.3">
      <c r="A397" s="44" t="s">
        <v>484</v>
      </c>
      <c r="B397" t="s">
        <v>408</v>
      </c>
      <c r="C397" s="45">
        <v>2009</v>
      </c>
      <c r="D397" s="91">
        <v>10008213</v>
      </c>
      <c r="E397" s="2">
        <v>4922355</v>
      </c>
      <c r="F397" s="5">
        <v>0.4918315587408062</v>
      </c>
      <c r="G397" s="2">
        <v>5085858</v>
      </c>
      <c r="H397" s="78">
        <v>0.5081684412591938</v>
      </c>
      <c r="I397" s="52">
        <v>173824</v>
      </c>
      <c r="J397" s="82">
        <v>1.736813555027256E-2</v>
      </c>
      <c r="K397" s="59">
        <v>685</v>
      </c>
      <c r="L397" s="60">
        <v>1940</v>
      </c>
      <c r="M397" s="66">
        <v>1.9014690432916963E-4</v>
      </c>
      <c r="N397" s="67">
        <v>4.439534647978199E-5</v>
      </c>
      <c r="O397" s="67">
        <v>4.1805961808860356E-5</v>
      </c>
      <c r="P397" s="67">
        <v>4.8921405316289119E-5</v>
      </c>
      <c r="Q397" s="67">
        <v>4.5925133553821077E-5</v>
      </c>
      <c r="R397" s="67">
        <v>5.3012379372294159E-5</v>
      </c>
      <c r="S397" s="67">
        <v>1.2416835820369776E-4</v>
      </c>
      <c r="T397" s="67">
        <v>2.8729278443865848E-4</v>
      </c>
      <c r="U397" s="67">
        <v>9.3872828205970947E-4</v>
      </c>
      <c r="V397" s="67">
        <v>3.9407676730486008E-3</v>
      </c>
      <c r="W397" s="68">
        <v>1.9384079855214913E-4</v>
      </c>
    </row>
    <row r="398" spans="1:23" x14ac:dyDescent="0.3">
      <c r="A398" s="44" t="s">
        <v>361</v>
      </c>
      <c r="B398" t="s">
        <v>362</v>
      </c>
      <c r="C398" s="45">
        <v>2015</v>
      </c>
      <c r="D398" s="91">
        <v>10950600</v>
      </c>
      <c r="E398" s="2">
        <v>5352286</v>
      </c>
      <c r="F398" s="5">
        <v>0.48876646028528115</v>
      </c>
      <c r="G398" s="2">
        <v>5598314</v>
      </c>
      <c r="H398" s="78">
        <v>0.51123353971471885</v>
      </c>
      <c r="I398" s="52">
        <v>235148</v>
      </c>
      <c r="J398" s="82">
        <v>2.1473526564754444E-2</v>
      </c>
      <c r="K398" s="59">
        <v>1136</v>
      </c>
      <c r="L398" s="60">
        <v>2801</v>
      </c>
      <c r="M398" s="66">
        <v>1.818584111030622E-4</v>
      </c>
      <c r="N398" s="67">
        <v>4.2629137868315751E-5</v>
      </c>
      <c r="O398" s="67">
        <v>4.0573273302921411E-5</v>
      </c>
      <c r="P398" s="67">
        <v>4.3465378739199756E-5</v>
      </c>
      <c r="Q398" s="67">
        <v>4.4442107118810789E-5</v>
      </c>
      <c r="R398" s="67">
        <v>5.4169294522323551E-5</v>
      </c>
      <c r="S398" s="67">
        <v>1.3884616117589086E-4</v>
      </c>
      <c r="T398" s="67">
        <v>3.9699471700105132E-4</v>
      </c>
      <c r="U398" s="67">
        <v>1.1718627111712335E-3</v>
      </c>
      <c r="V398" s="67">
        <v>4.8310000510316904E-3</v>
      </c>
      <c r="W398" s="68">
        <v>2.5578507113765454E-4</v>
      </c>
    </row>
    <row r="399" spans="1:23" x14ac:dyDescent="0.3">
      <c r="A399" s="44" t="s">
        <v>409</v>
      </c>
      <c r="B399" t="s">
        <v>362</v>
      </c>
      <c r="C399" s="45">
        <v>2017</v>
      </c>
      <c r="D399" s="91">
        <v>11150145</v>
      </c>
      <c r="E399" s="2">
        <v>5454374</v>
      </c>
      <c r="F399" s="5">
        <v>0.48917516319294502</v>
      </c>
      <c r="G399" s="2">
        <v>5695771</v>
      </c>
      <c r="H399" s="78">
        <v>0.51082483680705493</v>
      </c>
      <c r="I399" s="52">
        <v>243255</v>
      </c>
      <c r="J399" s="82">
        <v>2.1816308218413304E-2</v>
      </c>
      <c r="K399" s="59">
        <v>963</v>
      </c>
      <c r="L399" s="60">
        <v>2599</v>
      </c>
      <c r="M399" s="66">
        <v>1.7931590980409736E-4</v>
      </c>
      <c r="N399" s="67">
        <v>4.2614968081388906E-5</v>
      </c>
      <c r="O399" s="67">
        <v>3.9981821598446573E-5</v>
      </c>
      <c r="P399" s="67">
        <v>4.193648719015052E-5</v>
      </c>
      <c r="Q399" s="67">
        <v>4.4733489055579122E-5</v>
      </c>
      <c r="R399" s="67">
        <v>5.2330668885310382E-5</v>
      </c>
      <c r="S399" s="67">
        <v>1.3920927816706032E-4</v>
      </c>
      <c r="T399" s="67">
        <v>3.8099161818439995E-4</v>
      </c>
      <c r="U399" s="67">
        <v>1.0371703552308467E-3</v>
      </c>
      <c r="V399" s="67">
        <v>3.9588086575815503E-3</v>
      </c>
      <c r="W399" s="68">
        <v>2.3309113917352643E-4</v>
      </c>
    </row>
    <row r="400" spans="1:23" x14ac:dyDescent="0.3">
      <c r="A400" s="44" t="s">
        <v>379</v>
      </c>
      <c r="B400" t="s">
        <v>362</v>
      </c>
      <c r="C400" s="45">
        <v>2013</v>
      </c>
      <c r="D400" s="91">
        <v>11150887</v>
      </c>
      <c r="E400" s="2">
        <v>5443369</v>
      </c>
      <c r="F400" s="5">
        <v>0.48815569559623373</v>
      </c>
      <c r="G400" s="2">
        <v>5707520</v>
      </c>
      <c r="H400" s="78">
        <v>0.51184448376169533</v>
      </c>
      <c r="I400" s="52">
        <v>228330</v>
      </c>
      <c r="J400" s="82">
        <v>2.0476397976232744E-2</v>
      </c>
      <c r="K400" s="59">
        <v>1054</v>
      </c>
      <c r="L400" s="60">
        <v>2729</v>
      </c>
      <c r="M400" s="66">
        <v>1.7625959513170998E-4</v>
      </c>
      <c r="N400" s="67">
        <v>4.1195747774914676E-5</v>
      </c>
      <c r="O400" s="67">
        <v>3.9131183379160295E-5</v>
      </c>
      <c r="P400" s="67">
        <v>4.3449263209119129E-5</v>
      </c>
      <c r="Q400" s="67">
        <v>4.2683998267029672E-5</v>
      </c>
      <c r="R400" s="67">
        <v>5.296916524857455E-5</v>
      </c>
      <c r="S400" s="67">
        <v>1.5047687995550877E-4</v>
      </c>
      <c r="T400" s="67">
        <v>3.6211019129930979E-4</v>
      </c>
      <c r="U400" s="67">
        <v>1.2302719841542503E-3</v>
      </c>
      <c r="V400" s="67">
        <v>4.6161257828581442E-3</v>
      </c>
      <c r="W400" s="68">
        <v>2.4473389426329939E-4</v>
      </c>
    </row>
    <row r="401" spans="1:23" x14ac:dyDescent="0.3">
      <c r="A401" s="44" t="s">
        <v>434</v>
      </c>
      <c r="B401" t="s">
        <v>362</v>
      </c>
      <c r="C401" s="45">
        <v>2016</v>
      </c>
      <c r="D401" s="91">
        <v>11160701</v>
      </c>
      <c r="E401" s="2">
        <v>5459221</v>
      </c>
      <c r="F401" s="5">
        <v>0.4891467838803315</v>
      </c>
      <c r="G401" s="2">
        <v>5701481</v>
      </c>
      <c r="H401" s="78">
        <v>0.51085330571977516</v>
      </c>
      <c r="I401" s="52">
        <v>241850</v>
      </c>
      <c r="J401" s="82">
        <v>2.166978579571301E-2</v>
      </c>
      <c r="K401" s="59">
        <v>879</v>
      </c>
      <c r="L401" s="60">
        <v>2490</v>
      </c>
      <c r="M401" s="66">
        <v>1.7904087801646579E-4</v>
      </c>
      <c r="N401" s="67">
        <v>4.2233296731142831E-5</v>
      </c>
      <c r="O401" s="67">
        <v>3.9626480792054101E-5</v>
      </c>
      <c r="P401" s="67">
        <v>4.2215586557431493E-5</v>
      </c>
      <c r="Q401" s="67">
        <v>4.8070700907796699E-5</v>
      </c>
      <c r="R401" s="67">
        <v>4.9965608087939472E-5</v>
      </c>
      <c r="S401" s="67">
        <v>1.4225955818812934E-4</v>
      </c>
      <c r="T401" s="67">
        <v>3.6628789403033276E-4</v>
      </c>
      <c r="U401" s="67">
        <v>1.0361618565559825E-3</v>
      </c>
      <c r="V401" s="67">
        <v>3.6344841844118255E-3</v>
      </c>
      <c r="W401" s="68">
        <v>2.2310426558331775E-4</v>
      </c>
    </row>
    <row r="402" spans="1:23" x14ac:dyDescent="0.3">
      <c r="A402" s="44" t="s">
        <v>432</v>
      </c>
      <c r="B402" t="s">
        <v>362</v>
      </c>
      <c r="C402" s="45">
        <v>2012</v>
      </c>
      <c r="D402" s="91">
        <v>11411147</v>
      </c>
      <c r="E402" s="2">
        <v>5567483</v>
      </c>
      <c r="F402" s="5">
        <v>0.48789863104909614</v>
      </c>
      <c r="G402" s="2">
        <v>5843664</v>
      </c>
      <c r="H402" s="78">
        <v>0.51210136895090386</v>
      </c>
      <c r="I402" s="52">
        <v>229033</v>
      </c>
      <c r="J402" s="82">
        <v>2.0070988481701271E-2</v>
      </c>
      <c r="K402" s="59">
        <v>1053</v>
      </c>
      <c r="L402" s="60">
        <v>2556</v>
      </c>
      <c r="M402" s="66">
        <v>1.7065016289980134E-4</v>
      </c>
      <c r="N402" s="67">
        <v>3.997516209928231E-5</v>
      </c>
      <c r="O402" s="67">
        <v>3.8271969545718097E-5</v>
      </c>
      <c r="P402" s="67">
        <v>4.2604588940274757E-5</v>
      </c>
      <c r="Q402" s="67">
        <v>4.0896645316345773E-5</v>
      </c>
      <c r="R402" s="67">
        <v>4.6879825325770836E-5</v>
      </c>
      <c r="S402" s="67">
        <v>1.2154069147624713E-4</v>
      </c>
      <c r="T402" s="67">
        <v>2.9846607239799862E-4</v>
      </c>
      <c r="U402" s="67">
        <v>1.0663892320697055E-3</v>
      </c>
      <c r="V402" s="67">
        <v>4.5975907401990109E-3</v>
      </c>
      <c r="W402" s="68">
        <v>2.2399150584949962E-4</v>
      </c>
    </row>
    <row r="403" spans="1:23" x14ac:dyDescent="0.3">
      <c r="A403" s="44" t="s">
        <v>385</v>
      </c>
      <c r="B403" t="s">
        <v>362</v>
      </c>
      <c r="C403" s="45">
        <v>2014</v>
      </c>
      <c r="D403" s="91">
        <v>11418643</v>
      </c>
      <c r="E403" s="2">
        <v>5581397</v>
      </c>
      <c r="F403" s="5">
        <v>0.4887968736740434</v>
      </c>
      <c r="G403" s="2">
        <v>5837247</v>
      </c>
      <c r="H403" s="78">
        <v>0.51120321390203727</v>
      </c>
      <c r="I403" s="52">
        <v>238053</v>
      </c>
      <c r="J403" s="82">
        <v>2.0847748721104599E-2</v>
      </c>
      <c r="K403" s="59">
        <v>1075</v>
      </c>
      <c r="L403" s="60">
        <v>2782</v>
      </c>
      <c r="M403" s="66">
        <v>1.7350518057551668E-4</v>
      </c>
      <c r="N403" s="67">
        <v>4.0493617193589862E-5</v>
      </c>
      <c r="O403" s="67">
        <v>3.8456386291836544E-5</v>
      </c>
      <c r="P403" s="67">
        <v>4.2111291721762277E-5</v>
      </c>
      <c r="Q403" s="67">
        <v>4.2216150914296288E-5</v>
      </c>
      <c r="R403" s="67">
        <v>6.661285155689373E-5</v>
      </c>
      <c r="S403" s="67">
        <v>1.5044690019737044E-4</v>
      </c>
      <c r="T403" s="67">
        <v>3.9531203845946899E-4</v>
      </c>
      <c r="U403" s="67">
        <v>1.1119634069804917E-3</v>
      </c>
      <c r="V403" s="67">
        <v>4.5158011031156929E-3</v>
      </c>
      <c r="W403" s="68">
        <v>2.4363665629970218E-4</v>
      </c>
    </row>
    <row r="404" spans="1:23" x14ac:dyDescent="0.3">
      <c r="A404" s="44" t="s">
        <v>425</v>
      </c>
      <c r="B404" t="s">
        <v>362</v>
      </c>
      <c r="C404" s="45">
        <v>2011</v>
      </c>
      <c r="D404" s="91">
        <v>11423910</v>
      </c>
      <c r="E404" s="2">
        <v>5573990</v>
      </c>
      <c r="F404" s="5">
        <v>0.48792313664936088</v>
      </c>
      <c r="G404" s="2">
        <v>5849922</v>
      </c>
      <c r="H404" s="78">
        <v>0.51207703842204644</v>
      </c>
      <c r="I404" s="52">
        <v>221281</v>
      </c>
      <c r="J404" s="82">
        <v>1.9369988033869315E-2</v>
      </c>
      <c r="K404" s="59">
        <v>1025</v>
      </c>
      <c r="L404" s="60">
        <v>2611</v>
      </c>
      <c r="M404" s="66">
        <v>1.676424856351345E-4</v>
      </c>
      <c r="N404" s="67">
        <v>3.9607698944520834E-5</v>
      </c>
      <c r="O404" s="67">
        <v>3.8172139809279266E-5</v>
      </c>
      <c r="P404" s="67">
        <v>4.2673494425774793E-5</v>
      </c>
      <c r="Q404" s="67">
        <v>4.4656812396731119E-5</v>
      </c>
      <c r="R404" s="67">
        <v>6.0905508294170128E-5</v>
      </c>
      <c r="S404" s="67">
        <v>1.3375400278523041E-4</v>
      </c>
      <c r="T404" s="67">
        <v>3.3262614997931671E-4</v>
      </c>
      <c r="U404" s="67">
        <v>1.093728060775808E-3</v>
      </c>
      <c r="V404" s="67">
        <v>4.6321193414707992E-3</v>
      </c>
      <c r="W404" s="68">
        <v>2.2855572216517813E-4</v>
      </c>
    </row>
    <row r="405" spans="1:23" x14ac:dyDescent="0.3">
      <c r="A405" s="44" t="s">
        <v>473</v>
      </c>
      <c r="B405" t="s">
        <v>362</v>
      </c>
      <c r="C405" s="45">
        <v>2010</v>
      </c>
      <c r="D405" s="91">
        <v>11439057</v>
      </c>
      <c r="E405" s="2">
        <v>5580075</v>
      </c>
      <c r="F405" s="5">
        <v>0.48780900383659248</v>
      </c>
      <c r="G405" s="2">
        <v>5858984</v>
      </c>
      <c r="H405" s="78">
        <v>0.51219117100299438</v>
      </c>
      <c r="I405" s="52">
        <v>215896</v>
      </c>
      <c r="J405" s="82">
        <v>1.8873583722854078E-2</v>
      </c>
      <c r="K405" s="59">
        <v>893</v>
      </c>
      <c r="L405" s="60">
        <v>2319</v>
      </c>
      <c r="M405" s="66">
        <v>1.6663033199705064E-4</v>
      </c>
      <c r="N405" s="67">
        <v>3.9253451686851663E-5</v>
      </c>
      <c r="O405" s="67">
        <v>3.7744252493951484E-5</v>
      </c>
      <c r="P405" s="67">
        <v>4.2676135078502748E-5</v>
      </c>
      <c r="Q405" s="67">
        <v>3.9108788918133572E-5</v>
      </c>
      <c r="R405" s="67">
        <v>4.0436833333814725E-5</v>
      </c>
      <c r="S405" s="67">
        <v>1.1814517975050692E-4</v>
      </c>
      <c r="T405" s="67">
        <v>3.0089726578107505E-4</v>
      </c>
      <c r="U405" s="67">
        <v>9.7288894984684309E-4</v>
      </c>
      <c r="V405" s="67">
        <v>4.1362507874161637E-3</v>
      </c>
      <c r="W405" s="68">
        <v>2.0272650096944179E-4</v>
      </c>
    </row>
    <row r="406" spans="1:23" x14ac:dyDescent="0.3">
      <c r="A406" s="44" t="s">
        <v>467</v>
      </c>
      <c r="B406" t="s">
        <v>362</v>
      </c>
      <c r="C406" s="45">
        <v>2009</v>
      </c>
      <c r="D406" s="91">
        <v>11448785</v>
      </c>
      <c r="E406" s="2">
        <v>5581675</v>
      </c>
      <c r="F406" s="5">
        <v>0.48753426673660133</v>
      </c>
      <c r="G406" s="2">
        <v>5867110</v>
      </c>
      <c r="H406" s="78">
        <v>0.51246573326339873</v>
      </c>
      <c r="I406" s="52">
        <v>212187</v>
      </c>
      <c r="J406" s="82">
        <v>1.8533582384506305E-2</v>
      </c>
      <c r="K406" s="59">
        <v>825</v>
      </c>
      <c r="L406" s="60">
        <v>2355</v>
      </c>
      <c r="M406" s="66">
        <v>1.6276129970323189E-4</v>
      </c>
      <c r="N406" s="67">
        <v>3.9459380185209177E-5</v>
      </c>
      <c r="O406" s="67">
        <v>3.8692927126385932E-5</v>
      </c>
      <c r="P406" s="67">
        <v>4.7852712086638016E-5</v>
      </c>
      <c r="Q406" s="67">
        <v>4.7936249833642289E-5</v>
      </c>
      <c r="R406" s="67">
        <v>6.502335949804268E-5</v>
      </c>
      <c r="S406" s="67">
        <v>1.2032691898295985E-4</v>
      </c>
      <c r="T406" s="67">
        <v>3.0875321670443119E-4</v>
      </c>
      <c r="U406" s="67">
        <v>1.0329736048060457E-3</v>
      </c>
      <c r="V406" s="67">
        <v>3.8880798540909668E-3</v>
      </c>
      <c r="W406" s="68">
        <v>2.0569868331006303E-4</v>
      </c>
    </row>
    <row r="407" spans="1:23" x14ac:dyDescent="0.3">
      <c r="A407" s="44" t="s">
        <v>347</v>
      </c>
      <c r="B407" t="s">
        <v>348</v>
      </c>
      <c r="C407" s="45">
        <v>2015</v>
      </c>
      <c r="D407" s="91">
        <v>12417301</v>
      </c>
      <c r="E407" s="2">
        <v>6064242</v>
      </c>
      <c r="F407" s="5">
        <v>0.48837037936021682</v>
      </c>
      <c r="G407" s="2">
        <v>6353063</v>
      </c>
      <c r="H407" s="78">
        <v>0.5116299427709774</v>
      </c>
      <c r="I407" s="52">
        <v>309149</v>
      </c>
      <c r="J407" s="82">
        <v>2.4896634139737774E-2</v>
      </c>
      <c r="K407" s="59">
        <v>1508</v>
      </c>
      <c r="L407" s="60">
        <v>3261</v>
      </c>
      <c r="M407" s="66">
        <v>1.7121284324608137E-4</v>
      </c>
      <c r="N407" s="67">
        <v>4.0507122164754621E-5</v>
      </c>
      <c r="O407" s="67">
        <v>3.5404747068486942E-5</v>
      </c>
      <c r="P407" s="67">
        <v>3.8231560918169165E-5</v>
      </c>
      <c r="Q407" s="67">
        <v>4.0228875482243642E-5</v>
      </c>
      <c r="R407" s="67">
        <v>4.6368430138138819E-5</v>
      </c>
      <c r="S407" s="67">
        <v>1.1745130664578644E-4</v>
      </c>
      <c r="T407" s="67">
        <v>3.3243715767166635E-4</v>
      </c>
      <c r="U407" s="67">
        <v>1.0984785205684982E-3</v>
      </c>
      <c r="V407" s="67">
        <v>4.8779067698747208E-3</v>
      </c>
      <c r="W407" s="68">
        <v>2.6261745608002898E-4</v>
      </c>
    </row>
    <row r="408" spans="1:23" x14ac:dyDescent="0.3">
      <c r="A408" s="44" t="s">
        <v>443</v>
      </c>
      <c r="B408" t="s">
        <v>431</v>
      </c>
      <c r="C408" s="45">
        <v>2017</v>
      </c>
      <c r="D408" s="91">
        <v>12493561</v>
      </c>
      <c r="E408" s="2">
        <v>6130146</v>
      </c>
      <c r="F408" s="5">
        <v>0.49066443106172852</v>
      </c>
      <c r="G408" s="2">
        <v>6363420</v>
      </c>
      <c r="H408" s="78">
        <v>0.50933596914442569</v>
      </c>
      <c r="I408" s="52">
        <v>239896</v>
      </c>
      <c r="J408" s="82">
        <v>1.9201571113311888E-2</v>
      </c>
      <c r="K408" s="59">
        <v>1069</v>
      </c>
      <c r="L408" s="60">
        <v>2726</v>
      </c>
      <c r="M408" s="66">
        <v>1.5649391043071038E-4</v>
      </c>
      <c r="N408" s="67">
        <v>3.7117550043736846E-5</v>
      </c>
      <c r="O408" s="67">
        <v>3.5272746512407185E-5</v>
      </c>
      <c r="P408" s="67">
        <v>3.4447934530552157E-5</v>
      </c>
      <c r="Q408" s="67">
        <v>3.7033356561477531E-5</v>
      </c>
      <c r="R408" s="67">
        <v>4.3188979592319696E-5</v>
      </c>
      <c r="S408" s="67">
        <v>1.3079932287654881E-4</v>
      </c>
      <c r="T408" s="67">
        <v>3.6719827714538076E-4</v>
      </c>
      <c r="U408" s="67">
        <v>1.1136892712070533E-3</v>
      </c>
      <c r="V408" s="67">
        <v>4.4560976423116683E-3</v>
      </c>
      <c r="W408" s="68">
        <v>2.1819239526664976E-4</v>
      </c>
    </row>
    <row r="409" spans="1:23" x14ac:dyDescent="0.3">
      <c r="A409" s="44" t="s">
        <v>372</v>
      </c>
      <c r="B409" t="s">
        <v>348</v>
      </c>
      <c r="C409" s="45">
        <v>2011</v>
      </c>
      <c r="D409" s="91">
        <v>12505573</v>
      </c>
      <c r="E409" s="2">
        <v>6091443</v>
      </c>
      <c r="F409" s="5">
        <v>0.48709827210636408</v>
      </c>
      <c r="G409" s="2">
        <v>6414130</v>
      </c>
      <c r="H409" s="78">
        <v>0.51290172789363586</v>
      </c>
      <c r="I409" s="52">
        <v>292628</v>
      </c>
      <c r="J409" s="82">
        <v>2.3399807429855472E-2</v>
      </c>
      <c r="K409" s="59">
        <v>1423</v>
      </c>
      <c r="L409" s="60">
        <v>3103</v>
      </c>
      <c r="M409" s="66">
        <v>1.6671042815405711E-4</v>
      </c>
      <c r="N409" s="67">
        <v>3.9185439213260873E-5</v>
      </c>
      <c r="O409" s="67">
        <v>3.4239070888572365E-5</v>
      </c>
      <c r="P409" s="67">
        <v>4.0468462926841113E-5</v>
      </c>
      <c r="Q409" s="67">
        <v>3.6737400449298407E-5</v>
      </c>
      <c r="R409" s="67">
        <v>4.2988948170531912E-5</v>
      </c>
      <c r="S409" s="67">
        <v>1.1238646558694314E-4</v>
      </c>
      <c r="T409" s="67">
        <v>3.2937937325017207E-4</v>
      </c>
      <c r="U409" s="67">
        <v>1.0201204362158994E-3</v>
      </c>
      <c r="V409" s="67">
        <v>4.8628292576240141E-3</v>
      </c>
      <c r="W409" s="68">
        <v>2.4812937399989587E-4</v>
      </c>
    </row>
    <row r="410" spans="1:23" x14ac:dyDescent="0.3">
      <c r="A410" s="44" t="s">
        <v>410</v>
      </c>
      <c r="B410" t="s">
        <v>348</v>
      </c>
      <c r="C410" s="45">
        <v>2014</v>
      </c>
      <c r="D410" s="91">
        <v>12509280</v>
      </c>
      <c r="E410" s="2">
        <v>6103629</v>
      </c>
      <c r="F410" s="5">
        <v>0.4879280821917808</v>
      </c>
      <c r="G410" s="2">
        <v>6405653</v>
      </c>
      <c r="H410" s="78">
        <v>0.51207207768952334</v>
      </c>
      <c r="I410" s="52">
        <v>313612</v>
      </c>
      <c r="J410" s="82">
        <v>2.5070347773812722E-2</v>
      </c>
      <c r="K410" s="59">
        <v>1232</v>
      </c>
      <c r="L410" s="60">
        <v>2897</v>
      </c>
      <c r="M410" s="66">
        <v>1.6958661848522405E-4</v>
      </c>
      <c r="N410" s="67">
        <v>3.9987630492967509E-5</v>
      </c>
      <c r="O410" s="67">
        <v>3.5186096331321668E-5</v>
      </c>
      <c r="P410" s="67">
        <v>3.8592356655123267E-5</v>
      </c>
      <c r="Q410" s="67">
        <v>3.9263932151925242E-5</v>
      </c>
      <c r="R410" s="67">
        <v>5.3786107320126218E-5</v>
      </c>
      <c r="S410" s="67">
        <v>1.2832427005872476E-4</v>
      </c>
      <c r="T410" s="67">
        <v>3.0750484800611932E-4</v>
      </c>
      <c r="U410" s="67">
        <v>9.4358708258626255E-4</v>
      </c>
      <c r="V410" s="67">
        <v>3.9284211063352172E-3</v>
      </c>
      <c r="W410" s="68">
        <v>2.3158806901756135E-4</v>
      </c>
    </row>
    <row r="411" spans="1:23" x14ac:dyDescent="0.3">
      <c r="A411" s="44" t="s">
        <v>450</v>
      </c>
      <c r="B411" t="s">
        <v>431</v>
      </c>
      <c r="C411" s="45">
        <v>2015</v>
      </c>
      <c r="D411" s="91">
        <v>12515391</v>
      </c>
      <c r="E411" s="2">
        <v>6134951</v>
      </c>
      <c r="F411" s="5">
        <v>0.49019251575919603</v>
      </c>
      <c r="G411" s="2">
        <v>6380445</v>
      </c>
      <c r="H411" s="78">
        <v>0.50980788374889763</v>
      </c>
      <c r="I411" s="52">
        <v>233286</v>
      </c>
      <c r="J411" s="82">
        <v>1.8639929028186175E-2</v>
      </c>
      <c r="K411" s="59">
        <v>1141</v>
      </c>
      <c r="L411" s="60">
        <v>2686</v>
      </c>
      <c r="M411" s="66">
        <v>1.5298590234909853E-4</v>
      </c>
      <c r="N411" s="67">
        <v>3.6235253761521298E-5</v>
      </c>
      <c r="O411" s="67">
        <v>3.4548082293532024E-5</v>
      </c>
      <c r="P411" s="67">
        <v>3.4396490640714899E-5</v>
      </c>
      <c r="Q411" s="67">
        <v>3.6472922502334266E-5</v>
      </c>
      <c r="R411" s="67">
        <v>4.3069487737255454E-5</v>
      </c>
      <c r="S411" s="67">
        <v>1.2627536491302297E-4</v>
      </c>
      <c r="T411" s="67">
        <v>3.4104528756613843E-4</v>
      </c>
      <c r="U411" s="67">
        <v>1.0582279669504257E-3</v>
      </c>
      <c r="V411" s="67">
        <v>4.8909921726978901E-3</v>
      </c>
      <c r="W411" s="68">
        <v>2.1461574792189873E-4</v>
      </c>
    </row>
    <row r="412" spans="1:23" x14ac:dyDescent="0.3">
      <c r="A412" s="44" t="s">
        <v>415</v>
      </c>
      <c r="B412" t="s">
        <v>348</v>
      </c>
      <c r="C412" s="45">
        <v>2009</v>
      </c>
      <c r="D412" s="91">
        <v>12516596</v>
      </c>
      <c r="E412" s="2">
        <v>6085286</v>
      </c>
      <c r="F412" s="5">
        <v>0.48617739200018917</v>
      </c>
      <c r="G412" s="2">
        <v>6431311</v>
      </c>
      <c r="H412" s="78">
        <v>0.5138226878937372</v>
      </c>
      <c r="I412" s="52">
        <v>284780</v>
      </c>
      <c r="J412" s="82">
        <v>2.2752192369235213E-2</v>
      </c>
      <c r="K412" s="59">
        <v>1232</v>
      </c>
      <c r="L412" s="60">
        <v>2892</v>
      </c>
      <c r="M412" s="66">
        <v>1.6233283100340628E-4</v>
      </c>
      <c r="N412" s="67">
        <v>3.8814225413614089E-5</v>
      </c>
      <c r="O412" s="67">
        <v>3.4921667789010267E-5</v>
      </c>
      <c r="P412" s="67">
        <v>3.9974949031939983E-5</v>
      </c>
      <c r="Q412" s="67">
        <v>3.7621227169702989E-5</v>
      </c>
      <c r="R412" s="67">
        <v>5.376579827072489E-5</v>
      </c>
      <c r="S412" s="67">
        <v>1.2109269645913948E-4</v>
      </c>
      <c r="T412" s="67">
        <v>2.9448752081863167E-4</v>
      </c>
      <c r="U412" s="67">
        <v>9.6063766175751876E-4</v>
      </c>
      <c r="V412" s="67">
        <v>4.3261464990519E-3</v>
      </c>
      <c r="W412" s="68">
        <v>2.3105323524063573E-4</v>
      </c>
    </row>
    <row r="413" spans="1:23" x14ac:dyDescent="0.3">
      <c r="A413" s="44" t="s">
        <v>452</v>
      </c>
      <c r="B413" t="s">
        <v>348</v>
      </c>
      <c r="C413" s="45">
        <v>2010</v>
      </c>
      <c r="D413" s="91">
        <v>12554832</v>
      </c>
      <c r="E413" s="2">
        <v>6110665</v>
      </c>
      <c r="F413" s="5">
        <v>0.48671818149378659</v>
      </c>
      <c r="G413" s="2">
        <v>6444167</v>
      </c>
      <c r="H413" s="78">
        <v>0.51328181850621335</v>
      </c>
      <c r="I413" s="52">
        <v>286517</v>
      </c>
      <c r="J413" s="82">
        <v>2.2821253203547446E-2</v>
      </c>
      <c r="K413" s="59">
        <v>1176</v>
      </c>
      <c r="L413" s="60">
        <v>2669</v>
      </c>
      <c r="M413" s="66">
        <v>1.6540203030992207E-4</v>
      </c>
      <c r="N413" s="67">
        <v>3.8600450595926622E-5</v>
      </c>
      <c r="O413" s="67">
        <v>3.4218860409291791E-5</v>
      </c>
      <c r="P413" s="67">
        <v>4.0574343354970732E-5</v>
      </c>
      <c r="Q413" s="67">
        <v>3.5638723135827491E-5</v>
      </c>
      <c r="R413" s="67">
        <v>3.4828860337309714E-5</v>
      </c>
      <c r="S413" s="67">
        <v>8.8977881416870601E-5</v>
      </c>
      <c r="T413" s="67">
        <v>2.7317739457059927E-4</v>
      </c>
      <c r="U413" s="67">
        <v>8.8322349288322928E-4</v>
      </c>
      <c r="V413" s="67">
        <v>4.1044684957611587E-3</v>
      </c>
      <c r="W413" s="68">
        <v>2.1258747229751859E-4</v>
      </c>
    </row>
    <row r="414" spans="1:23" x14ac:dyDescent="0.3">
      <c r="A414" s="44" t="s">
        <v>430</v>
      </c>
      <c r="B414" t="s">
        <v>431</v>
      </c>
      <c r="C414" s="45">
        <v>2014</v>
      </c>
      <c r="D414" s="91">
        <v>12558572</v>
      </c>
      <c r="E414" s="2">
        <v>6157931</v>
      </c>
      <c r="F414" s="5">
        <v>0.49033687906554979</v>
      </c>
      <c r="G414" s="2">
        <v>6400643</v>
      </c>
      <c r="H414" s="78">
        <v>0.50966328018822527</v>
      </c>
      <c r="I414" s="52">
        <v>233727</v>
      </c>
      <c r="J414" s="82">
        <v>1.861095353834815E-2</v>
      </c>
      <c r="K414" s="59">
        <v>1215</v>
      </c>
      <c r="L414" s="60">
        <v>2829</v>
      </c>
      <c r="M414" s="66">
        <v>1.5120129428307906E-4</v>
      </c>
      <c r="N414" s="67">
        <v>3.5913477250607835E-5</v>
      </c>
      <c r="O414" s="67">
        <v>3.4196978013052986E-5</v>
      </c>
      <c r="P414" s="67">
        <v>3.4301355703915272E-5</v>
      </c>
      <c r="Q414" s="67">
        <v>4.0315423056209926E-5</v>
      </c>
      <c r="R414" s="67">
        <v>4.8490179329087622E-5</v>
      </c>
      <c r="S414" s="67">
        <v>1.256616149820225E-4</v>
      </c>
      <c r="T414" s="67">
        <v>3.7277259975864932E-4</v>
      </c>
      <c r="U414" s="67">
        <v>1.146451761601615E-3</v>
      </c>
      <c r="V414" s="67">
        <v>5.1983724601778998E-3</v>
      </c>
      <c r="W414" s="68">
        <v>2.2526446478150541E-4</v>
      </c>
    </row>
    <row r="415" spans="1:23" x14ac:dyDescent="0.3">
      <c r="A415" s="44" t="s">
        <v>441</v>
      </c>
      <c r="B415" t="s">
        <v>431</v>
      </c>
      <c r="C415" s="45">
        <v>2013</v>
      </c>
      <c r="D415" s="91">
        <v>12580258</v>
      </c>
      <c r="E415" s="2">
        <v>6169572</v>
      </c>
      <c r="F415" s="5">
        <v>0.49041696919093392</v>
      </c>
      <c r="G415" s="2">
        <v>6410690</v>
      </c>
      <c r="H415" s="78">
        <v>0.50958334876756894</v>
      </c>
      <c r="I415" s="52">
        <v>233380</v>
      </c>
      <c r="J415" s="82">
        <v>1.855128885274054E-2</v>
      </c>
      <c r="K415" s="59">
        <v>1207</v>
      </c>
      <c r="L415" s="60">
        <v>2787</v>
      </c>
      <c r="M415" s="66">
        <v>1.4863681461397161E-4</v>
      </c>
      <c r="N415" s="67">
        <v>3.5455628462833049E-5</v>
      </c>
      <c r="O415" s="67">
        <v>3.4074355923684798E-5</v>
      </c>
      <c r="P415" s="67">
        <v>3.4267777551864281E-5</v>
      </c>
      <c r="Q415" s="67">
        <v>3.5745392716757081E-5</v>
      </c>
      <c r="R415" s="67">
        <v>3.6088435544110893E-5</v>
      </c>
      <c r="S415" s="67">
        <v>1.2158810273924486E-4</v>
      </c>
      <c r="T415" s="67">
        <v>3.6405705178509307E-4</v>
      </c>
      <c r="U415" s="67">
        <v>1.1890582856553991E-3</v>
      </c>
      <c r="V415" s="67">
        <v>5.1718227783014827E-3</v>
      </c>
      <c r="W415" s="68">
        <v>2.2153758690799505E-4</v>
      </c>
    </row>
    <row r="416" spans="1:23" x14ac:dyDescent="0.3">
      <c r="A416" s="44" t="s">
        <v>364</v>
      </c>
      <c r="B416" t="s">
        <v>348</v>
      </c>
      <c r="C416" s="45">
        <v>2013</v>
      </c>
      <c r="D416" s="91">
        <v>12582295</v>
      </c>
      <c r="E416" s="2">
        <v>6136016</v>
      </c>
      <c r="F416" s="5">
        <v>0.48767065149879257</v>
      </c>
      <c r="G416" s="2">
        <v>6446280</v>
      </c>
      <c r="H416" s="78">
        <v>0.51232942797796432</v>
      </c>
      <c r="I416" s="52">
        <v>307542</v>
      </c>
      <c r="J416" s="82">
        <v>2.4442440747097411E-2</v>
      </c>
      <c r="K416" s="59">
        <v>1526</v>
      </c>
      <c r="L416" s="60">
        <v>3216</v>
      </c>
      <c r="M416" s="66">
        <v>1.6782348326030682E-4</v>
      </c>
      <c r="N416" s="67">
        <v>3.9501387157045667E-5</v>
      </c>
      <c r="O416" s="67">
        <v>3.4431092194414012E-5</v>
      </c>
      <c r="P416" s="67">
        <v>3.9044299662396955E-5</v>
      </c>
      <c r="Q416" s="67">
        <v>3.8301115711500675E-5</v>
      </c>
      <c r="R416" s="67">
        <v>3.9364633536539952E-5</v>
      </c>
      <c r="S416" s="67">
        <v>1.127548805889442E-4</v>
      </c>
      <c r="T416" s="67">
        <v>2.9927747282966851E-4</v>
      </c>
      <c r="U416" s="67">
        <v>1.0754762552159839E-3</v>
      </c>
      <c r="V416" s="67">
        <v>4.9619238998250643E-3</v>
      </c>
      <c r="W416" s="68">
        <v>2.5559724994526038E-4</v>
      </c>
    </row>
    <row r="417" spans="1:23" x14ac:dyDescent="0.3">
      <c r="A417" s="44" t="s">
        <v>442</v>
      </c>
      <c r="B417" t="s">
        <v>431</v>
      </c>
      <c r="C417" s="45">
        <v>2011</v>
      </c>
      <c r="D417" s="91">
        <v>12597899</v>
      </c>
      <c r="E417" s="2">
        <v>6176101</v>
      </c>
      <c r="F417" s="5">
        <v>0.49024849302252699</v>
      </c>
      <c r="G417" s="2">
        <v>6421800</v>
      </c>
      <c r="H417" s="78">
        <v>0.5097516657341038</v>
      </c>
      <c r="I417" s="52">
        <v>224669</v>
      </c>
      <c r="J417" s="82">
        <v>1.7833846739047518E-2</v>
      </c>
      <c r="K417" s="59">
        <v>1168</v>
      </c>
      <c r="L417" s="60">
        <v>2751</v>
      </c>
      <c r="M417" s="66">
        <v>1.4507278422478545E-4</v>
      </c>
      <c r="N417" s="67">
        <v>3.4951571684799737E-5</v>
      </c>
      <c r="O417" s="67">
        <v>3.3729960187403656E-5</v>
      </c>
      <c r="P417" s="67">
        <v>3.4427812623187017E-5</v>
      </c>
      <c r="Q417" s="67">
        <v>3.4717099039204287E-5</v>
      </c>
      <c r="R417" s="67">
        <v>4.4293082404819091E-5</v>
      </c>
      <c r="S417" s="67">
        <v>1.427237514334506E-4</v>
      </c>
      <c r="T417" s="67">
        <v>3.1297182642289095E-4</v>
      </c>
      <c r="U417" s="67">
        <v>1.2074191560429879E-3</v>
      </c>
      <c r="V417" s="67">
        <v>5.1987590633331702E-3</v>
      </c>
      <c r="W417" s="68">
        <v>2.1836974562186917E-4</v>
      </c>
    </row>
    <row r="418" spans="1:23" x14ac:dyDescent="0.3">
      <c r="A418" s="44" t="s">
        <v>478</v>
      </c>
      <c r="B418" t="s">
        <v>431</v>
      </c>
      <c r="C418" s="45">
        <v>2016</v>
      </c>
      <c r="D418" s="91">
        <v>12612513</v>
      </c>
      <c r="E418" s="2">
        <v>6186362</v>
      </c>
      <c r="F418" s="5">
        <v>0.49049400385157182</v>
      </c>
      <c r="G418" s="2">
        <v>6426154</v>
      </c>
      <c r="H418" s="78">
        <v>0.50950623400744954</v>
      </c>
      <c r="I418" s="52">
        <v>240782</v>
      </c>
      <c r="J418" s="82">
        <v>1.9090723632950862E-2</v>
      </c>
      <c r="K418" s="59">
        <v>947</v>
      </c>
      <c r="L418" s="60">
        <v>2516</v>
      </c>
      <c r="M418" s="66">
        <v>1.5449682315907379E-4</v>
      </c>
      <c r="N418" s="67">
        <v>3.6446535665668638E-5</v>
      </c>
      <c r="O418" s="67">
        <v>3.4550111481693044E-5</v>
      </c>
      <c r="P418" s="67">
        <v>3.4347854461271074E-5</v>
      </c>
      <c r="Q418" s="67">
        <v>3.6563093578972318E-5</v>
      </c>
      <c r="R418" s="67">
        <v>4.3738338840910998E-5</v>
      </c>
      <c r="S418" s="67">
        <v>1.3950919277203502E-4</v>
      </c>
      <c r="T418" s="67">
        <v>3.401999926443245E-4</v>
      </c>
      <c r="U418" s="67">
        <v>9.9536073675872958E-4</v>
      </c>
      <c r="V418" s="67">
        <v>3.9330182488724243E-3</v>
      </c>
      <c r="W418" s="68">
        <v>1.9948443264240838E-4</v>
      </c>
    </row>
    <row r="419" spans="1:23" x14ac:dyDescent="0.3">
      <c r="A419" s="44" t="s">
        <v>451</v>
      </c>
      <c r="B419" t="s">
        <v>348</v>
      </c>
      <c r="C419" s="45">
        <v>2012</v>
      </c>
      <c r="D419" s="91">
        <v>12620508</v>
      </c>
      <c r="E419" s="2">
        <v>6149753</v>
      </c>
      <c r="F419" s="5">
        <v>0.48728252460202076</v>
      </c>
      <c r="G419" s="2">
        <v>6470756</v>
      </c>
      <c r="H419" s="78">
        <v>0.51271755463409241</v>
      </c>
      <c r="I419" s="52">
        <v>303548</v>
      </c>
      <c r="J419" s="82">
        <v>2.405196367689795E-2</v>
      </c>
      <c r="K419" s="59">
        <v>1208</v>
      </c>
      <c r="L419" s="60">
        <v>2700</v>
      </c>
      <c r="M419" s="66">
        <v>1.6607180668134556E-4</v>
      </c>
      <c r="N419" s="67">
        <v>3.9114856865700442E-5</v>
      </c>
      <c r="O419" s="67">
        <v>3.4057277529348857E-5</v>
      </c>
      <c r="P419" s="67">
        <v>3.9647769218264932E-5</v>
      </c>
      <c r="Q419" s="67">
        <v>3.7345599287943905E-5</v>
      </c>
      <c r="R419" s="67">
        <v>3.139071870620014E-5</v>
      </c>
      <c r="S419" s="67">
        <v>6.6899079022678793E-5</v>
      </c>
      <c r="T419" s="67">
        <v>2.6184466521941667E-4</v>
      </c>
      <c r="U419" s="67">
        <v>9.6316418818379436E-4</v>
      </c>
      <c r="V419" s="67">
        <v>3.9796012492258224E-3</v>
      </c>
      <c r="W419" s="68">
        <v>2.1393750552671888E-4</v>
      </c>
    </row>
    <row r="420" spans="1:23" x14ac:dyDescent="0.3">
      <c r="A420" s="44" t="s">
        <v>457</v>
      </c>
      <c r="B420" t="s">
        <v>431</v>
      </c>
      <c r="C420" s="45">
        <v>2012</v>
      </c>
      <c r="D420" s="91">
        <v>12694655</v>
      </c>
      <c r="E420" s="2">
        <v>6225969</v>
      </c>
      <c r="F420" s="5">
        <v>0.49044018919773713</v>
      </c>
      <c r="G420" s="2">
        <v>6468690</v>
      </c>
      <c r="H420" s="78">
        <v>0.50956012589550481</v>
      </c>
      <c r="I420" s="52">
        <v>232382</v>
      </c>
      <c r="J420" s="82">
        <v>1.8305499440512563E-2</v>
      </c>
      <c r="K420" s="59">
        <v>1132</v>
      </c>
      <c r="L420" s="60">
        <v>2666</v>
      </c>
      <c r="M420" s="66">
        <v>1.4519302202336155E-4</v>
      </c>
      <c r="N420" s="67">
        <v>3.4976795810712574E-5</v>
      </c>
      <c r="O420" s="67">
        <v>3.3711330996388951E-5</v>
      </c>
      <c r="P420" s="67">
        <v>3.4095325985411744E-5</v>
      </c>
      <c r="Q420" s="67">
        <v>3.4968886433295975E-5</v>
      </c>
      <c r="R420" s="67">
        <v>4.2483914663976747E-5</v>
      </c>
      <c r="S420" s="67">
        <v>1.2651112408894894E-4</v>
      </c>
      <c r="T420" s="67">
        <v>3.4403696747908088E-4</v>
      </c>
      <c r="U420" s="67">
        <v>1.0687927803908071E-3</v>
      </c>
      <c r="V420" s="67">
        <v>4.8712895146784171E-3</v>
      </c>
      <c r="W420" s="68">
        <v>2.1000964579187068E-4</v>
      </c>
    </row>
    <row r="421" spans="1:23" x14ac:dyDescent="0.3">
      <c r="A421" s="44" t="s">
        <v>438</v>
      </c>
      <c r="B421" t="s">
        <v>348</v>
      </c>
      <c r="C421" s="45">
        <v>2016</v>
      </c>
      <c r="D421" s="91">
        <v>12695252</v>
      </c>
      <c r="E421" s="2">
        <v>6209327</v>
      </c>
      <c r="F421" s="5">
        <v>0.48910624223922455</v>
      </c>
      <c r="G421" s="2">
        <v>6485925</v>
      </c>
      <c r="H421" s="78">
        <v>0.51089375776077539</v>
      </c>
      <c r="I421" s="52">
        <v>321298</v>
      </c>
      <c r="J421" s="82">
        <v>2.5308516916403078E-2</v>
      </c>
      <c r="K421" s="59">
        <v>1191</v>
      </c>
      <c r="L421" s="60">
        <v>2824</v>
      </c>
      <c r="M421" s="66">
        <v>1.6884880293234088E-4</v>
      </c>
      <c r="N421" s="67">
        <v>3.996326044256647E-5</v>
      </c>
      <c r="O421" s="67">
        <v>3.5319339810900256E-5</v>
      </c>
      <c r="P421" s="67">
        <v>3.685682536191867E-5</v>
      </c>
      <c r="Q421" s="67">
        <v>3.9790357867846939E-5</v>
      </c>
      <c r="R421" s="67">
        <v>4.5769093805432235E-5</v>
      </c>
      <c r="S421" s="67">
        <v>8.6418898153325433E-5</v>
      </c>
      <c r="T421" s="67">
        <v>3.1198322301454666E-4</v>
      </c>
      <c r="U421" s="67">
        <v>9.5713742284613402E-4</v>
      </c>
      <c r="V421" s="67">
        <v>3.7068391337636711E-3</v>
      </c>
      <c r="W421" s="68">
        <v>2.2244536776426337E-4</v>
      </c>
    </row>
    <row r="422" spans="1:23" x14ac:dyDescent="0.3">
      <c r="A422" s="44" t="s">
        <v>475</v>
      </c>
      <c r="B422" t="s">
        <v>431</v>
      </c>
      <c r="C422" s="45">
        <v>2010</v>
      </c>
      <c r="D422" s="91">
        <v>12699105</v>
      </c>
      <c r="E422" s="2">
        <v>6227320</v>
      </c>
      <c r="F422" s="5">
        <v>0.4903747153834857</v>
      </c>
      <c r="G422" s="2">
        <v>6471789</v>
      </c>
      <c r="H422" s="78">
        <v>0.50962559959934184</v>
      </c>
      <c r="I422" s="52">
        <v>224425</v>
      </c>
      <c r="J422" s="82">
        <v>1.7672505267103469E-2</v>
      </c>
      <c r="K422" s="59">
        <v>1068</v>
      </c>
      <c r="L422" s="60">
        <v>2555</v>
      </c>
      <c r="M422" s="66">
        <v>1.421452321527777E-4</v>
      </c>
      <c r="N422" s="67">
        <v>3.4469624505145451E-5</v>
      </c>
      <c r="O422" s="67">
        <v>3.3346783202558365E-5</v>
      </c>
      <c r="P422" s="67">
        <v>3.4239442125356307E-5</v>
      </c>
      <c r="Q422" s="67">
        <v>3.3805673718905824E-5</v>
      </c>
      <c r="R422" s="67">
        <v>3.7853449828226451E-5</v>
      </c>
      <c r="S422" s="67">
        <v>1.1041582020551775E-4</v>
      </c>
      <c r="T422" s="67">
        <v>3.0554067711277669E-4</v>
      </c>
      <c r="U422" s="67">
        <v>1.1391499308305109E-3</v>
      </c>
      <c r="V422" s="67">
        <v>4.7588281162972042E-3</v>
      </c>
      <c r="W422" s="68">
        <v>2.0119528108476935E-4</v>
      </c>
    </row>
    <row r="423" spans="1:23" x14ac:dyDescent="0.3">
      <c r="A423" s="44" t="s">
        <v>388</v>
      </c>
      <c r="B423" t="s">
        <v>348</v>
      </c>
      <c r="C423" s="45">
        <v>2017</v>
      </c>
      <c r="D423" s="91">
        <v>12745947</v>
      </c>
      <c r="E423" s="2">
        <v>6233965</v>
      </c>
      <c r="F423" s="5">
        <v>0.48909390569410027</v>
      </c>
      <c r="G423" s="2">
        <v>6511982</v>
      </c>
      <c r="H423" s="78">
        <v>0.51090609430589973</v>
      </c>
      <c r="I423" s="52">
        <v>323833</v>
      </c>
      <c r="J423" s="82">
        <v>2.5406743021919045E-2</v>
      </c>
      <c r="K423" s="59">
        <v>1422</v>
      </c>
      <c r="L423" s="60">
        <v>3087</v>
      </c>
      <c r="M423" s="66">
        <v>1.6914821189196503E-4</v>
      </c>
      <c r="N423" s="67">
        <v>4.0111563628973384E-5</v>
      </c>
      <c r="O423" s="67">
        <v>3.5544686780220093E-5</v>
      </c>
      <c r="P423" s="67">
        <v>3.6517852360757431E-5</v>
      </c>
      <c r="Q423" s="67">
        <v>4.010807790058277E-5</v>
      </c>
      <c r="R423" s="67">
        <v>4.2530026198496139E-5</v>
      </c>
      <c r="S423" s="67">
        <v>1.1195385925768402E-4</v>
      </c>
      <c r="T423" s="67">
        <v>3.0207753826944815E-4</v>
      </c>
      <c r="U423" s="67">
        <v>9.2979797057516603E-4</v>
      </c>
      <c r="V423" s="67">
        <v>4.3911522296986409E-3</v>
      </c>
      <c r="W423" s="68">
        <v>2.4219463645973107E-4</v>
      </c>
    </row>
    <row r="424" spans="1:23" x14ac:dyDescent="0.3">
      <c r="A424" s="44" t="s">
        <v>454</v>
      </c>
      <c r="B424" t="s">
        <v>431</v>
      </c>
      <c r="C424" s="45">
        <v>2009</v>
      </c>
      <c r="D424" s="91">
        <v>12785043</v>
      </c>
      <c r="E424" s="2">
        <v>6291709</v>
      </c>
      <c r="F424" s="5">
        <v>0.49211480946915859</v>
      </c>
      <c r="G424" s="2">
        <v>6493337</v>
      </c>
      <c r="H424" s="78">
        <v>0.50788542518003266</v>
      </c>
      <c r="I424" s="52">
        <v>220660</v>
      </c>
      <c r="J424" s="82">
        <v>1.7259230180140965E-2</v>
      </c>
      <c r="K424" s="59">
        <v>1154</v>
      </c>
      <c r="L424" s="60">
        <v>2713</v>
      </c>
      <c r="M424" s="66">
        <v>1.3445543866647097E-4</v>
      </c>
      <c r="N424" s="67">
        <v>3.4184255415640667E-5</v>
      </c>
      <c r="O424" s="67">
        <v>3.2761374339653547E-5</v>
      </c>
      <c r="P424" s="67">
        <v>3.411531317004607E-5</v>
      </c>
      <c r="Q424" s="67">
        <v>3.9648297573689387E-5</v>
      </c>
      <c r="R424" s="67">
        <v>5.5101061829873849E-5</v>
      </c>
      <c r="S424" s="67">
        <v>1.3009856658452158E-4</v>
      </c>
      <c r="T424" s="67">
        <v>3.3043438929945395E-4</v>
      </c>
      <c r="U424" s="67">
        <v>1.1032999720896951E-3</v>
      </c>
      <c r="V424" s="67">
        <v>5.229765249705429E-3</v>
      </c>
      <c r="W424" s="68">
        <v>2.1220108528379608E-4</v>
      </c>
    </row>
    <row r="425" spans="1:23" x14ac:dyDescent="0.3">
      <c r="A425" s="44" t="s">
        <v>538</v>
      </c>
      <c r="B425" t="s">
        <v>525</v>
      </c>
      <c r="C425" s="45">
        <v>2009</v>
      </c>
      <c r="D425" s="91">
        <v>18222420</v>
      </c>
      <c r="E425" s="2">
        <v>8953246</v>
      </c>
      <c r="F425" s="5">
        <v>0.49133133798913647</v>
      </c>
      <c r="G425" s="2">
        <v>9269174</v>
      </c>
      <c r="H425" s="78">
        <v>0.50866866201086358</v>
      </c>
      <c r="I425" s="52">
        <v>427459</v>
      </c>
      <c r="J425" s="82">
        <v>2.3457861250042528E-2</v>
      </c>
      <c r="K425" s="59">
        <v>973</v>
      </c>
      <c r="L425" s="60">
        <v>2674</v>
      </c>
      <c r="M425" s="66">
        <v>1.0474110617082228E-4</v>
      </c>
      <c r="N425" s="67">
        <v>2.7265390404036733E-5</v>
      </c>
      <c r="O425" s="67">
        <v>2.5557026031108864E-5</v>
      </c>
      <c r="P425" s="67">
        <v>3.0564282143254792E-5</v>
      </c>
      <c r="Q425" s="67">
        <v>2.8590148311394364E-5</v>
      </c>
      <c r="R425" s="67">
        <v>6.6396134963814111E-5</v>
      </c>
      <c r="S425" s="67">
        <v>9.607057028637633E-5</v>
      </c>
      <c r="T425" s="67">
        <v>1.9201553432717148E-4</v>
      </c>
      <c r="U425" s="67">
        <v>5.1840109310535127E-4</v>
      </c>
      <c r="V425" s="67">
        <v>2.2762416980341973E-3</v>
      </c>
      <c r="W425" s="68">
        <v>1.4674230974810152E-4</v>
      </c>
    </row>
    <row r="426" spans="1:23" x14ac:dyDescent="0.3">
      <c r="A426" s="44" t="s">
        <v>542</v>
      </c>
      <c r="B426" t="s">
        <v>525</v>
      </c>
      <c r="C426" s="45">
        <v>2010</v>
      </c>
      <c r="D426" s="91">
        <v>18499452</v>
      </c>
      <c r="E426" s="2">
        <v>9041580</v>
      </c>
      <c r="F426" s="5">
        <v>0.48874853157812459</v>
      </c>
      <c r="G426" s="2">
        <v>9457873</v>
      </c>
      <c r="H426" s="78">
        <v>0.5112515224775307</v>
      </c>
      <c r="I426" s="52">
        <v>412590</v>
      </c>
      <c r="J426" s="82">
        <v>2.2302822807940471E-2</v>
      </c>
      <c r="K426" s="59">
        <v>962</v>
      </c>
      <c r="L426" s="60">
        <v>2579</v>
      </c>
      <c r="M426" s="66">
        <v>1.1103934679253594E-4</v>
      </c>
      <c r="N426" s="67">
        <v>2.7248315259374444E-5</v>
      </c>
      <c r="O426" s="67">
        <v>2.4591393504101434E-5</v>
      </c>
      <c r="P426" s="67">
        <v>2.6704670379802723E-5</v>
      </c>
      <c r="Q426" s="67">
        <v>2.394743060034612E-5</v>
      </c>
      <c r="R426" s="67">
        <v>3.7524409628463313E-5</v>
      </c>
      <c r="S426" s="67">
        <v>6.9729893385242367E-5</v>
      </c>
      <c r="T426" s="67">
        <v>1.8004942172902561E-4</v>
      </c>
      <c r="U426" s="67">
        <v>5.9641707961799852E-4</v>
      </c>
      <c r="V426" s="67">
        <v>2.3316124966673937E-3</v>
      </c>
      <c r="W426" s="68">
        <v>1.3940953494189989E-4</v>
      </c>
    </row>
    <row r="427" spans="1:23" x14ac:dyDescent="0.3">
      <c r="A427" s="44" t="s">
        <v>537</v>
      </c>
      <c r="B427" t="s">
        <v>525</v>
      </c>
      <c r="C427" s="45">
        <v>2011</v>
      </c>
      <c r="D427" s="91">
        <v>18587840</v>
      </c>
      <c r="E427" s="2">
        <v>9084438</v>
      </c>
      <c r="F427" s="5">
        <v>0.48873015907173722</v>
      </c>
      <c r="G427" s="2">
        <v>9503402</v>
      </c>
      <c r="H427" s="78">
        <v>0.51126984092826278</v>
      </c>
      <c r="I427" s="52">
        <v>429397</v>
      </c>
      <c r="J427" s="82">
        <v>2.3100962779967978E-2</v>
      </c>
      <c r="K427" s="59">
        <v>1078</v>
      </c>
      <c r="L427" s="60">
        <v>2761</v>
      </c>
      <c r="M427" s="66">
        <v>1.117962773702907E-4</v>
      </c>
      <c r="N427" s="67">
        <v>2.7365433899478552E-5</v>
      </c>
      <c r="O427" s="67">
        <v>2.4536244531484502E-5</v>
      </c>
      <c r="P427" s="67">
        <v>2.6501848724797293E-5</v>
      </c>
      <c r="Q427" s="67">
        <v>2.6421067264785433E-5</v>
      </c>
      <c r="R427" s="67">
        <v>4.0574641147078606E-5</v>
      </c>
      <c r="S427" s="67">
        <v>8.4781873371902496E-5</v>
      </c>
      <c r="T427" s="67">
        <v>1.9535859055049901E-4</v>
      </c>
      <c r="U427" s="67">
        <v>5.7648297725504285E-4</v>
      </c>
      <c r="V427" s="67">
        <v>2.5104972787420498E-3</v>
      </c>
      <c r="W427" s="68">
        <v>1.4853796890870592E-4</v>
      </c>
    </row>
    <row r="428" spans="1:23" x14ac:dyDescent="0.3">
      <c r="A428" s="44" t="s">
        <v>540</v>
      </c>
      <c r="B428" t="s">
        <v>525</v>
      </c>
      <c r="C428" s="45">
        <v>2012</v>
      </c>
      <c r="D428" s="91">
        <v>18614258</v>
      </c>
      <c r="E428" s="2">
        <v>9090213</v>
      </c>
      <c r="F428" s="5">
        <v>0.48834678234286855</v>
      </c>
      <c r="G428" s="2">
        <v>9524046</v>
      </c>
      <c r="H428" s="78">
        <v>0.51165327137939098</v>
      </c>
      <c r="I428" s="52">
        <v>443967</v>
      </c>
      <c r="J428" s="82">
        <v>2.3850910415016274E-2</v>
      </c>
      <c r="K428" s="59">
        <v>1055</v>
      </c>
      <c r="L428" s="60">
        <v>2671</v>
      </c>
      <c r="M428" s="66">
        <v>1.1341651174286209E-4</v>
      </c>
      <c r="N428" s="67">
        <v>2.7582795507130382E-5</v>
      </c>
      <c r="O428" s="67">
        <v>2.4618909538227215E-5</v>
      </c>
      <c r="P428" s="67">
        <v>2.6369615873805565E-5</v>
      </c>
      <c r="Q428" s="67">
        <v>2.4957862808292001E-5</v>
      </c>
      <c r="R428" s="67">
        <v>2.7900571292097776E-5</v>
      </c>
      <c r="S428" s="67">
        <v>8.2399365999433121E-5</v>
      </c>
      <c r="T428" s="67">
        <v>1.8775033377837116E-4</v>
      </c>
      <c r="U428" s="67">
        <v>5.5524555872271534E-4</v>
      </c>
      <c r="V428" s="67">
        <v>2.3763027432219062E-3</v>
      </c>
      <c r="W428" s="68">
        <v>1.4349215531449065E-4</v>
      </c>
    </row>
    <row r="429" spans="1:23" x14ac:dyDescent="0.3">
      <c r="A429" s="44" t="s">
        <v>530</v>
      </c>
      <c r="B429" t="s">
        <v>525</v>
      </c>
      <c r="C429" s="45">
        <v>2013</v>
      </c>
      <c r="D429" s="91">
        <v>18717422</v>
      </c>
      <c r="E429" s="2">
        <v>9147015</v>
      </c>
      <c r="F429" s="5">
        <v>0.48868989543538632</v>
      </c>
      <c r="G429" s="2">
        <v>9570409</v>
      </c>
      <c r="H429" s="78">
        <v>0.51131021141693556</v>
      </c>
      <c r="I429" s="52">
        <v>456260</v>
      </c>
      <c r="J429" s="82">
        <v>2.437622018673298E-2</v>
      </c>
      <c r="K429" s="59">
        <v>1153</v>
      </c>
      <c r="L429" s="60">
        <v>2977</v>
      </c>
      <c r="M429" s="66">
        <v>1.1354432391924728E-4</v>
      </c>
      <c r="N429" s="67">
        <v>2.7537171739702131E-5</v>
      </c>
      <c r="O429" s="67">
        <v>2.462466874690396E-5</v>
      </c>
      <c r="P429" s="67">
        <v>2.5992783536864047E-5</v>
      </c>
      <c r="Q429" s="67">
        <v>2.8605430572726993E-5</v>
      </c>
      <c r="R429" s="67">
        <v>5.0224634327458661E-5</v>
      </c>
      <c r="S429" s="67">
        <v>1.1797732543705718E-4</v>
      </c>
      <c r="T429" s="67">
        <v>2.1131865666877044E-4</v>
      </c>
      <c r="U429" s="67">
        <v>5.5974367599940437E-4</v>
      </c>
      <c r="V429" s="67">
        <v>2.5270678998816462E-3</v>
      </c>
      <c r="W429" s="68">
        <v>1.590496810939028E-4</v>
      </c>
    </row>
    <row r="430" spans="1:23" x14ac:dyDescent="0.3">
      <c r="A430" s="44" t="s">
        <v>531</v>
      </c>
      <c r="B430" t="s">
        <v>525</v>
      </c>
      <c r="C430" s="45">
        <v>2014</v>
      </c>
      <c r="D430" s="91">
        <v>19138467</v>
      </c>
      <c r="E430" s="2">
        <v>9344832</v>
      </c>
      <c r="F430" s="5">
        <v>0.4882748445839471</v>
      </c>
      <c r="G430" s="2">
        <v>9793636</v>
      </c>
      <c r="H430" s="78">
        <v>0.51172520766684182</v>
      </c>
      <c r="I430" s="52">
        <v>475978</v>
      </c>
      <c r="J430" s="82">
        <v>2.4870226021760259E-2</v>
      </c>
      <c r="K430" s="59">
        <v>1084</v>
      </c>
      <c r="L430" s="60">
        <v>3024</v>
      </c>
      <c r="M430" s="66">
        <v>1.1253467474665631E-4</v>
      </c>
      <c r="N430" s="67">
        <v>2.712096084140069E-5</v>
      </c>
      <c r="O430" s="67">
        <v>2.4345738704490208E-5</v>
      </c>
      <c r="P430" s="67">
        <v>2.8517700265550114E-5</v>
      </c>
      <c r="Q430" s="67">
        <v>3.2185589633732171E-5</v>
      </c>
      <c r="R430" s="67">
        <v>5.8503825377487655E-5</v>
      </c>
      <c r="S430" s="67">
        <v>1.1359591349978757E-4</v>
      </c>
      <c r="T430" s="67">
        <v>2.0792015008833927E-4</v>
      </c>
      <c r="U430" s="67">
        <v>5.9828236787856745E-4</v>
      </c>
      <c r="V430" s="67">
        <v>2.2774161831008994E-3</v>
      </c>
      <c r="W430" s="68">
        <v>1.5800638577792046E-4</v>
      </c>
    </row>
    <row r="431" spans="1:23" x14ac:dyDescent="0.3">
      <c r="A431" s="44" t="s">
        <v>374</v>
      </c>
      <c r="B431" t="s">
        <v>334</v>
      </c>
      <c r="C431" s="45">
        <v>2012</v>
      </c>
      <c r="D431" s="91">
        <v>19158210</v>
      </c>
      <c r="E431" s="2">
        <v>9269157</v>
      </c>
      <c r="F431" s="5">
        <v>0.48382166183583958</v>
      </c>
      <c r="G431" s="2">
        <v>9889056</v>
      </c>
      <c r="H431" s="78">
        <v>0.51617849475499011</v>
      </c>
      <c r="I431" s="52">
        <v>385210</v>
      </c>
      <c r="J431" s="82">
        <v>2.0106784506485731E-2</v>
      </c>
      <c r="K431" s="59">
        <v>2208</v>
      </c>
      <c r="L431" s="60">
        <v>4727</v>
      </c>
      <c r="M431" s="66">
        <v>1.0464903330455485E-4</v>
      </c>
      <c r="N431" s="67">
        <v>2.5638220775846746E-5</v>
      </c>
      <c r="O431" s="67">
        <v>2.1925881749334549E-5</v>
      </c>
      <c r="P431" s="67">
        <v>2.2668069568305507E-5</v>
      </c>
      <c r="Q431" s="67">
        <v>2.3170397808698245E-5</v>
      </c>
      <c r="R431" s="67">
        <v>4.6536924562934794E-5</v>
      </c>
      <c r="S431" s="67">
        <v>1.3494778355957967E-4</v>
      </c>
      <c r="T431" s="67">
        <v>3.7491557033939065E-4</v>
      </c>
      <c r="U431" s="67">
        <v>1.3447653956376838E-3</v>
      </c>
      <c r="V431" s="67">
        <v>5.7319384231977362E-3</v>
      </c>
      <c r="W431" s="68">
        <v>2.4673495070781664E-4</v>
      </c>
    </row>
    <row r="432" spans="1:23" x14ac:dyDescent="0.3">
      <c r="A432" s="44" t="s">
        <v>333</v>
      </c>
      <c r="B432" t="s">
        <v>334</v>
      </c>
      <c r="C432" s="45">
        <v>2011</v>
      </c>
      <c r="D432" s="91">
        <v>19219350</v>
      </c>
      <c r="E432" s="2">
        <v>9298802</v>
      </c>
      <c r="F432" s="5">
        <v>0.48382499928457517</v>
      </c>
      <c r="G432" s="2">
        <v>9920549</v>
      </c>
      <c r="H432" s="78">
        <v>0.51617505274632081</v>
      </c>
      <c r="I432" s="52">
        <v>376007</v>
      </c>
      <c r="J432" s="82">
        <v>1.9563981091972413E-2</v>
      </c>
      <c r="K432" s="59">
        <v>2498</v>
      </c>
      <c r="L432" s="60">
        <v>5212</v>
      </c>
      <c r="M432" s="66">
        <v>1.0400614329619736E-4</v>
      </c>
      <c r="N432" s="67">
        <v>2.5269073517842494E-5</v>
      </c>
      <c r="O432" s="67">
        <v>2.1894462124222611E-5</v>
      </c>
      <c r="P432" s="67">
        <v>2.2873760099241621E-5</v>
      </c>
      <c r="Q432" s="67">
        <v>2.4436907851428112E-5</v>
      </c>
      <c r="R432" s="67">
        <v>5.5737840243355645E-5</v>
      </c>
      <c r="S432" s="67">
        <v>1.4832882853187422E-4</v>
      </c>
      <c r="T432" s="67">
        <v>3.9815646046419031E-4</v>
      </c>
      <c r="U432" s="67">
        <v>1.4522681381762123E-3</v>
      </c>
      <c r="V432" s="67">
        <v>6.643493339219749E-3</v>
      </c>
      <c r="W432" s="68">
        <v>2.7118502967061841E-4</v>
      </c>
    </row>
    <row r="433" spans="1:23" x14ac:dyDescent="0.3">
      <c r="A433" s="44" t="s">
        <v>357</v>
      </c>
      <c r="B433" t="s">
        <v>334</v>
      </c>
      <c r="C433" s="45">
        <v>2010</v>
      </c>
      <c r="D433" s="91">
        <v>19229752</v>
      </c>
      <c r="E433" s="2">
        <v>9300854</v>
      </c>
      <c r="F433" s="5">
        <v>0.48366999220790785</v>
      </c>
      <c r="G433" s="2">
        <v>9928898</v>
      </c>
      <c r="H433" s="78">
        <v>0.51633000779209215</v>
      </c>
      <c r="I433" s="52">
        <v>366737</v>
      </c>
      <c r="J433" s="82">
        <v>1.9071332797219641E-2</v>
      </c>
      <c r="K433" s="59">
        <v>2273</v>
      </c>
      <c r="L433" s="60">
        <v>4952</v>
      </c>
      <c r="M433" s="66">
        <v>1.0341511170555649E-4</v>
      </c>
      <c r="N433" s="67">
        <v>2.4912122487923848E-5</v>
      </c>
      <c r="O433" s="67">
        <v>2.1794152774105058E-5</v>
      </c>
      <c r="P433" s="67">
        <v>2.3018376721055256E-5</v>
      </c>
      <c r="Q433" s="67">
        <v>2.2005557136695587E-5</v>
      </c>
      <c r="R433" s="67">
        <v>4.9693591429864366E-5</v>
      </c>
      <c r="S433" s="67">
        <v>1.4870417539429413E-4</v>
      </c>
      <c r="T433" s="67">
        <v>4.002742988694356E-4</v>
      </c>
      <c r="U433" s="67">
        <v>1.4365734158070622E-3</v>
      </c>
      <c r="V433" s="67">
        <v>6.1979020387907414E-3</v>
      </c>
      <c r="W433" s="68">
        <v>2.575176216521149E-4</v>
      </c>
    </row>
    <row r="434" spans="1:23" x14ac:dyDescent="0.3">
      <c r="A434" s="44" t="s">
        <v>534</v>
      </c>
      <c r="B434" t="s">
        <v>525</v>
      </c>
      <c r="C434" s="45">
        <v>2015</v>
      </c>
      <c r="D434" s="91">
        <v>19265983</v>
      </c>
      <c r="E434" s="2">
        <v>9408322</v>
      </c>
      <c r="F434" s="5">
        <v>0.48833853948692885</v>
      </c>
      <c r="G434" s="2">
        <v>9857664</v>
      </c>
      <c r="H434" s="78">
        <v>0.51166161622793915</v>
      </c>
      <c r="I434" s="52">
        <v>493015</v>
      </c>
      <c r="J434" s="82">
        <v>2.5589921884598361E-2</v>
      </c>
      <c r="K434" s="59">
        <v>1097</v>
      </c>
      <c r="L434" s="60">
        <v>3006</v>
      </c>
      <c r="M434" s="66">
        <v>1.1329144696780162E-4</v>
      </c>
      <c r="N434" s="67">
        <v>2.7295084428245318E-5</v>
      </c>
      <c r="O434" s="67">
        <v>2.4622162654827235E-5</v>
      </c>
      <c r="P434" s="67">
        <v>2.4843630051848654E-5</v>
      </c>
      <c r="Q434" s="67">
        <v>2.5240988336139291E-5</v>
      </c>
      <c r="R434" s="67">
        <v>3.3739817804983852E-5</v>
      </c>
      <c r="S434" s="67">
        <v>9.0085017735487872E-5</v>
      </c>
      <c r="T434" s="67">
        <v>2.2577916851829476E-4</v>
      </c>
      <c r="U434" s="67">
        <v>6.3580179984820554E-4</v>
      </c>
      <c r="V434" s="67">
        <v>2.2250844294798332E-3</v>
      </c>
      <c r="W434" s="68">
        <v>1.5602629774976964E-4</v>
      </c>
    </row>
    <row r="435" spans="1:23" x14ac:dyDescent="0.3">
      <c r="A435" s="44" t="s">
        <v>373</v>
      </c>
      <c r="B435" t="s">
        <v>334</v>
      </c>
      <c r="C435" s="45">
        <v>2009</v>
      </c>
      <c r="D435" s="91">
        <v>19423896</v>
      </c>
      <c r="E435" s="2">
        <v>9425099</v>
      </c>
      <c r="F435" s="5">
        <v>0.48523215939788805</v>
      </c>
      <c r="G435" s="2">
        <v>9998797</v>
      </c>
      <c r="H435" s="78">
        <v>0.514767840602112</v>
      </c>
      <c r="I435" s="52">
        <v>365860</v>
      </c>
      <c r="J435" s="82">
        <v>1.8835562134393635E-2</v>
      </c>
      <c r="K435" s="59">
        <v>2090</v>
      </c>
      <c r="L435" s="60">
        <v>4799</v>
      </c>
      <c r="M435" s="66">
        <v>9.8448129321462681E-5</v>
      </c>
      <c r="N435" s="67">
        <v>2.4400678664209246E-5</v>
      </c>
      <c r="O435" s="67">
        <v>2.2245695550601356E-5</v>
      </c>
      <c r="P435" s="67">
        <v>2.4931008229150484E-5</v>
      </c>
      <c r="Q435" s="67">
        <v>2.6445912643156132E-5</v>
      </c>
      <c r="R435" s="67">
        <v>6.765484372251522E-5</v>
      </c>
      <c r="S435" s="67">
        <v>1.3222400781138754E-4</v>
      </c>
      <c r="T435" s="67">
        <v>4.0917878430990923E-4</v>
      </c>
      <c r="U435" s="67">
        <v>1.4065454839122154E-3</v>
      </c>
      <c r="V435" s="67">
        <v>5.7125676488274206E-3</v>
      </c>
      <c r="W435" s="68">
        <v>2.4706680884205724E-4</v>
      </c>
    </row>
    <row r="436" spans="1:23" x14ac:dyDescent="0.3">
      <c r="A436" s="44" t="s">
        <v>341</v>
      </c>
      <c r="B436" t="s">
        <v>334</v>
      </c>
      <c r="C436" s="45">
        <v>2013</v>
      </c>
      <c r="D436" s="91">
        <v>19427678</v>
      </c>
      <c r="E436" s="2">
        <v>9412134</v>
      </c>
      <c r="F436" s="5">
        <v>0.48447035204104166</v>
      </c>
      <c r="G436" s="2">
        <v>10015544</v>
      </c>
      <c r="H436" s="78">
        <v>0.51552964795895839</v>
      </c>
      <c r="I436" s="52">
        <v>400137</v>
      </c>
      <c r="J436" s="82">
        <v>2.0596233888578966E-2</v>
      </c>
      <c r="K436" s="59">
        <v>2430</v>
      </c>
      <c r="L436" s="60">
        <v>5202</v>
      </c>
      <c r="M436" s="66">
        <v>1.0305621802573486E-4</v>
      </c>
      <c r="N436" s="67">
        <v>2.5529785600860524E-5</v>
      </c>
      <c r="O436" s="67">
        <v>2.1839576661645991E-5</v>
      </c>
      <c r="P436" s="67">
        <v>2.2135026613680332E-5</v>
      </c>
      <c r="Q436" s="67">
        <v>2.3367752734903361E-5</v>
      </c>
      <c r="R436" s="67">
        <v>5.2758050175016037E-5</v>
      </c>
      <c r="S436" s="67">
        <v>1.4833066550036384E-4</v>
      </c>
      <c r="T436" s="67">
        <v>4.4721649919486964E-4</v>
      </c>
      <c r="U436" s="67">
        <v>1.4029565925691757E-3</v>
      </c>
      <c r="V436" s="67">
        <v>6.072920024891475E-3</v>
      </c>
      <c r="W436" s="68">
        <v>2.6776231312872282E-4</v>
      </c>
    </row>
    <row r="437" spans="1:23" x14ac:dyDescent="0.3">
      <c r="A437" s="44" t="s">
        <v>358</v>
      </c>
      <c r="B437" t="s">
        <v>334</v>
      </c>
      <c r="C437" s="45">
        <v>2014</v>
      </c>
      <c r="D437" s="91">
        <v>19502525</v>
      </c>
      <c r="E437" s="2">
        <v>9449729</v>
      </c>
      <c r="F437" s="5">
        <v>0.4845387456239641</v>
      </c>
      <c r="G437" s="2">
        <v>10052796</v>
      </c>
      <c r="H437" s="78">
        <v>0.51546125437603596</v>
      </c>
      <c r="I437" s="52">
        <v>410066</v>
      </c>
      <c r="J437" s="82">
        <v>2.1026303004354565E-2</v>
      </c>
      <c r="K437" s="59">
        <v>2244</v>
      </c>
      <c r="L437" s="60">
        <v>5021</v>
      </c>
      <c r="M437" s="66">
        <v>1.0293263659375319E-4</v>
      </c>
      <c r="N437" s="67">
        <v>2.5688494465842009E-5</v>
      </c>
      <c r="O437" s="67">
        <v>2.1972484589964139E-5</v>
      </c>
      <c r="P437" s="67">
        <v>2.1811733476612189E-5</v>
      </c>
      <c r="Q437" s="67">
        <v>2.8319697923222152E-5</v>
      </c>
      <c r="R437" s="67">
        <v>5.8369206812004814E-5</v>
      </c>
      <c r="S437" s="67">
        <v>1.6394868322992221E-4</v>
      </c>
      <c r="T437" s="67">
        <v>4.1788209201967509E-4</v>
      </c>
      <c r="U437" s="67">
        <v>1.3647143831106397E-3</v>
      </c>
      <c r="V437" s="67">
        <v>5.4722898265157317E-3</v>
      </c>
      <c r="W437" s="68">
        <v>2.5745384251526403E-4</v>
      </c>
    </row>
    <row r="438" spans="1:23" x14ac:dyDescent="0.3">
      <c r="A438" s="44" t="s">
        <v>345</v>
      </c>
      <c r="B438" t="s">
        <v>334</v>
      </c>
      <c r="C438" s="45">
        <v>2015</v>
      </c>
      <c r="D438" s="91">
        <v>19540557</v>
      </c>
      <c r="E438" s="2">
        <v>9476276</v>
      </c>
      <c r="F438" s="5">
        <v>0.48495424158072875</v>
      </c>
      <c r="G438" s="2">
        <v>10064283</v>
      </c>
      <c r="H438" s="78">
        <v>0.51504586077049896</v>
      </c>
      <c r="I438" s="52">
        <v>414173</v>
      </c>
      <c r="J438" s="82">
        <v>2.1195557526840204E-2</v>
      </c>
      <c r="K438" s="59">
        <v>2464</v>
      </c>
      <c r="L438" s="60">
        <v>5188</v>
      </c>
      <c r="M438" s="66">
        <v>1.024407359000998E-4</v>
      </c>
      <c r="N438" s="67">
        <v>2.5912117326612305E-5</v>
      </c>
      <c r="O438" s="67">
        <v>2.214214147721297E-5</v>
      </c>
      <c r="P438" s="67">
        <v>2.1507002859356031E-5</v>
      </c>
      <c r="Q438" s="67">
        <v>2.3817633146523697E-5</v>
      </c>
      <c r="R438" s="67">
        <v>5.0367468188121424E-5</v>
      </c>
      <c r="S438" s="67">
        <v>1.3460277248981172E-4</v>
      </c>
      <c r="T438" s="67">
        <v>4.0664510573100687E-4</v>
      </c>
      <c r="U438" s="67">
        <v>1.4213659162541506E-3</v>
      </c>
      <c r="V438" s="67">
        <v>5.9492048008923807E-3</v>
      </c>
      <c r="W438" s="68">
        <v>2.6549908480090923E-4</v>
      </c>
    </row>
    <row r="439" spans="1:23" x14ac:dyDescent="0.3">
      <c r="A439" s="44" t="s">
        <v>378</v>
      </c>
      <c r="B439" t="s">
        <v>334</v>
      </c>
      <c r="C439" s="45">
        <v>2016</v>
      </c>
      <c r="D439" s="91">
        <v>19650679</v>
      </c>
      <c r="E439" s="2">
        <v>9530584</v>
      </c>
      <c r="F439" s="5">
        <v>0.48500023841415352</v>
      </c>
      <c r="G439" s="2">
        <v>10120095</v>
      </c>
      <c r="H439" s="78">
        <v>0.51499976158584648</v>
      </c>
      <c r="I439" s="52">
        <v>424865</v>
      </c>
      <c r="J439" s="82">
        <v>2.1620881395497834E-2</v>
      </c>
      <c r="K439" s="59">
        <v>2081</v>
      </c>
      <c r="L439" s="60">
        <v>4822</v>
      </c>
      <c r="M439" s="66">
        <v>1.0267502669550695E-4</v>
      </c>
      <c r="N439" s="67">
        <v>2.593041572939018E-5</v>
      </c>
      <c r="O439" s="67">
        <v>2.2286233236573938E-5</v>
      </c>
      <c r="P439" s="67">
        <v>2.1222365826897652E-5</v>
      </c>
      <c r="Q439" s="67">
        <v>2.7202219701127613E-5</v>
      </c>
      <c r="R439" s="67">
        <v>4.1481652484750981E-5</v>
      </c>
      <c r="S439" s="67">
        <v>1.5094182075979938E-4</v>
      </c>
      <c r="T439" s="67">
        <v>4.3582165550775103E-4</v>
      </c>
      <c r="U439" s="67">
        <v>1.301474349869102E-3</v>
      </c>
      <c r="V439" s="67">
        <v>4.8980264319254353E-3</v>
      </c>
      <c r="W439" s="68">
        <v>2.4538592279686619E-4</v>
      </c>
    </row>
    <row r="440" spans="1:23" x14ac:dyDescent="0.3">
      <c r="A440" s="44" t="s">
        <v>377</v>
      </c>
      <c r="B440" t="s">
        <v>334</v>
      </c>
      <c r="C440" s="45">
        <v>2017</v>
      </c>
      <c r="D440" s="91">
        <v>19682278</v>
      </c>
      <c r="E440" s="2">
        <v>9543928</v>
      </c>
      <c r="F440" s="5">
        <v>0.48489956294693126</v>
      </c>
      <c r="G440" s="2">
        <v>10138351</v>
      </c>
      <c r="H440" s="78">
        <v>0.51510048786019591</v>
      </c>
      <c r="I440" s="52">
        <v>433804</v>
      </c>
      <c r="J440" s="82">
        <v>2.2040334965292126E-2</v>
      </c>
      <c r="K440" s="59">
        <v>2166</v>
      </c>
      <c r="L440" s="60">
        <v>4832</v>
      </c>
      <c r="M440" s="66">
        <v>1.0227571999976136E-4</v>
      </c>
      <c r="N440" s="67">
        <v>2.6178238902608226E-5</v>
      </c>
      <c r="O440" s="67">
        <v>2.2636145094671905E-5</v>
      </c>
      <c r="P440" s="67">
        <v>2.0884064205966995E-5</v>
      </c>
      <c r="Q440" s="67">
        <v>2.4240044310801002E-5</v>
      </c>
      <c r="R440" s="67">
        <v>4.5493718748291691E-5</v>
      </c>
      <c r="S440" s="67">
        <v>1.3236898749649699E-4</v>
      </c>
      <c r="T440" s="67">
        <v>3.9524093706497096E-4</v>
      </c>
      <c r="U440" s="67">
        <v>1.2802377132741685E-3</v>
      </c>
      <c r="V440" s="67">
        <v>4.9930383306746829E-3</v>
      </c>
      <c r="W440" s="68">
        <v>2.4550003815615245E-4</v>
      </c>
    </row>
    <row r="441" spans="1:23" x14ac:dyDescent="0.3">
      <c r="A441" s="44" t="s">
        <v>533</v>
      </c>
      <c r="B441" t="s">
        <v>525</v>
      </c>
      <c r="C441" s="45">
        <v>2016</v>
      </c>
      <c r="D441" s="91">
        <v>19862072</v>
      </c>
      <c r="E441" s="2">
        <v>9694326</v>
      </c>
      <c r="F441" s="5">
        <v>0.48808231084853582</v>
      </c>
      <c r="G441" s="2">
        <v>10167751</v>
      </c>
      <c r="H441" s="78">
        <v>0.51191794088753684</v>
      </c>
      <c r="I441" s="52">
        <v>514243</v>
      </c>
      <c r="J441" s="82">
        <v>2.5890702641698207E-2</v>
      </c>
      <c r="K441" s="59">
        <v>1088</v>
      </c>
      <c r="L441" s="60">
        <v>3107</v>
      </c>
      <c r="M441" s="66">
        <v>1.1005115544542288E-4</v>
      </c>
      <c r="N441" s="67">
        <v>2.6589545168103538E-5</v>
      </c>
      <c r="O441" s="67">
        <v>2.4230167204307156E-5</v>
      </c>
      <c r="P441" s="67">
        <v>2.3813568336209482E-5</v>
      </c>
      <c r="Q441" s="67">
        <v>3.3006227862619827E-5</v>
      </c>
      <c r="R441" s="67">
        <v>4.8592746747026158E-5</v>
      </c>
      <c r="S441" s="67">
        <v>1.0648567728777093E-4</v>
      </c>
      <c r="T441" s="67">
        <v>2.2683796545127751E-4</v>
      </c>
      <c r="U441" s="67">
        <v>5.871341404682835E-4</v>
      </c>
      <c r="V441" s="67">
        <v>2.1157312787923217E-3</v>
      </c>
      <c r="W441" s="68">
        <v>1.5642879554560068E-4</v>
      </c>
    </row>
    <row r="442" spans="1:23" x14ac:dyDescent="0.3">
      <c r="A442" s="44" t="s">
        <v>524</v>
      </c>
      <c r="B442" t="s">
        <v>525</v>
      </c>
      <c r="C442" s="45">
        <v>2017</v>
      </c>
      <c r="D442" s="91">
        <v>20175758</v>
      </c>
      <c r="E442" s="2">
        <v>9857413</v>
      </c>
      <c r="F442" s="5">
        <v>0.48857708344836415</v>
      </c>
      <c r="G442" s="2">
        <v>10318347</v>
      </c>
      <c r="H442" s="78">
        <v>0.5114230156805013</v>
      </c>
      <c r="I442" s="52">
        <v>520524</v>
      </c>
      <c r="J442" s="82">
        <v>2.5799476778022416E-2</v>
      </c>
      <c r="K442" s="59">
        <v>1294</v>
      </c>
      <c r="L442" s="60">
        <v>3365</v>
      </c>
      <c r="M442" s="66">
        <v>1.0902232413790597E-4</v>
      </c>
      <c r="N442" s="67">
        <v>2.6359525475822383E-5</v>
      </c>
      <c r="O442" s="67">
        <v>2.4184177018502105E-5</v>
      </c>
      <c r="P442" s="67">
        <v>2.3179071461849953E-5</v>
      </c>
      <c r="Q442" s="67">
        <v>2.4465779510317423E-5</v>
      </c>
      <c r="R442" s="67">
        <v>3.3202529959810341E-5</v>
      </c>
      <c r="S442" s="67">
        <v>1.1384909757512807E-4</v>
      </c>
      <c r="T442" s="67">
        <v>2.3953318880878661E-4</v>
      </c>
      <c r="U442" s="67">
        <v>6.0663729694161847E-4</v>
      </c>
      <c r="V442" s="67">
        <v>2.485956459260284E-3</v>
      </c>
      <c r="W442" s="68">
        <v>1.6678431610847038E-4</v>
      </c>
    </row>
    <row r="443" spans="1:23" x14ac:dyDescent="0.3">
      <c r="A443" s="44" t="s">
        <v>535</v>
      </c>
      <c r="B443" t="s">
        <v>536</v>
      </c>
      <c r="C443" s="45">
        <v>2009</v>
      </c>
      <c r="D443" s="91">
        <v>23721521</v>
      </c>
      <c r="E443" s="2">
        <v>11832085</v>
      </c>
      <c r="F443" s="5">
        <v>0.49879116098837001</v>
      </c>
      <c r="G443" s="2">
        <v>11889436</v>
      </c>
      <c r="H443" s="78">
        <v>0.50120883901162994</v>
      </c>
      <c r="I443" s="52">
        <v>293282</v>
      </c>
      <c r="J443" s="82">
        <v>1.2363541106828689E-2</v>
      </c>
      <c r="K443" s="59">
        <v>1245</v>
      </c>
      <c r="L443" s="60">
        <v>3558</v>
      </c>
      <c r="M443" s="66">
        <v>6.0430902550637318E-5</v>
      </c>
      <c r="N443" s="67">
        <v>1.6820730541148132E-5</v>
      </c>
      <c r="O443" s="67">
        <v>1.7100652731914779E-5</v>
      </c>
      <c r="P443" s="67">
        <v>2.3541814281498085E-5</v>
      </c>
      <c r="Q443" s="67">
        <v>3.5798043415038666E-5</v>
      </c>
      <c r="R443" s="67">
        <v>7.0847194513793887E-5</v>
      </c>
      <c r="S443" s="67">
        <v>1.4197801804061378E-4</v>
      </c>
      <c r="T443" s="67">
        <v>3.2287377891470839E-4</v>
      </c>
      <c r="U443" s="67">
        <v>1.0525548545386486E-3</v>
      </c>
      <c r="V443" s="67">
        <v>4.2450610675049951E-3</v>
      </c>
      <c r="W443" s="68">
        <v>1.4999038215129628E-4</v>
      </c>
    </row>
    <row r="444" spans="1:23" x14ac:dyDescent="0.3">
      <c r="A444" s="44" t="s">
        <v>544</v>
      </c>
      <c r="B444" t="s">
        <v>536</v>
      </c>
      <c r="C444" s="45">
        <v>2010</v>
      </c>
      <c r="D444" s="91">
        <v>24014946</v>
      </c>
      <c r="E444" s="2">
        <v>11905959</v>
      </c>
      <c r="F444" s="5">
        <v>0.49577288243746209</v>
      </c>
      <c r="G444" s="2">
        <v>12108989</v>
      </c>
      <c r="H444" s="78">
        <v>0.50422720084400774</v>
      </c>
      <c r="I444" s="52">
        <v>286373</v>
      </c>
      <c r="J444" s="82">
        <v>1.1924782175233706E-2</v>
      </c>
      <c r="K444" s="59">
        <v>1219</v>
      </c>
      <c r="L444" s="60">
        <v>3284</v>
      </c>
      <c r="M444" s="66">
        <v>6.3632796343235308E-5</v>
      </c>
      <c r="N444" s="67">
        <v>1.6571916732747186E-5</v>
      </c>
      <c r="O444" s="67">
        <v>1.6715936890651863E-5</v>
      </c>
      <c r="P444" s="67">
        <v>1.7402522669686198E-5</v>
      </c>
      <c r="Q444" s="67">
        <v>2.1213244371271846E-5</v>
      </c>
      <c r="R444" s="67">
        <v>4.5989025982885991E-5</v>
      </c>
      <c r="S444" s="67">
        <v>1.1224277521527615E-4</v>
      </c>
      <c r="T444" s="67">
        <v>2.8807034234574943E-4</v>
      </c>
      <c r="U444" s="67">
        <v>1.047185467195584E-3</v>
      </c>
      <c r="V444" s="67">
        <v>4.2566862099429762E-3</v>
      </c>
      <c r="W444" s="68">
        <v>1.3674817340834328E-4</v>
      </c>
    </row>
    <row r="445" spans="1:23" x14ac:dyDescent="0.3">
      <c r="A445" s="44" t="s">
        <v>545</v>
      </c>
      <c r="B445" t="s">
        <v>536</v>
      </c>
      <c r="C445" s="45">
        <v>2011</v>
      </c>
      <c r="D445" s="91">
        <v>24558399</v>
      </c>
      <c r="E445" s="2">
        <v>12175334</v>
      </c>
      <c r="F445" s="5">
        <v>0.4957706729986755</v>
      </c>
      <c r="G445" s="2">
        <v>12383067</v>
      </c>
      <c r="H445" s="78">
        <v>0.50422940843985797</v>
      </c>
      <c r="I445" s="52">
        <v>297580</v>
      </c>
      <c r="J445" s="82">
        <v>1.211723940147727E-2</v>
      </c>
      <c r="K445" s="59">
        <v>1265</v>
      </c>
      <c r="L445" s="60">
        <v>3318</v>
      </c>
      <c r="M445" s="66">
        <v>6.2895488139745395E-5</v>
      </c>
      <c r="N445" s="67">
        <v>1.6226996204505586E-5</v>
      </c>
      <c r="O445" s="67">
        <v>1.6452415091142266E-5</v>
      </c>
      <c r="P445" s="67">
        <v>1.7016951152274487E-5</v>
      </c>
      <c r="Q445" s="67">
        <v>2.0138800112777281E-5</v>
      </c>
      <c r="R445" s="67">
        <v>4.0584863696033695E-5</v>
      </c>
      <c r="S445" s="67">
        <v>1.1260088335392991E-4</v>
      </c>
      <c r="T445" s="67">
        <v>2.864372999359229E-4</v>
      </c>
      <c r="U445" s="67">
        <v>1.0010334454873088E-3</v>
      </c>
      <c r="V445" s="67">
        <v>4.2509577256536054E-3</v>
      </c>
      <c r="W445" s="68">
        <v>1.351065270989367E-4</v>
      </c>
    </row>
    <row r="446" spans="1:23" x14ac:dyDescent="0.3">
      <c r="A446" s="44" t="s">
        <v>546</v>
      </c>
      <c r="B446" t="s">
        <v>536</v>
      </c>
      <c r="C446" s="45">
        <v>2012</v>
      </c>
      <c r="D446" s="91">
        <v>24742428</v>
      </c>
      <c r="E446" s="2">
        <v>12272136</v>
      </c>
      <c r="F446" s="5">
        <v>0.49599562338829478</v>
      </c>
      <c r="G446" s="2">
        <v>12470298</v>
      </c>
      <c r="H446" s="78">
        <v>0.5040046191101375</v>
      </c>
      <c r="I446" s="52">
        <v>305910</v>
      </c>
      <c r="J446" s="82">
        <v>1.2363782568145697E-2</v>
      </c>
      <c r="K446" s="59">
        <v>1211</v>
      </c>
      <c r="L446" s="60">
        <v>3255</v>
      </c>
      <c r="M446" s="66">
        <v>6.3300120111977907E-5</v>
      </c>
      <c r="N446" s="67">
        <v>1.6110232655924901E-5</v>
      </c>
      <c r="O446" s="67">
        <v>1.6406092347706347E-5</v>
      </c>
      <c r="P446" s="67">
        <v>1.6824631260164882E-5</v>
      </c>
      <c r="Q446" s="67">
        <v>2.1643907415553663E-5</v>
      </c>
      <c r="R446" s="67">
        <v>3.909945887542793E-5</v>
      </c>
      <c r="S446" s="67">
        <v>9.9583273290477378E-5</v>
      </c>
      <c r="T446" s="67">
        <v>3.0127164020497425E-4</v>
      </c>
      <c r="U446" s="67">
        <v>9.7146206279560517E-4</v>
      </c>
      <c r="V446" s="67">
        <v>3.9586806577097842E-3</v>
      </c>
      <c r="W446" s="68">
        <v>1.3155539949434228E-4</v>
      </c>
    </row>
    <row r="447" spans="1:23" x14ac:dyDescent="0.3">
      <c r="A447" s="44" t="s">
        <v>541</v>
      </c>
      <c r="B447" t="s">
        <v>536</v>
      </c>
      <c r="C447" s="45">
        <v>2013</v>
      </c>
      <c r="D447" s="91">
        <v>25228527</v>
      </c>
      <c r="E447" s="2">
        <v>12517534</v>
      </c>
      <c r="F447" s="5">
        <v>0.4961658681063702</v>
      </c>
      <c r="G447" s="2">
        <v>12711002</v>
      </c>
      <c r="H447" s="78">
        <v>0.5038344886326499</v>
      </c>
      <c r="I447" s="52">
        <v>314583</v>
      </c>
      <c r="J447" s="82">
        <v>1.2469336794811683E-2</v>
      </c>
      <c r="K447" s="59">
        <v>1277</v>
      </c>
      <c r="L447" s="60">
        <v>3620</v>
      </c>
      <c r="M447" s="66">
        <v>6.289894969237172E-5</v>
      </c>
      <c r="N447" s="67">
        <v>1.5774993900335692E-5</v>
      </c>
      <c r="O447" s="67">
        <v>1.6169691207407012E-5</v>
      </c>
      <c r="P447" s="67">
        <v>1.9239130853024583E-5</v>
      </c>
      <c r="Q447" s="67">
        <v>2.6577942561021658E-5</v>
      </c>
      <c r="R447" s="67">
        <v>5.4747268851112288E-5</v>
      </c>
      <c r="S447" s="67">
        <v>1.3748241449252981E-4</v>
      </c>
      <c r="T447" s="67">
        <v>3.2020283869618629E-4</v>
      </c>
      <c r="U447" s="67">
        <v>1.017753197874941E-3</v>
      </c>
      <c r="V447" s="67">
        <v>4.0593420496339598E-3</v>
      </c>
      <c r="W447" s="68">
        <v>1.4348836140928877E-4</v>
      </c>
    </row>
    <row r="448" spans="1:23" x14ac:dyDescent="0.3">
      <c r="A448" s="44" t="s">
        <v>543</v>
      </c>
      <c r="B448" t="s">
        <v>536</v>
      </c>
      <c r="C448" s="45">
        <v>2015</v>
      </c>
      <c r="D448" s="91">
        <v>25416969</v>
      </c>
      <c r="E448" s="2">
        <v>12591402</v>
      </c>
      <c r="F448" s="5">
        <v>0.49539353020417187</v>
      </c>
      <c r="G448" s="2">
        <v>12825574</v>
      </c>
      <c r="H448" s="78">
        <v>0.50460674520238824</v>
      </c>
      <c r="I448" s="52">
        <v>321095</v>
      </c>
      <c r="J448" s="82">
        <v>1.2633095629931326E-2</v>
      </c>
      <c r="K448" s="59">
        <v>1253</v>
      </c>
      <c r="L448" s="60">
        <v>3485</v>
      </c>
      <c r="M448" s="66">
        <v>6.3988772103454913E-5</v>
      </c>
      <c r="N448" s="67">
        <v>1.5798266666842203E-5</v>
      </c>
      <c r="O448" s="67">
        <v>1.6153075155143555E-5</v>
      </c>
      <c r="P448" s="67">
        <v>1.7601872189285658E-5</v>
      </c>
      <c r="Q448" s="67">
        <v>1.8773766866785393E-5</v>
      </c>
      <c r="R448" s="67">
        <v>4.8897497263098417E-5</v>
      </c>
      <c r="S448" s="67">
        <v>1.1549059350906547E-4</v>
      </c>
      <c r="T448" s="67">
        <v>3.0246834906554965E-4</v>
      </c>
      <c r="U448" s="67">
        <v>9.8312032392981513E-4</v>
      </c>
      <c r="V448" s="67">
        <v>3.902271913296688E-3</v>
      </c>
      <c r="W448" s="68">
        <v>1.3711312312652228E-4</v>
      </c>
    </row>
    <row r="449" spans="1:23" x14ac:dyDescent="0.3">
      <c r="A449" s="44" t="s">
        <v>539</v>
      </c>
      <c r="B449" t="s">
        <v>536</v>
      </c>
      <c r="C449" s="45">
        <v>2014</v>
      </c>
      <c r="D449" s="91">
        <v>25610269</v>
      </c>
      <c r="E449" s="2">
        <v>12706965</v>
      </c>
      <c r="F449" s="5">
        <v>0.49616679153194371</v>
      </c>
      <c r="G449" s="2">
        <v>12903313</v>
      </c>
      <c r="H449" s="78">
        <v>0.50383355988958956</v>
      </c>
      <c r="I449" s="52">
        <v>323659</v>
      </c>
      <c r="J449" s="82">
        <v>1.2637860227083129E-2</v>
      </c>
      <c r="K449" s="59">
        <v>1190</v>
      </c>
      <c r="L449" s="60">
        <v>3721</v>
      </c>
      <c r="M449" s="66">
        <v>6.2876406990598923E-5</v>
      </c>
      <c r="N449" s="67">
        <v>1.5594436528823976E-5</v>
      </c>
      <c r="O449" s="67">
        <v>1.6027952749595293E-5</v>
      </c>
      <c r="P449" s="67">
        <v>2.4243482139826708E-5</v>
      </c>
      <c r="Q449" s="67">
        <v>3.3150784916278552E-5</v>
      </c>
      <c r="R449" s="67">
        <v>6.042876715882213E-5</v>
      </c>
      <c r="S449" s="67">
        <v>1.6697150510958325E-4</v>
      </c>
      <c r="T449" s="67">
        <v>3.3248330721707107E-4</v>
      </c>
      <c r="U449" s="67">
        <v>9.7982668059777697E-4</v>
      </c>
      <c r="V449" s="67">
        <v>3.6767091290524903E-3</v>
      </c>
      <c r="W449" s="68">
        <v>1.4529328059771648E-4</v>
      </c>
    </row>
    <row r="450" spans="1:23" x14ac:dyDescent="0.3">
      <c r="A450" s="44" t="s">
        <v>548</v>
      </c>
      <c r="B450" t="s">
        <v>536</v>
      </c>
      <c r="C450" s="45">
        <v>2016</v>
      </c>
      <c r="D450" s="91">
        <v>26031451</v>
      </c>
      <c r="E450" s="2">
        <v>12904176</v>
      </c>
      <c r="F450" s="78">
        <v>0.49571481820202801</v>
      </c>
      <c r="G450" s="2">
        <v>13127281</v>
      </c>
      <c r="H450" s="78">
        <v>0.50428541228838919</v>
      </c>
      <c r="I450" s="52">
        <v>336300</v>
      </c>
      <c r="J450" s="82">
        <v>1.2918987881236433E-2</v>
      </c>
      <c r="K450" s="59">
        <v>1026</v>
      </c>
      <c r="L450" s="60">
        <v>3134</v>
      </c>
      <c r="M450" s="66">
        <v>6.2976621503682301E-5</v>
      </c>
      <c r="N450" s="67">
        <v>1.5502341757908714E-5</v>
      </c>
      <c r="O450" s="67">
        <v>1.5883651196078645E-5</v>
      </c>
      <c r="P450" s="67">
        <v>1.5811143272147721E-5</v>
      </c>
      <c r="Q450" s="67">
        <v>2.0946504608655607E-5</v>
      </c>
      <c r="R450" s="67">
        <v>3.5821055915175737E-5</v>
      </c>
      <c r="S450" s="67">
        <v>1.1245601476266334E-4</v>
      </c>
      <c r="T450" s="67">
        <v>2.9675426455356242E-4</v>
      </c>
      <c r="U450" s="67">
        <v>8.1955391543027725E-4</v>
      </c>
      <c r="V450" s="67">
        <v>3.0508474576271187E-3</v>
      </c>
      <c r="W450" s="68">
        <v>1.2039282789115367E-4</v>
      </c>
    </row>
    <row r="451" spans="1:23" x14ac:dyDescent="0.3">
      <c r="A451" s="44" t="s">
        <v>547</v>
      </c>
      <c r="B451" t="s">
        <v>536</v>
      </c>
      <c r="C451" s="45">
        <v>2017</v>
      </c>
      <c r="D451" s="91">
        <v>26462523</v>
      </c>
      <c r="E451" s="2">
        <v>13124624</v>
      </c>
      <c r="F451" s="5">
        <v>0.49597024440942383</v>
      </c>
      <c r="G451" s="2">
        <v>13337908</v>
      </c>
      <c r="H451" s="78">
        <v>0.50403009569420121</v>
      </c>
      <c r="I451" s="52">
        <v>344377</v>
      </c>
      <c r="J451" s="82">
        <v>1.3013762897815903E-2</v>
      </c>
      <c r="K451" s="59">
        <v>1031</v>
      </c>
      <c r="L451" s="60">
        <v>3214</v>
      </c>
      <c r="M451" s="66">
        <v>6.2754252777267897E-5</v>
      </c>
      <c r="N451" s="67">
        <v>1.5389208471451478E-5</v>
      </c>
      <c r="O451" s="67">
        <v>1.577402759035166E-5</v>
      </c>
      <c r="P451" s="67">
        <v>1.5499806769075613E-5</v>
      </c>
      <c r="Q451" s="67">
        <v>1.9800555419523572E-5</v>
      </c>
      <c r="R451" s="67">
        <v>4.9411149285579875E-5</v>
      </c>
      <c r="S451" s="67">
        <v>1.1135302118508307E-4</v>
      </c>
      <c r="T451" s="67">
        <v>2.8175357332065623E-4</v>
      </c>
      <c r="U451" s="67">
        <v>8.2253730001298746E-4</v>
      </c>
      <c r="V451" s="67">
        <v>2.9938120141589013E-3</v>
      </c>
      <c r="W451" s="68">
        <v>1.2145478343089205E-4</v>
      </c>
    </row>
    <row r="452" spans="1:23" x14ac:dyDescent="0.3">
      <c r="A452" s="44" t="s">
        <v>505</v>
      </c>
      <c r="B452" t="s">
        <v>506</v>
      </c>
      <c r="C452" s="45">
        <v>2009</v>
      </c>
      <c r="D452" s="91">
        <v>36308527</v>
      </c>
      <c r="E452" s="2">
        <v>18158602</v>
      </c>
      <c r="F452" s="5">
        <v>0.50011948983774523</v>
      </c>
      <c r="G452" s="2">
        <v>18149925</v>
      </c>
      <c r="H452" s="78">
        <v>0.49988051016225471</v>
      </c>
      <c r="I452" s="52">
        <v>543486</v>
      </c>
      <c r="J452" s="82">
        <v>1.4968549949712915E-2</v>
      </c>
      <c r="K452" s="59">
        <v>2856</v>
      </c>
      <c r="L452" s="60">
        <v>6596</v>
      </c>
      <c r="M452" s="66">
        <v>4.4348520237708066E-5</v>
      </c>
      <c r="N452" s="67">
        <v>1.2693150697771785E-5</v>
      </c>
      <c r="O452" s="67">
        <v>1.2501164881273027E-5</v>
      </c>
      <c r="P452" s="67">
        <v>2.3253400242629383E-5</v>
      </c>
      <c r="Q452" s="67">
        <v>3.4198754941066015E-5</v>
      </c>
      <c r="R452" s="67">
        <v>6.8321130639677324E-5</v>
      </c>
      <c r="S452" s="67">
        <v>1.2239506938761761E-4</v>
      </c>
      <c r="T452" s="67">
        <v>3.448863774752174E-4</v>
      </c>
      <c r="U452" s="67">
        <v>1.1870700233197835E-3</v>
      </c>
      <c r="V452" s="67">
        <v>5.254965169295989E-3</v>
      </c>
      <c r="W452" s="68">
        <v>1.8166531514759605E-4</v>
      </c>
    </row>
    <row r="453" spans="1:23" x14ac:dyDescent="0.3">
      <c r="A453" s="44" t="s">
        <v>521</v>
      </c>
      <c r="B453" t="s">
        <v>506</v>
      </c>
      <c r="C453" s="45">
        <v>2010</v>
      </c>
      <c r="D453" s="91">
        <v>36388689</v>
      </c>
      <c r="E453" s="2">
        <v>18100624</v>
      </c>
      <c r="F453" s="5">
        <v>0.49742446066138851</v>
      </c>
      <c r="G453" s="2">
        <v>18288065</v>
      </c>
      <c r="H453" s="78">
        <v>0.50257553933861154</v>
      </c>
      <c r="I453" s="52">
        <v>555581</v>
      </c>
      <c r="J453" s="82">
        <v>1.5267958678038662E-2</v>
      </c>
      <c r="K453" s="59">
        <v>2955</v>
      </c>
      <c r="L453" s="60">
        <v>6162</v>
      </c>
      <c r="M453" s="66">
        <v>4.7324900824754712E-5</v>
      </c>
      <c r="N453" s="67">
        <v>1.1835631484200024E-5</v>
      </c>
      <c r="O453" s="67">
        <v>1.0951321194767239E-5</v>
      </c>
      <c r="P453" s="67">
        <v>1.1506917095539057E-5</v>
      </c>
      <c r="Q453" s="67">
        <v>1.4675463558822785E-5</v>
      </c>
      <c r="R453" s="67">
        <v>2.840700936099118E-5</v>
      </c>
      <c r="S453" s="67">
        <v>9.4083967931037256E-5</v>
      </c>
      <c r="T453" s="67">
        <v>3.2886891805438307E-4</v>
      </c>
      <c r="U453" s="67">
        <v>1.1679028636179397E-3</v>
      </c>
      <c r="V453" s="67">
        <v>5.3187564009568363E-3</v>
      </c>
      <c r="W453" s="68">
        <v>1.6933833477760082E-4</v>
      </c>
    </row>
    <row r="454" spans="1:23" x14ac:dyDescent="0.3">
      <c r="A454" s="44" t="s">
        <v>514</v>
      </c>
      <c r="B454" t="s">
        <v>506</v>
      </c>
      <c r="C454" s="45">
        <v>2011</v>
      </c>
      <c r="D454" s="91">
        <v>36968289</v>
      </c>
      <c r="E454" s="2">
        <v>18386710</v>
      </c>
      <c r="F454" s="5">
        <v>0.49736437626312646</v>
      </c>
      <c r="G454" s="2">
        <v>18581580</v>
      </c>
      <c r="H454" s="78">
        <v>0.50263565078708405</v>
      </c>
      <c r="I454" s="52">
        <v>581946</v>
      </c>
      <c r="J454" s="82">
        <v>1.5741761811048381E-2</v>
      </c>
      <c r="K454" s="59">
        <v>3050</v>
      </c>
      <c r="L454" s="60">
        <v>6451</v>
      </c>
      <c r="M454" s="66">
        <v>4.7063105349192552E-5</v>
      </c>
      <c r="N454" s="67">
        <v>1.1811139873423951E-5</v>
      </c>
      <c r="O454" s="67">
        <v>1.0797709589841802E-5</v>
      </c>
      <c r="P454" s="67">
        <v>1.2864288753338803E-5</v>
      </c>
      <c r="Q454" s="67">
        <v>1.6222469991293305E-5</v>
      </c>
      <c r="R454" s="67">
        <v>4.1535290478784602E-5</v>
      </c>
      <c r="S454" s="67">
        <v>1.1352569119631277E-4</v>
      </c>
      <c r="T454" s="67">
        <v>3.0226477854037193E-4</v>
      </c>
      <c r="U454" s="67">
        <v>1.1713401957304395E-3</v>
      </c>
      <c r="V454" s="67">
        <v>5.2410361098796108E-3</v>
      </c>
      <c r="W454" s="68">
        <v>1.7450090806204205E-4</v>
      </c>
    </row>
    <row r="455" spans="1:23" x14ac:dyDescent="0.3">
      <c r="A455" s="44" t="s">
        <v>528</v>
      </c>
      <c r="B455" t="s">
        <v>506</v>
      </c>
      <c r="C455" s="45">
        <v>2012</v>
      </c>
      <c r="D455" s="91">
        <v>37285733</v>
      </c>
      <c r="E455" s="2">
        <v>18539359</v>
      </c>
      <c r="F455" s="5">
        <v>0.49722393817495825</v>
      </c>
      <c r="G455" s="2">
        <v>18746376</v>
      </c>
      <c r="H455" s="78">
        <v>0.50277611546486156</v>
      </c>
      <c r="I455" s="52">
        <v>613671</v>
      </c>
      <c r="J455" s="82">
        <v>1.6458600934571944E-2</v>
      </c>
      <c r="K455" s="59">
        <v>2938</v>
      </c>
      <c r="L455" s="60">
        <v>6117</v>
      </c>
      <c r="M455" s="66">
        <v>4.729142314867872E-5</v>
      </c>
      <c r="N455" s="67">
        <v>1.1812260654068497E-5</v>
      </c>
      <c r="O455" s="67">
        <v>1.0740684783099031E-5</v>
      </c>
      <c r="P455" s="67">
        <v>1.1243522325700106E-5</v>
      </c>
      <c r="Q455" s="67">
        <v>1.1551065528039634E-5</v>
      </c>
      <c r="R455" s="67">
        <v>3.1836756455909256E-5</v>
      </c>
      <c r="S455" s="67">
        <v>1.0191057594316754E-4</v>
      </c>
      <c r="T455" s="67">
        <v>3.2055959802347643E-4</v>
      </c>
      <c r="U455" s="67">
        <v>1.0375487676681685E-3</v>
      </c>
      <c r="V455" s="67">
        <v>4.7875816194671086E-3</v>
      </c>
      <c r="W455" s="68">
        <v>1.6405738892138718E-4</v>
      </c>
    </row>
    <row r="456" spans="1:23" x14ac:dyDescent="0.3">
      <c r="A456" s="44" t="s">
        <v>508</v>
      </c>
      <c r="B456" t="s">
        <v>506</v>
      </c>
      <c r="C456" s="45">
        <v>2013</v>
      </c>
      <c r="D456" s="91">
        <v>37571998</v>
      </c>
      <c r="E456" s="2">
        <v>18682616</v>
      </c>
      <c r="F456" s="78">
        <v>0.49724840291964245</v>
      </c>
      <c r="G456" s="2">
        <v>18889383</v>
      </c>
      <c r="H456" s="78">
        <v>0.50275162369592374</v>
      </c>
      <c r="I456" s="52">
        <v>626696</v>
      </c>
      <c r="J456" s="82">
        <v>1.6679868874686941E-2</v>
      </c>
      <c r="K456" s="59">
        <v>3264</v>
      </c>
      <c r="L456" s="60">
        <v>6812</v>
      </c>
      <c r="M456" s="66">
        <v>4.7613813878395112E-5</v>
      </c>
      <c r="N456" s="67">
        <v>1.1824624267636969E-5</v>
      </c>
      <c r="O456" s="67">
        <v>1.0726026882998711E-5</v>
      </c>
      <c r="P456" s="67">
        <v>1.2190594402300697E-5</v>
      </c>
      <c r="Q456" s="67">
        <v>1.3942345303869543E-5</v>
      </c>
      <c r="R456" s="67">
        <v>3.4250218703910497E-5</v>
      </c>
      <c r="S456" s="67">
        <v>1.2010943623843138E-4</v>
      </c>
      <c r="T456" s="67">
        <v>3.4235360662082106E-4</v>
      </c>
      <c r="U456" s="67">
        <v>1.1517896236840157E-3</v>
      </c>
      <c r="V456" s="67">
        <v>5.2082668470837534E-3</v>
      </c>
      <c r="W456" s="68">
        <v>1.813052369480058E-4</v>
      </c>
    </row>
    <row r="457" spans="1:23" x14ac:dyDescent="0.3">
      <c r="A457" s="44" t="s">
        <v>527</v>
      </c>
      <c r="B457" t="s">
        <v>506</v>
      </c>
      <c r="C457" s="45">
        <v>2014</v>
      </c>
      <c r="D457" s="91">
        <v>38025622</v>
      </c>
      <c r="E457" s="2">
        <v>18889198</v>
      </c>
      <c r="F457" s="5">
        <v>0.49674921819819279</v>
      </c>
      <c r="G457" s="2">
        <v>19136425</v>
      </c>
      <c r="H457" s="78">
        <v>0.50325080809986489</v>
      </c>
      <c r="I457" s="52">
        <v>650707</v>
      </c>
      <c r="J457" s="82">
        <v>1.7112330207248155E-2</v>
      </c>
      <c r="K457" s="59">
        <v>2638</v>
      </c>
      <c r="L457" s="60">
        <v>6251</v>
      </c>
      <c r="M457" s="66">
        <v>4.750571256193557E-5</v>
      </c>
      <c r="N457" s="67">
        <v>1.182633966311883E-5</v>
      </c>
      <c r="O457" s="67">
        <v>1.0724399205750995E-5</v>
      </c>
      <c r="P457" s="67">
        <v>1.4876303536097351E-5</v>
      </c>
      <c r="Q457" s="67">
        <v>2.5934081757386278E-5</v>
      </c>
      <c r="R457" s="67">
        <v>4.9261742147239146E-5</v>
      </c>
      <c r="S457" s="67">
        <v>1.3689088494960253E-4</v>
      </c>
      <c r="T457" s="67">
        <v>3.1449977631203412E-4</v>
      </c>
      <c r="U457" s="67">
        <v>1.0264033411198415E-3</v>
      </c>
      <c r="V457" s="67">
        <v>4.0540519773108324E-3</v>
      </c>
      <c r="W457" s="68">
        <v>1.6438915844690192E-4</v>
      </c>
    </row>
    <row r="458" spans="1:23" x14ac:dyDescent="0.3">
      <c r="A458" s="44" t="s">
        <v>522</v>
      </c>
      <c r="B458" t="s">
        <v>506</v>
      </c>
      <c r="C458" s="45">
        <v>2015</v>
      </c>
      <c r="D458" s="91">
        <v>38395332</v>
      </c>
      <c r="E458" s="2">
        <v>19072017</v>
      </c>
      <c r="F458" s="5">
        <v>0.49672749281084483</v>
      </c>
      <c r="G458" s="2">
        <v>19323318</v>
      </c>
      <c r="H458" s="78">
        <v>0.50327258532365338</v>
      </c>
      <c r="I458" s="52">
        <v>659321</v>
      </c>
      <c r="J458" s="82">
        <v>1.7171905168055324E-2</v>
      </c>
      <c r="K458" s="59">
        <v>3017</v>
      </c>
      <c r="L458" s="60">
        <v>6463</v>
      </c>
      <c r="M458" s="66">
        <v>4.7766156006653826E-5</v>
      </c>
      <c r="N458" s="67">
        <v>1.184010412976912E-5</v>
      </c>
      <c r="O458" s="67">
        <v>1.0768056774938281E-5</v>
      </c>
      <c r="P458" s="67">
        <v>1.06876467547495E-5</v>
      </c>
      <c r="Q458" s="67">
        <v>1.3333732701172693E-5</v>
      </c>
      <c r="R458" s="67">
        <v>3.2432844932844933E-5</v>
      </c>
      <c r="S458" s="67">
        <v>9.9964887616571871E-5</v>
      </c>
      <c r="T458" s="67">
        <v>3.2472700884199134E-4</v>
      </c>
      <c r="U458" s="67">
        <v>1.0672877350793243E-3</v>
      </c>
      <c r="V458" s="67">
        <v>4.5759197720078686E-3</v>
      </c>
      <c r="W458" s="68">
        <v>1.6832775400926341E-4</v>
      </c>
    </row>
    <row r="459" spans="1:23" x14ac:dyDescent="0.3">
      <c r="A459" s="44" t="s">
        <v>520</v>
      </c>
      <c r="B459" t="s">
        <v>506</v>
      </c>
      <c r="C459" s="45">
        <v>2017</v>
      </c>
      <c r="D459" s="91">
        <v>38522413</v>
      </c>
      <c r="E459" s="2">
        <v>19133362</v>
      </c>
      <c r="F459" s="78">
        <v>0.49668129563950214</v>
      </c>
      <c r="G459" s="2">
        <v>19389051</v>
      </c>
      <c r="H459" s="78">
        <v>0.50331870436049786</v>
      </c>
      <c r="I459" s="52">
        <v>680993</v>
      </c>
      <c r="J459" s="82">
        <v>1.7677838613069229E-2</v>
      </c>
      <c r="K459" s="59">
        <v>2985</v>
      </c>
      <c r="L459" s="60">
        <v>6617</v>
      </c>
      <c r="M459" s="66">
        <v>4.8669023869722758E-5</v>
      </c>
      <c r="N459" s="67">
        <v>1.1960797290799675E-5</v>
      </c>
      <c r="O459" s="67">
        <v>1.1150878447619306E-5</v>
      </c>
      <c r="P459" s="67">
        <v>1.0412557683400283E-5</v>
      </c>
      <c r="Q459" s="67">
        <v>1.481713992156664E-5</v>
      </c>
      <c r="R459" s="67">
        <v>3.2627618657715305E-5</v>
      </c>
      <c r="S459" s="67">
        <v>1.1072956252576995E-4</v>
      </c>
      <c r="T459" s="67">
        <v>3.1977982643176261E-4</v>
      </c>
      <c r="U459" s="67">
        <v>1.0723820934377612E-3</v>
      </c>
      <c r="V459" s="67">
        <v>4.3833049678924747E-3</v>
      </c>
      <c r="W459" s="68">
        <v>1.7177013288342035E-4</v>
      </c>
    </row>
    <row r="460" spans="1:23" ht="15" thickBot="1" x14ac:dyDescent="0.35">
      <c r="A460" s="46" t="s">
        <v>529</v>
      </c>
      <c r="B460" s="47" t="s">
        <v>506</v>
      </c>
      <c r="C460" s="48">
        <v>2016</v>
      </c>
      <c r="D460" s="92">
        <v>38563005</v>
      </c>
      <c r="E460" s="54">
        <v>19149385</v>
      </c>
      <c r="F460" s="79">
        <v>0.49657398327749613</v>
      </c>
      <c r="G460" s="54">
        <v>19413621</v>
      </c>
      <c r="H460" s="79">
        <v>0.50342604265409296</v>
      </c>
      <c r="I460" s="55">
        <v>673571</v>
      </c>
      <c r="J460" s="83">
        <v>1.7466766399558332E-2</v>
      </c>
      <c r="K460" s="62">
        <v>2725</v>
      </c>
      <c r="L460" s="63">
        <v>6233</v>
      </c>
      <c r="M460" s="69">
        <v>4.8124990224611362E-5</v>
      </c>
      <c r="N460" s="70">
        <v>1.1843532720522631E-5</v>
      </c>
      <c r="O460" s="70">
        <v>1.0901572788075423E-5</v>
      </c>
      <c r="P460" s="70">
        <v>1.0534316325504054E-5</v>
      </c>
      <c r="Q460" s="70">
        <v>1.7279194704101557E-5</v>
      </c>
      <c r="R460" s="70">
        <v>3.6165217332757514E-5</v>
      </c>
      <c r="S460" s="70">
        <v>1.1364151905130014E-4</v>
      </c>
      <c r="T460" s="70">
        <v>3.2735283517411546E-4</v>
      </c>
      <c r="U460" s="70">
        <v>9.7507163964496275E-4</v>
      </c>
      <c r="V460" s="70">
        <v>4.0456017257275035E-3</v>
      </c>
      <c r="W460" s="71">
        <v>1.616315948407029E-4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E507C-AD85-4483-B276-B9680A7EC739}">
  <sheetPr>
    <tabColor theme="8" tint="0.59999389629810485"/>
  </sheetPr>
  <dimension ref="A1:N26"/>
  <sheetViews>
    <sheetView topLeftCell="A2" zoomScale="98" workbookViewId="0">
      <selection activeCell="H21" sqref="H21"/>
    </sheetView>
  </sheetViews>
  <sheetFormatPr defaultRowHeight="14.4" x14ac:dyDescent="0.3"/>
  <cols>
    <col min="1" max="1" width="26.109375" style="9" customWidth="1"/>
    <col min="2" max="2" width="17.44140625" style="9" bestFit="1" customWidth="1"/>
    <col min="3" max="3" width="8.88671875" style="9"/>
    <col min="4" max="4" width="30.77734375" style="10" bestFit="1" customWidth="1"/>
    <col min="5" max="5" width="16.5546875" style="11" bestFit="1" customWidth="1"/>
    <col min="6" max="6" width="24" style="8" bestFit="1" customWidth="1"/>
    <col min="7" max="7" width="13.109375" style="9" customWidth="1"/>
    <col min="8" max="8" width="11.33203125" style="9" bestFit="1" customWidth="1"/>
    <col min="9" max="9" width="8.88671875" style="10"/>
    <col min="10" max="10" width="8.88671875" style="9"/>
    <col min="11" max="11" width="17.6640625" style="9" bestFit="1" customWidth="1"/>
    <col min="12" max="12" width="11.77734375" style="9" bestFit="1" customWidth="1"/>
    <col min="13" max="16384" width="8.88671875" style="9"/>
  </cols>
  <sheetData>
    <row r="1" spans="1:14" x14ac:dyDescent="0.3">
      <c r="A1" s="8" t="s">
        <v>550</v>
      </c>
      <c r="D1" s="25" t="s">
        <v>558</v>
      </c>
    </row>
    <row r="2" spans="1:14" ht="28.2" customHeight="1" x14ac:dyDescent="0.3">
      <c r="A2" s="143" t="s">
        <v>553</v>
      </c>
      <c r="B2" s="143"/>
      <c r="D2" s="34" t="s">
        <v>577</v>
      </c>
    </row>
    <row r="3" spans="1:14" x14ac:dyDescent="0.3">
      <c r="D3" s="25" t="s">
        <v>642</v>
      </c>
    </row>
    <row r="4" spans="1:14" x14ac:dyDescent="0.3">
      <c r="A4" s="12"/>
      <c r="B4" s="12" t="s">
        <v>552</v>
      </c>
      <c r="D4" s="13" t="s">
        <v>25</v>
      </c>
      <c r="E4" s="14" t="s">
        <v>554</v>
      </c>
      <c r="F4" s="14" t="s">
        <v>555</v>
      </c>
      <c r="H4" s="141" t="s">
        <v>580</v>
      </c>
      <c r="I4" s="141"/>
    </row>
    <row r="5" spans="1:14" x14ac:dyDescent="0.3">
      <c r="A5" s="15" t="s">
        <v>26</v>
      </c>
      <c r="B5" s="16">
        <f>AVERAGE(Integrated[Flu Deaths Not Stated])</f>
        <v>60</v>
      </c>
      <c r="D5" s="17">
        <f>AVERAGE(Integrated[Flu Deaths 85+ years])</f>
        <v>476.54466230936816</v>
      </c>
      <c r="E5" s="18" t="s">
        <v>556</v>
      </c>
      <c r="F5" s="12" t="s">
        <v>560</v>
      </c>
      <c r="H5" s="89" t="s">
        <v>551</v>
      </c>
      <c r="I5" s="17">
        <f>D5</f>
        <v>476.54466230936816</v>
      </c>
      <c r="J5" s="167">
        <f>I5-I6</f>
        <v>156.54466230936816</v>
      </c>
      <c r="K5" s="168" t="s">
        <v>634</v>
      </c>
      <c r="N5" s="10"/>
    </row>
    <row r="6" spans="1:14" ht="16.2" x14ac:dyDescent="0.3">
      <c r="A6" s="15" t="s">
        <v>21</v>
      </c>
      <c r="B6" s="16">
        <f>AVERAGE(Integrated[Flu Deaths 5 to 14 years])</f>
        <v>60.010893246187365</v>
      </c>
      <c r="D6" s="17">
        <f>_xlfn.VAR.S(Integrated[Flu Deaths 85+ years])</f>
        <v>293325.70269524597</v>
      </c>
      <c r="E6" s="21" t="s">
        <v>561</v>
      </c>
      <c r="F6" s="22" t="s">
        <v>557</v>
      </c>
      <c r="H6" s="89" t="s">
        <v>614</v>
      </c>
      <c r="I6" s="17">
        <f>MEDIAN(Integrated[Flu Deaths 85+ years])</f>
        <v>320</v>
      </c>
      <c r="K6" s="9" t="s">
        <v>636</v>
      </c>
    </row>
    <row r="7" spans="1:14" x14ac:dyDescent="0.3">
      <c r="A7" s="15" t="s">
        <v>17</v>
      </c>
      <c r="B7" s="16">
        <f>AVERAGE(Integrated[Flu Deaths 15 to 24 years])</f>
        <v>60.013071895424837</v>
      </c>
      <c r="D7" s="17">
        <f>_xlfn.STDEV.S(Integrated[Flu Deaths 85+ years])</f>
        <v>541.59551576360559</v>
      </c>
      <c r="E7" s="23" t="s">
        <v>559</v>
      </c>
      <c r="F7" s="24" t="s">
        <v>558</v>
      </c>
      <c r="H7" s="89" t="s">
        <v>615</v>
      </c>
      <c r="I7" s="12">
        <f>MODE(Integrated[Flu Deaths 85+ years])</f>
        <v>60</v>
      </c>
    </row>
    <row r="8" spans="1:14" x14ac:dyDescent="0.3">
      <c r="A8" s="15" t="s">
        <v>18</v>
      </c>
      <c r="B8" s="16">
        <f>AVERAGE(Integrated[Flu Deaths 25 to 34 years])</f>
        <v>60.433551198257078</v>
      </c>
      <c r="D8" s="17">
        <f>SQRT(D6)</f>
        <v>541.59551576360559</v>
      </c>
      <c r="E8" s="14" t="s">
        <v>562</v>
      </c>
      <c r="F8" s="12" t="s">
        <v>563</v>
      </c>
      <c r="H8" s="89" t="s">
        <v>578</v>
      </c>
      <c r="I8" s="17">
        <f>MIN(Integrated[Flu Deaths 85+ years])</f>
        <v>60</v>
      </c>
    </row>
    <row r="9" spans="1:14" ht="15" thickBot="1" x14ac:dyDescent="0.35">
      <c r="A9" s="15" t="s">
        <v>19</v>
      </c>
      <c r="B9" s="16">
        <f>AVERAGE(Integrated[Flu Deaths 35 to 44 years])</f>
        <v>61.714596949891067</v>
      </c>
      <c r="D9" s="30" t="s">
        <v>569</v>
      </c>
      <c r="H9" s="89" t="s">
        <v>579</v>
      </c>
      <c r="I9" s="17">
        <f>MAX(Integrated[Flu Deaths 85+ years])</f>
        <v>3264</v>
      </c>
    </row>
    <row r="10" spans="1:14" x14ac:dyDescent="0.3">
      <c r="A10" s="15" t="s">
        <v>20</v>
      </c>
      <c r="B10" s="16">
        <f>AVERAGE(Integrated[Flu Deaths 45 to 54 years])</f>
        <v>71.392156862745097</v>
      </c>
      <c r="D10" s="27">
        <f>D5-D7</f>
        <v>-65.050853454237426</v>
      </c>
      <c r="E10" s="144" t="s">
        <v>564</v>
      </c>
      <c r="F10" s="31" t="s">
        <v>565</v>
      </c>
      <c r="H10" s="106" t="s">
        <v>626</v>
      </c>
      <c r="I10" s="107">
        <f>I9-I8</f>
        <v>3204</v>
      </c>
    </row>
    <row r="11" spans="1:14" x14ac:dyDescent="0.3">
      <c r="A11" s="15" t="s">
        <v>22</v>
      </c>
      <c r="B11" s="16">
        <f>AVERAGE(Integrated[Flu Deaths 55 to 64 years])</f>
        <v>103.06535947712419</v>
      </c>
      <c r="D11" s="28">
        <f>D5+D7</f>
        <v>1018.1401780729738</v>
      </c>
      <c r="E11" s="145"/>
      <c r="F11" s="32" t="s">
        <v>566</v>
      </c>
    </row>
    <row r="12" spans="1:14" ht="15" thickBot="1" x14ac:dyDescent="0.35">
      <c r="A12" s="15" t="s">
        <v>16</v>
      </c>
      <c r="B12" s="16">
        <f>AVERAGE(Integrated[Flu Deaths &lt;5 years old])</f>
        <v>120</v>
      </c>
      <c r="D12" s="152" t="s">
        <v>567</v>
      </c>
      <c r="E12" s="153"/>
      <c r="F12" s="154"/>
    </row>
    <row r="13" spans="1:14" ht="15" thickBot="1" x14ac:dyDescent="0.35">
      <c r="A13" s="15" t="s">
        <v>23</v>
      </c>
      <c r="B13" s="16">
        <f>AVERAGE(Integrated[Flu Deaths 65 to 74 years])</f>
        <v>151.30936819172112</v>
      </c>
      <c r="D13" s="29">
        <f>D10-D7</f>
        <v>-606.64636921784302</v>
      </c>
      <c r="E13" s="175" t="s">
        <v>570</v>
      </c>
      <c r="F13" s="33" t="s">
        <v>571</v>
      </c>
      <c r="H13" s="149" t="s">
        <v>625</v>
      </c>
      <c r="I13" s="149"/>
    </row>
    <row r="14" spans="1:14" ht="14.4" customHeight="1" x14ac:dyDescent="0.3">
      <c r="A14" s="15" t="s">
        <v>24</v>
      </c>
      <c r="B14" s="16">
        <f>AVERAGE(Integrated[Flu Deaths 75 to 84 years])</f>
        <v>268.94553376906316</v>
      </c>
      <c r="D14" s="28">
        <f>D11+D7</f>
        <v>1559.7356938365792</v>
      </c>
      <c r="E14" s="176"/>
      <c r="F14" s="32" t="s">
        <v>572</v>
      </c>
      <c r="G14" s="26"/>
      <c r="H14" s="109" t="s">
        <v>620</v>
      </c>
      <c r="I14" s="110">
        <f>_xlfn.QUARTILE.EXC(StudyDataS[Flu Deaths 85+ years],1)</f>
        <v>126</v>
      </c>
    </row>
    <row r="15" spans="1:14" ht="15" thickBot="1" x14ac:dyDescent="0.35">
      <c r="A15" s="15" t="s">
        <v>25</v>
      </c>
      <c r="B15" s="19">
        <f>AVERAGE(Integrated[Flu Deaths 85+ years])</f>
        <v>476.54466230936816</v>
      </c>
      <c r="D15" s="155" t="s">
        <v>568</v>
      </c>
      <c r="E15" s="156"/>
      <c r="F15" s="157"/>
      <c r="H15" s="111" t="s">
        <v>621</v>
      </c>
      <c r="I15" s="112">
        <f>_xlfn.QUARTILE.EXC(StudyDataS[Flu Deaths 85+ years],3)</f>
        <v>571</v>
      </c>
    </row>
    <row r="16" spans="1:14" x14ac:dyDescent="0.3">
      <c r="A16" s="20" t="s">
        <v>27</v>
      </c>
      <c r="B16" s="16">
        <f>AVERAGE(Integrated[Total Flu Deaths])</f>
        <v>1493.4291938997821</v>
      </c>
      <c r="D16" s="27">
        <f>D13-D7</f>
        <v>-1148.2418849814485</v>
      </c>
      <c r="E16" s="151" t="s">
        <v>573</v>
      </c>
      <c r="F16" s="31" t="s">
        <v>574</v>
      </c>
      <c r="H16" s="113" t="s">
        <v>622</v>
      </c>
      <c r="I16" s="114">
        <f>I15-I14</f>
        <v>445</v>
      </c>
    </row>
    <row r="17" spans="4:9" ht="15" customHeight="1" x14ac:dyDescent="0.3">
      <c r="D17" s="28">
        <f>D14+D7</f>
        <v>2101.3312096001846</v>
      </c>
      <c r="E17" s="142"/>
      <c r="F17" s="32" t="s">
        <v>575</v>
      </c>
      <c r="H17" s="111" t="s">
        <v>623</v>
      </c>
      <c r="I17" s="112">
        <f>I15+(1.5*I16)</f>
        <v>1238.5</v>
      </c>
    </row>
    <row r="18" spans="4:9" ht="15" thickBot="1" x14ac:dyDescent="0.35">
      <c r="D18" s="146" t="s">
        <v>576</v>
      </c>
      <c r="E18" s="147"/>
      <c r="F18" s="148"/>
      <c r="H18" s="115" t="s">
        <v>624</v>
      </c>
      <c r="I18" s="116">
        <f>I14-(1.5*I16)</f>
        <v>-541.5</v>
      </c>
    </row>
    <row r="19" spans="4:9" x14ac:dyDescent="0.3">
      <c r="D19" s="28">
        <f>D16-D7</f>
        <v>-1689.8374007450541</v>
      </c>
      <c r="E19" s="142" t="s">
        <v>581</v>
      </c>
      <c r="F19" s="33" t="s">
        <v>584</v>
      </c>
    </row>
    <row r="20" spans="4:9" x14ac:dyDescent="0.3">
      <c r="D20" s="28">
        <f>D17+D7</f>
        <v>2642.92672536379</v>
      </c>
      <c r="E20" s="142"/>
      <c r="F20" s="32" t="s">
        <v>585</v>
      </c>
    </row>
    <row r="21" spans="4:9" x14ac:dyDescent="0.3">
      <c r="D21" s="28"/>
      <c r="E21" s="14"/>
      <c r="F21" s="102"/>
      <c r="H21" s="125"/>
    </row>
    <row r="22" spans="4:9" x14ac:dyDescent="0.3">
      <c r="D22" s="28">
        <f>D19-D7</f>
        <v>-2231.4329165086597</v>
      </c>
      <c r="E22" s="142" t="s">
        <v>582</v>
      </c>
      <c r="F22" s="33" t="s">
        <v>586</v>
      </c>
    </row>
    <row r="23" spans="4:9" x14ac:dyDescent="0.3">
      <c r="D23" s="28">
        <f>D20+D7</f>
        <v>3184.5222411273953</v>
      </c>
      <c r="E23" s="142"/>
      <c r="F23" s="32" t="s">
        <v>587</v>
      </c>
    </row>
    <row r="24" spans="4:9" x14ac:dyDescent="0.3">
      <c r="D24" s="28"/>
      <c r="E24" s="14"/>
      <c r="F24" s="102"/>
    </row>
    <row r="25" spans="4:9" x14ac:dyDescent="0.3">
      <c r="D25" s="28">
        <f>D22-D7</f>
        <v>-2773.0284322722655</v>
      </c>
      <c r="E25" s="142" t="s">
        <v>583</v>
      </c>
      <c r="F25" s="33" t="s">
        <v>588</v>
      </c>
    </row>
    <row r="26" spans="4:9" ht="15" thickBot="1" x14ac:dyDescent="0.35">
      <c r="D26" s="103">
        <f>D23+D7</f>
        <v>3726.1177568910007</v>
      </c>
      <c r="E26" s="150"/>
      <c r="F26" s="104" t="s">
        <v>589</v>
      </c>
    </row>
  </sheetData>
  <sortState xmlns:xlrd2="http://schemas.microsoft.com/office/spreadsheetml/2017/richdata2" ref="A5:C16">
    <sortCondition ref="B4:B16"/>
  </sortState>
  <mergeCells count="12">
    <mergeCell ref="E25:E26"/>
    <mergeCell ref="E16:E17"/>
    <mergeCell ref="D12:F12"/>
    <mergeCell ref="D15:F15"/>
    <mergeCell ref="H4:I4"/>
    <mergeCell ref="E19:E20"/>
    <mergeCell ref="E22:E23"/>
    <mergeCell ref="A2:B2"/>
    <mergeCell ref="E10:E11"/>
    <mergeCell ref="E13:E14"/>
    <mergeCell ref="D18:F18"/>
    <mergeCell ref="H13:I13"/>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FD50F-503E-43DB-8DCE-00019BA106E0}">
  <sheetPr>
    <tabColor theme="3" tint="0.249977111117893"/>
  </sheetPr>
  <dimension ref="A1:J23"/>
  <sheetViews>
    <sheetView zoomScale="104" workbookViewId="0">
      <selection activeCell="E19" sqref="E19"/>
    </sheetView>
  </sheetViews>
  <sheetFormatPr defaultRowHeight="14.4" x14ac:dyDescent="0.3"/>
  <cols>
    <col min="1" max="1" width="19.88671875" bestFit="1" customWidth="1"/>
    <col min="2" max="2" width="43.44140625" bestFit="1" customWidth="1"/>
    <col min="3" max="3" width="24" bestFit="1" customWidth="1"/>
    <col min="8" max="8" width="18" bestFit="1" customWidth="1"/>
    <col min="10" max="10" width="11.5546875" bestFit="1" customWidth="1"/>
  </cols>
  <sheetData>
    <row r="1" spans="1:10" x14ac:dyDescent="0.3">
      <c r="B1" s="25" t="s">
        <v>642</v>
      </c>
    </row>
    <row r="2" spans="1:10" x14ac:dyDescent="0.3">
      <c r="A2" s="3" t="s">
        <v>15</v>
      </c>
      <c r="B2" s="14" t="s">
        <v>554</v>
      </c>
      <c r="C2" s="14" t="s">
        <v>555</v>
      </c>
      <c r="D2" s="9"/>
      <c r="E2" s="141" t="s">
        <v>580</v>
      </c>
      <c r="F2" s="141"/>
      <c r="G2" s="9"/>
      <c r="I2" s="9"/>
      <c r="J2" s="9"/>
    </row>
    <row r="3" spans="1:10" x14ac:dyDescent="0.3">
      <c r="A3" s="17">
        <f>AVERAGE(Integrated[Population 85+ years])</f>
        <v>107962.0871459695</v>
      </c>
      <c r="B3" s="18" t="s">
        <v>556</v>
      </c>
      <c r="C3" s="12" t="s">
        <v>560</v>
      </c>
      <c r="D3" s="9"/>
      <c r="E3" s="90" t="s">
        <v>551</v>
      </c>
      <c r="F3" s="17">
        <f>A3</f>
        <v>107962.0871459695</v>
      </c>
      <c r="G3" s="169">
        <f>F3-F4</f>
        <v>37529.087145969504</v>
      </c>
      <c r="H3" s="170" t="s">
        <v>634</v>
      </c>
      <c r="I3" s="9"/>
      <c r="J3" s="10"/>
    </row>
    <row r="4" spans="1:10" ht="16.2" x14ac:dyDescent="0.3">
      <c r="A4" s="17">
        <f>_xlfn.VAR.S(Integrated[Population 85+ years])</f>
        <v>14972925984.367935</v>
      </c>
      <c r="B4" s="37" t="s">
        <v>561</v>
      </c>
      <c r="C4" s="38" t="s">
        <v>557</v>
      </c>
      <c r="D4" s="9"/>
      <c r="E4" s="90" t="s">
        <v>614</v>
      </c>
      <c r="F4" s="17">
        <f>MEDIAN(Integrated[Population 85+ years])</f>
        <v>70433</v>
      </c>
      <c r="G4" s="9"/>
      <c r="H4" t="s">
        <v>637</v>
      </c>
      <c r="I4" s="9"/>
      <c r="J4" s="9"/>
    </row>
    <row r="5" spans="1:10" x14ac:dyDescent="0.3">
      <c r="A5" s="17">
        <f>_xlfn.STDEV.S(Integrated[Population 85+ years])</f>
        <v>122363.90801362931</v>
      </c>
      <c r="B5" s="39" t="s">
        <v>559</v>
      </c>
      <c r="C5" s="40" t="s">
        <v>558</v>
      </c>
      <c r="D5" s="9"/>
      <c r="E5" s="90" t="s">
        <v>615</v>
      </c>
      <c r="F5" s="17">
        <f>MODE(Integrated[Population 85+ years])</f>
        <v>28283</v>
      </c>
      <c r="G5" s="9"/>
      <c r="H5" s="9"/>
      <c r="I5" s="9"/>
      <c r="J5" s="9"/>
    </row>
    <row r="6" spans="1:10" x14ac:dyDescent="0.3">
      <c r="A6" s="17">
        <f>SQRT(A4)</f>
        <v>122363.90801362931</v>
      </c>
      <c r="B6" s="14" t="s">
        <v>562</v>
      </c>
      <c r="C6" s="12" t="s">
        <v>563</v>
      </c>
      <c r="D6" s="9"/>
      <c r="E6" s="90" t="s">
        <v>578</v>
      </c>
      <c r="F6" s="17">
        <f>MIN(Integrated[Population 85+ years])</f>
        <v>4236</v>
      </c>
      <c r="G6" s="9"/>
      <c r="H6" s="9"/>
      <c r="I6" s="9"/>
      <c r="J6" s="9"/>
    </row>
    <row r="7" spans="1:10" ht="15" thickBot="1" x14ac:dyDescent="0.35">
      <c r="A7" s="30" t="s">
        <v>569</v>
      </c>
      <c r="B7" s="11"/>
      <c r="C7" s="8"/>
      <c r="D7" s="9"/>
      <c r="E7" s="90" t="s">
        <v>579</v>
      </c>
      <c r="F7" s="17">
        <f>MAX(Integrated[Population 85+ years])</f>
        <v>680993</v>
      </c>
      <c r="H7" s="9"/>
      <c r="I7" s="9"/>
      <c r="J7" s="9"/>
    </row>
    <row r="8" spans="1:10" ht="14.4" customHeight="1" x14ac:dyDescent="0.3">
      <c r="A8" s="27">
        <f>A3-A5</f>
        <v>-14401.820867659801</v>
      </c>
      <c r="B8" s="144" t="s">
        <v>564</v>
      </c>
      <c r="C8" s="31" t="s">
        <v>565</v>
      </c>
      <c r="D8" s="9"/>
      <c r="E8" s="121" t="s">
        <v>626</v>
      </c>
      <c r="F8" s="122">
        <f>F7-F6</f>
        <v>676757</v>
      </c>
      <c r="H8" s="9"/>
      <c r="I8" s="9"/>
      <c r="J8" s="9"/>
    </row>
    <row r="9" spans="1:10" x14ac:dyDescent="0.3">
      <c r="A9" s="28">
        <f>A3+A5</f>
        <v>230325.99515959882</v>
      </c>
      <c r="B9" s="145"/>
      <c r="C9" s="32" t="s">
        <v>566</v>
      </c>
      <c r="D9" s="9"/>
      <c r="H9" s="9"/>
      <c r="I9" s="9"/>
      <c r="J9" s="9"/>
    </row>
    <row r="10" spans="1:10" ht="15" thickBot="1" x14ac:dyDescent="0.35">
      <c r="A10" s="152" t="s">
        <v>567</v>
      </c>
      <c r="B10" s="153"/>
      <c r="C10" s="154"/>
      <c r="D10" s="26"/>
      <c r="E10" s="149" t="s">
        <v>625</v>
      </c>
      <c r="F10" s="149"/>
      <c r="H10" s="9"/>
      <c r="I10" s="9"/>
      <c r="J10" s="9"/>
    </row>
    <row r="11" spans="1:10" x14ac:dyDescent="0.3">
      <c r="A11" s="29">
        <f>A8-A5</f>
        <v>-136765.72888128911</v>
      </c>
      <c r="B11" s="175" t="s">
        <v>570</v>
      </c>
      <c r="C11" s="33" t="s">
        <v>571</v>
      </c>
      <c r="D11" s="9"/>
      <c r="E11" s="109" t="s">
        <v>620</v>
      </c>
      <c r="F11" s="110">
        <f>_xlfn.QUARTILE.EXC(StudyDataS[Population 85+ years],1)</f>
        <v>29633</v>
      </c>
      <c r="H11" s="9"/>
      <c r="I11" s="9"/>
      <c r="J11" s="9"/>
    </row>
    <row r="12" spans="1:10" x14ac:dyDescent="0.3">
      <c r="A12" s="28">
        <f>A9+A5</f>
        <v>352689.90317322814</v>
      </c>
      <c r="B12" s="176"/>
      <c r="C12" s="32" t="s">
        <v>572</v>
      </c>
      <c r="D12" s="9"/>
      <c r="E12" s="111" t="s">
        <v>621</v>
      </c>
      <c r="F12" s="112">
        <f>_xlfn.QUARTILE.EXC(StudyDataS[Population 85+ years],3)</f>
        <v>117526</v>
      </c>
      <c r="H12" s="9"/>
      <c r="I12" s="9"/>
      <c r="J12" s="9"/>
    </row>
    <row r="13" spans="1:10" ht="15" thickBot="1" x14ac:dyDescent="0.35">
      <c r="A13" s="155" t="s">
        <v>568</v>
      </c>
      <c r="B13" s="156"/>
      <c r="C13" s="157"/>
      <c r="D13" s="9"/>
      <c r="E13" s="117" t="s">
        <v>622</v>
      </c>
      <c r="F13" s="118">
        <f>F12-F11</f>
        <v>87893</v>
      </c>
      <c r="G13" s="9"/>
      <c r="H13" s="9"/>
      <c r="I13" s="9"/>
      <c r="J13" s="9"/>
    </row>
    <row r="14" spans="1:10" x14ac:dyDescent="0.3">
      <c r="A14" s="27">
        <f>A11-A5</f>
        <v>-259129.6368949184</v>
      </c>
      <c r="B14" s="158" t="s">
        <v>573</v>
      </c>
      <c r="C14" s="31" t="s">
        <v>574</v>
      </c>
      <c r="D14" s="9"/>
      <c r="E14" s="111" t="s">
        <v>623</v>
      </c>
      <c r="F14" s="112">
        <f>F12+(1.5*F13)</f>
        <v>249365.5</v>
      </c>
      <c r="H14" s="9"/>
      <c r="I14" s="9"/>
      <c r="J14" s="9"/>
    </row>
    <row r="15" spans="1:10" ht="15" thickBot="1" x14ac:dyDescent="0.35">
      <c r="A15" s="28">
        <f>A12+A5</f>
        <v>475053.81118685746</v>
      </c>
      <c r="B15" s="159"/>
      <c r="C15" s="32" t="s">
        <v>575</v>
      </c>
      <c r="D15" s="9"/>
      <c r="E15" s="115" t="s">
        <v>624</v>
      </c>
      <c r="F15" s="116">
        <f>F11-(1.5*F13)</f>
        <v>-102206.5</v>
      </c>
      <c r="H15" s="9"/>
      <c r="I15" s="9"/>
      <c r="J15" s="9"/>
    </row>
    <row r="16" spans="1:10" x14ac:dyDescent="0.3">
      <c r="A16" s="35"/>
      <c r="B16" s="105" t="s">
        <v>576</v>
      </c>
      <c r="C16" s="36"/>
      <c r="D16" s="9"/>
      <c r="E16" s="9"/>
      <c r="F16" s="10"/>
      <c r="G16" s="9"/>
      <c r="H16" s="9"/>
      <c r="I16" s="9"/>
      <c r="J16" s="9"/>
    </row>
    <row r="17" spans="1:10" x14ac:dyDescent="0.3">
      <c r="A17" s="28">
        <f>A14-A5</f>
        <v>-381493.54490854772</v>
      </c>
      <c r="B17" s="159" t="s">
        <v>581</v>
      </c>
      <c r="C17" s="33" t="s">
        <v>584</v>
      </c>
      <c r="D17" s="9"/>
      <c r="E17" s="9"/>
      <c r="F17" s="8"/>
      <c r="G17" s="9"/>
      <c r="H17" s="9"/>
      <c r="I17" s="9"/>
      <c r="J17" s="9"/>
    </row>
    <row r="18" spans="1:10" x14ac:dyDescent="0.3">
      <c r="A18" s="28">
        <f>A15+A5</f>
        <v>597417.71920048678</v>
      </c>
      <c r="B18" s="159"/>
      <c r="C18" s="32" t="s">
        <v>585</v>
      </c>
      <c r="D18" s="9"/>
      <c r="E18" s="108"/>
      <c r="F18" s="10"/>
      <c r="G18" s="9"/>
      <c r="H18" s="9"/>
      <c r="I18" s="9"/>
      <c r="J18" s="9"/>
    </row>
    <row r="19" spans="1:10" x14ac:dyDescent="0.3">
      <c r="A19" s="28"/>
      <c r="B19" s="14"/>
      <c r="C19" s="102"/>
      <c r="D19" s="9"/>
      <c r="E19" s="9"/>
      <c r="F19" s="10"/>
      <c r="G19" s="9"/>
      <c r="H19" s="9"/>
      <c r="I19" s="9"/>
      <c r="J19" s="9"/>
    </row>
    <row r="20" spans="1:10" x14ac:dyDescent="0.3">
      <c r="A20" s="28">
        <f>A17-A5</f>
        <v>-503857.45292217704</v>
      </c>
      <c r="B20" s="159" t="s">
        <v>582</v>
      </c>
      <c r="C20" s="33" t="s">
        <v>586</v>
      </c>
      <c r="D20" s="9"/>
      <c r="E20" s="9"/>
      <c r="F20" s="10"/>
      <c r="G20" s="9"/>
    </row>
    <row r="21" spans="1:10" ht="15" thickBot="1" x14ac:dyDescent="0.35">
      <c r="A21" s="103">
        <f>A18+A5</f>
        <v>719781.62721411604</v>
      </c>
      <c r="B21" s="160"/>
      <c r="C21" s="104" t="s">
        <v>587</v>
      </c>
      <c r="D21" s="9"/>
      <c r="E21" s="9"/>
      <c r="F21" s="10"/>
      <c r="G21" s="9"/>
    </row>
    <row r="22" spans="1:10" x14ac:dyDescent="0.3">
      <c r="A22" s="10"/>
      <c r="B22" s="11"/>
      <c r="C22" s="8"/>
      <c r="D22" s="9"/>
      <c r="E22" s="9"/>
      <c r="F22" s="10"/>
      <c r="G22" s="9"/>
    </row>
    <row r="23" spans="1:10" x14ac:dyDescent="0.3">
      <c r="A23" s="10"/>
      <c r="B23" s="11"/>
      <c r="C23" s="8"/>
      <c r="D23" s="9"/>
      <c r="E23" s="9"/>
      <c r="F23" s="10"/>
      <c r="G23" s="9"/>
    </row>
  </sheetData>
  <mergeCells count="9">
    <mergeCell ref="A13:C13"/>
    <mergeCell ref="B14:B15"/>
    <mergeCell ref="B17:B18"/>
    <mergeCell ref="B20:B21"/>
    <mergeCell ref="E10:F10"/>
    <mergeCell ref="E2:F2"/>
    <mergeCell ref="B8:B9"/>
    <mergeCell ref="A10:C10"/>
    <mergeCell ref="B11:B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0FB5E-6102-4545-9859-F204EAAA7773}">
  <sheetPr>
    <tabColor theme="0" tint="-0.249977111117893"/>
  </sheetPr>
  <dimension ref="A1:J26"/>
  <sheetViews>
    <sheetView zoomScale="98" workbookViewId="0">
      <selection activeCell="E18" sqref="E18"/>
    </sheetView>
  </sheetViews>
  <sheetFormatPr defaultRowHeight="14.4" x14ac:dyDescent="0.3"/>
  <cols>
    <col min="1" max="1" width="30.77734375" style="10" bestFit="1" customWidth="1"/>
    <col min="2" max="2" width="16.5546875" style="11" bestFit="1" customWidth="1"/>
    <col min="3" max="3" width="24" style="8" bestFit="1" customWidth="1"/>
    <col min="4" max="4" width="13.109375" style="9" customWidth="1"/>
    <col min="5" max="5" width="11.33203125" style="9" bestFit="1" customWidth="1"/>
    <col min="6" max="6" width="10.21875" style="10" customWidth="1"/>
    <col min="7" max="7" width="8.88671875" style="9"/>
    <col min="8" max="8" width="19.6640625" style="9" bestFit="1" customWidth="1"/>
    <col min="9" max="9" width="8.88671875" style="9"/>
    <col min="10" max="10" width="10.44140625" style="9" bestFit="1" customWidth="1"/>
    <col min="11" max="16384" width="8.88671875" style="9"/>
  </cols>
  <sheetData>
    <row r="1" spans="1:10" x14ac:dyDescent="0.3">
      <c r="A1" s="25" t="s">
        <v>558</v>
      </c>
    </row>
    <row r="2" spans="1:10" ht="43.2" customHeight="1" x14ac:dyDescent="0.3">
      <c r="A2" s="34" t="s">
        <v>577</v>
      </c>
    </row>
    <row r="3" spans="1:10" x14ac:dyDescent="0.3">
      <c r="A3" s="25" t="s">
        <v>642</v>
      </c>
    </row>
    <row r="4" spans="1:10" x14ac:dyDescent="0.3">
      <c r="A4" s="95" t="s">
        <v>3</v>
      </c>
      <c r="B4" s="14" t="s">
        <v>554</v>
      </c>
      <c r="C4" s="14" t="s">
        <v>555</v>
      </c>
      <c r="E4" s="141" t="s">
        <v>580</v>
      </c>
      <c r="F4" s="141"/>
    </row>
    <row r="5" spans="1:10" x14ac:dyDescent="0.3">
      <c r="A5" s="17">
        <f>AVERAGE(StudyDataS[Total population])</f>
        <v>5973990.8213507626</v>
      </c>
      <c r="B5" s="18" t="s">
        <v>556</v>
      </c>
      <c r="C5" s="12" t="s">
        <v>560</v>
      </c>
      <c r="E5" s="100" t="s">
        <v>551</v>
      </c>
      <c r="F5" s="17">
        <v>5973990.8213507626</v>
      </c>
      <c r="G5" s="124">
        <f>F5-F6</f>
        <v>1894515.8213507626</v>
      </c>
      <c r="H5" s="123" t="s">
        <v>639</v>
      </c>
    </row>
    <row r="6" spans="1:10" ht="16.2" x14ac:dyDescent="0.3">
      <c r="A6" s="17">
        <f>_xlfn.VAR.P(StudyDataS[Total population])</f>
        <v>46231613588616.039</v>
      </c>
      <c r="B6" s="96" t="s">
        <v>561</v>
      </c>
      <c r="C6" s="98" t="s">
        <v>557</v>
      </c>
      <c r="E6" s="100" t="s">
        <v>614</v>
      </c>
      <c r="F6" s="17">
        <v>4079475</v>
      </c>
      <c r="H6" s="9" t="s">
        <v>638</v>
      </c>
    </row>
    <row r="7" spans="1:10" x14ac:dyDescent="0.3">
      <c r="A7" s="17">
        <f>_xlfn.STDEV.P(StudyDataS[Total population])</f>
        <v>6799383.3241416859</v>
      </c>
      <c r="B7" s="97" t="s">
        <v>559</v>
      </c>
      <c r="C7" s="99" t="s">
        <v>558</v>
      </c>
      <c r="E7" s="100" t="s">
        <v>615</v>
      </c>
      <c r="F7" s="12" t="e">
        <f>MODE(StudyDataS[Total population])</f>
        <v>#N/A</v>
      </c>
      <c r="J7" s="10"/>
    </row>
    <row r="8" spans="1:10" x14ac:dyDescent="0.3">
      <c r="A8" s="17">
        <f>SQRT(A6)</f>
        <v>6799383.3241416859</v>
      </c>
      <c r="B8" s="14" t="s">
        <v>562</v>
      </c>
      <c r="C8" s="12" t="s">
        <v>563</v>
      </c>
      <c r="E8" s="100" t="s">
        <v>578</v>
      </c>
      <c r="F8" s="17">
        <f>MIN(StudyDataS[Total population])</f>
        <v>490521</v>
      </c>
    </row>
    <row r="9" spans="1:10" ht="15" thickBot="1" x14ac:dyDescent="0.35">
      <c r="A9" s="30" t="s">
        <v>569</v>
      </c>
      <c r="E9" s="100" t="s">
        <v>579</v>
      </c>
      <c r="F9" s="17">
        <f>MAX(StudyDataS[Total population])</f>
        <v>38563005</v>
      </c>
    </row>
    <row r="10" spans="1:10" x14ac:dyDescent="0.3">
      <c r="A10" s="27">
        <f>A5-A7</f>
        <v>-825392.50279092323</v>
      </c>
      <c r="B10" s="144" t="s">
        <v>564</v>
      </c>
      <c r="C10" s="31" t="s">
        <v>565</v>
      </c>
      <c r="E10" s="123" t="s">
        <v>626</v>
      </c>
      <c r="F10" s="124">
        <f>F9-F8</f>
        <v>38072484</v>
      </c>
    </row>
    <row r="11" spans="1:10" ht="15" thickBot="1" x14ac:dyDescent="0.35">
      <c r="A11" s="28">
        <f>A5+A7</f>
        <v>12773374.145492449</v>
      </c>
      <c r="B11" s="145"/>
      <c r="C11" s="32" t="s">
        <v>566</v>
      </c>
      <c r="E11" s="149" t="s">
        <v>625</v>
      </c>
      <c r="F11" s="149"/>
    </row>
    <row r="12" spans="1:10" ht="15" thickBot="1" x14ac:dyDescent="0.35">
      <c r="A12" s="152" t="s">
        <v>567</v>
      </c>
      <c r="B12" s="153"/>
      <c r="C12" s="154"/>
      <c r="E12" s="109" t="s">
        <v>620</v>
      </c>
      <c r="F12" s="110">
        <f>_xlfn.QUARTILE.EXC(StudyDataS[Total population],1)</f>
        <v>1528820</v>
      </c>
    </row>
    <row r="13" spans="1:10" x14ac:dyDescent="0.3">
      <c r="A13" s="29">
        <f>A10-A7</f>
        <v>-7624775.8269326091</v>
      </c>
      <c r="B13" s="175" t="s">
        <v>570</v>
      </c>
      <c r="C13" s="33" t="s">
        <v>571</v>
      </c>
      <c r="E13" s="111" t="s">
        <v>621</v>
      </c>
      <c r="F13" s="112">
        <f>_xlfn.QUARTILE.EXC(StudyDataS[Total population],3)</f>
        <v>6741921</v>
      </c>
    </row>
    <row r="14" spans="1:10" ht="14.4" customHeight="1" x14ac:dyDescent="0.3">
      <c r="A14" s="28">
        <f>A11+A7</f>
        <v>19572757.469634134</v>
      </c>
      <c r="B14" s="176"/>
      <c r="C14" s="32" t="s">
        <v>572</v>
      </c>
      <c r="D14" s="26"/>
      <c r="E14" s="119" t="s">
        <v>622</v>
      </c>
      <c r="F14" s="120">
        <f>F13-F12</f>
        <v>5213101</v>
      </c>
    </row>
    <row r="15" spans="1:10" ht="15" thickBot="1" x14ac:dyDescent="0.35">
      <c r="A15" s="155" t="s">
        <v>568</v>
      </c>
      <c r="B15" s="156"/>
      <c r="C15" s="157"/>
      <c r="E15" s="111" t="s">
        <v>623</v>
      </c>
      <c r="F15" s="112">
        <f>F13+(1.5*F14)</f>
        <v>14561572.5</v>
      </c>
    </row>
    <row r="16" spans="1:10" ht="15" thickBot="1" x14ac:dyDescent="0.35">
      <c r="A16" s="27">
        <f>A13-A7</f>
        <v>-14424159.151074294</v>
      </c>
      <c r="B16" s="161" t="s">
        <v>573</v>
      </c>
      <c r="C16" s="31" t="s">
        <v>574</v>
      </c>
      <c r="E16" s="115" t="s">
        <v>624</v>
      </c>
      <c r="F16" s="116">
        <f>F12-(1.5*F14)</f>
        <v>-6290831.5</v>
      </c>
    </row>
    <row r="17" spans="1:5" ht="15" customHeight="1" x14ac:dyDescent="0.3">
      <c r="A17" s="28">
        <f>A14+A7</f>
        <v>26372140.793775819</v>
      </c>
      <c r="B17" s="162"/>
      <c r="C17" s="32" t="s">
        <v>575</v>
      </c>
    </row>
    <row r="18" spans="1:5" x14ac:dyDescent="0.3">
      <c r="A18" s="164" t="s">
        <v>576</v>
      </c>
      <c r="B18" s="165"/>
      <c r="C18" s="166"/>
    </row>
    <row r="19" spans="1:5" x14ac:dyDescent="0.3">
      <c r="A19" s="28">
        <f>A16-A7</f>
        <v>-21223542.475215979</v>
      </c>
      <c r="B19" s="162" t="s">
        <v>581</v>
      </c>
      <c r="C19" s="33" t="s">
        <v>584</v>
      </c>
      <c r="E19" s="126"/>
    </row>
    <row r="20" spans="1:5" x14ac:dyDescent="0.3">
      <c r="A20" s="28">
        <f>A17+A7</f>
        <v>33171524.117917504</v>
      </c>
      <c r="B20" s="162"/>
      <c r="C20" s="32" t="s">
        <v>585</v>
      </c>
    </row>
    <row r="21" spans="1:5" x14ac:dyDescent="0.3">
      <c r="A21" s="28"/>
      <c r="B21" s="14"/>
      <c r="C21" s="102"/>
    </row>
    <row r="22" spans="1:5" x14ac:dyDescent="0.3">
      <c r="A22" s="28">
        <f>A19-A7</f>
        <v>-28022925.799357664</v>
      </c>
      <c r="B22" s="162" t="s">
        <v>582</v>
      </c>
      <c r="C22" s="33" t="s">
        <v>586</v>
      </c>
    </row>
    <row r="23" spans="1:5" x14ac:dyDescent="0.3">
      <c r="A23" s="28">
        <f>A20+A7</f>
        <v>39970907.442059189</v>
      </c>
      <c r="B23" s="162"/>
      <c r="C23" s="32" t="s">
        <v>587</v>
      </c>
    </row>
    <row r="24" spans="1:5" x14ac:dyDescent="0.3">
      <c r="A24" s="28"/>
      <c r="B24" s="14"/>
      <c r="C24" s="102"/>
    </row>
    <row r="25" spans="1:5" x14ac:dyDescent="0.3">
      <c r="A25" s="28">
        <f>A22-A7</f>
        <v>-34822309.123499349</v>
      </c>
      <c r="B25" s="162" t="s">
        <v>583</v>
      </c>
      <c r="C25" s="33" t="s">
        <v>588</v>
      </c>
    </row>
    <row r="26" spans="1:5" ht="15" thickBot="1" x14ac:dyDescent="0.35">
      <c r="A26" s="103">
        <f>A23+A7</f>
        <v>46770290.766200878</v>
      </c>
      <c r="B26" s="163"/>
      <c r="C26" s="104" t="s">
        <v>589</v>
      </c>
    </row>
  </sheetData>
  <mergeCells count="11">
    <mergeCell ref="E4:F4"/>
    <mergeCell ref="B10:B11"/>
    <mergeCell ref="A12:C12"/>
    <mergeCell ref="B13:B14"/>
    <mergeCell ref="E11:F11"/>
    <mergeCell ref="A15:C15"/>
    <mergeCell ref="B16:B17"/>
    <mergeCell ref="B19:B20"/>
    <mergeCell ref="B22:B23"/>
    <mergeCell ref="B25:B26"/>
    <mergeCell ref="A18:C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1EF43-E54C-48E1-934B-F5732C8560E7}">
  <dimension ref="B3:C343"/>
  <sheetViews>
    <sheetView workbookViewId="0">
      <selection activeCell="R9" sqref="R9"/>
    </sheetView>
  </sheetViews>
  <sheetFormatPr defaultRowHeight="14.4" x14ac:dyDescent="0.3"/>
  <cols>
    <col min="2" max="2" width="12.44140625" bestFit="1" customWidth="1"/>
    <col min="3" max="3" width="27.33203125" bestFit="1" customWidth="1"/>
  </cols>
  <sheetData>
    <row r="3" spans="2:3" x14ac:dyDescent="0.3">
      <c r="B3" s="87" t="s">
        <v>611</v>
      </c>
      <c r="C3" t="s">
        <v>644</v>
      </c>
    </row>
    <row r="4" spans="2:3" x14ac:dyDescent="0.3">
      <c r="B4" s="88">
        <v>60</v>
      </c>
      <c r="C4" s="2">
        <v>10132.108108108108</v>
      </c>
    </row>
    <row r="5" spans="2:3" x14ac:dyDescent="0.3">
      <c r="B5" s="88">
        <v>65</v>
      </c>
      <c r="C5" s="2">
        <v>14312.333333333334</v>
      </c>
    </row>
    <row r="6" spans="2:3" x14ac:dyDescent="0.3">
      <c r="B6" s="88">
        <v>66</v>
      </c>
      <c r="C6" s="2">
        <v>19330</v>
      </c>
    </row>
    <row r="7" spans="2:3" x14ac:dyDescent="0.3">
      <c r="B7" s="88">
        <v>67</v>
      </c>
      <c r="C7" s="2">
        <v>7753</v>
      </c>
    </row>
    <row r="8" spans="2:3" x14ac:dyDescent="0.3">
      <c r="B8" s="88">
        <v>70</v>
      </c>
      <c r="C8" s="2">
        <v>17600</v>
      </c>
    </row>
    <row r="9" spans="2:3" x14ac:dyDescent="0.3">
      <c r="B9" s="88">
        <v>71</v>
      </c>
      <c r="C9" s="2">
        <v>18863.25</v>
      </c>
    </row>
    <row r="10" spans="2:3" x14ac:dyDescent="0.3">
      <c r="B10" s="88">
        <v>72</v>
      </c>
      <c r="C10" s="2">
        <v>8474.5</v>
      </c>
    </row>
    <row r="11" spans="2:3" x14ac:dyDescent="0.3">
      <c r="B11" s="88">
        <v>75</v>
      </c>
      <c r="C11" s="2">
        <v>15361.666666666666</v>
      </c>
    </row>
    <row r="12" spans="2:3" x14ac:dyDescent="0.3">
      <c r="B12" s="88">
        <v>76</v>
      </c>
      <c r="C12" s="2">
        <v>26119</v>
      </c>
    </row>
    <row r="13" spans="2:3" x14ac:dyDescent="0.3">
      <c r="B13" s="88">
        <v>77</v>
      </c>
      <c r="C13" s="2">
        <v>17825.5</v>
      </c>
    </row>
    <row r="14" spans="2:3" x14ac:dyDescent="0.3">
      <c r="B14" s="88">
        <v>83</v>
      </c>
      <c r="C14" s="2">
        <v>28283</v>
      </c>
    </row>
    <row r="15" spans="2:3" x14ac:dyDescent="0.3">
      <c r="B15" s="88">
        <v>84</v>
      </c>
      <c r="C15" s="2">
        <v>18412</v>
      </c>
    </row>
    <row r="16" spans="2:3" x14ac:dyDescent="0.3">
      <c r="B16" s="88">
        <v>85</v>
      </c>
      <c r="C16" s="2">
        <v>22047.5</v>
      </c>
    </row>
    <row r="17" spans="2:3" x14ac:dyDescent="0.3">
      <c r="B17" s="88">
        <v>86</v>
      </c>
      <c r="C17" s="2">
        <v>17744</v>
      </c>
    </row>
    <row r="18" spans="2:3" x14ac:dyDescent="0.3">
      <c r="B18" s="88">
        <v>87</v>
      </c>
      <c r="C18" s="2">
        <v>19209.333333333332</v>
      </c>
    </row>
    <row r="19" spans="2:3" x14ac:dyDescent="0.3">
      <c r="B19" s="88">
        <v>88</v>
      </c>
      <c r="C19" s="2">
        <v>15868.5</v>
      </c>
    </row>
    <row r="20" spans="2:3" x14ac:dyDescent="0.3">
      <c r="B20" s="88">
        <v>89</v>
      </c>
      <c r="C20" s="2">
        <v>23772</v>
      </c>
    </row>
    <row r="21" spans="2:3" x14ac:dyDescent="0.3">
      <c r="B21" s="88">
        <v>91</v>
      </c>
      <c r="C21" s="2">
        <v>23481</v>
      </c>
    </row>
    <row r="22" spans="2:3" x14ac:dyDescent="0.3">
      <c r="B22" s="88">
        <v>93</v>
      </c>
      <c r="C22" s="2">
        <v>13683</v>
      </c>
    </row>
    <row r="23" spans="2:3" x14ac:dyDescent="0.3">
      <c r="B23" s="88">
        <v>94</v>
      </c>
      <c r="C23" s="2">
        <v>18933</v>
      </c>
    </row>
    <row r="24" spans="2:3" x14ac:dyDescent="0.3">
      <c r="B24" s="88">
        <v>96</v>
      </c>
      <c r="C24" s="2">
        <v>28841.5</v>
      </c>
    </row>
    <row r="25" spans="2:3" x14ac:dyDescent="0.3">
      <c r="B25" s="88">
        <v>98</v>
      </c>
      <c r="C25" s="2">
        <v>22149.666666666668</v>
      </c>
    </row>
    <row r="26" spans="2:3" x14ac:dyDescent="0.3">
      <c r="B26" s="88">
        <v>99</v>
      </c>
      <c r="C26" s="2">
        <v>24526.5</v>
      </c>
    </row>
    <row r="27" spans="2:3" x14ac:dyDescent="0.3">
      <c r="B27" s="88">
        <v>100</v>
      </c>
      <c r="C27" s="2">
        <v>15198</v>
      </c>
    </row>
    <row r="28" spans="2:3" x14ac:dyDescent="0.3">
      <c r="B28" s="88">
        <v>101</v>
      </c>
      <c r="C28" s="2">
        <v>25682</v>
      </c>
    </row>
    <row r="29" spans="2:3" x14ac:dyDescent="0.3">
      <c r="B29" s="88">
        <v>102</v>
      </c>
      <c r="C29" s="2">
        <v>17962</v>
      </c>
    </row>
    <row r="30" spans="2:3" x14ac:dyDescent="0.3">
      <c r="B30" s="88">
        <v>103</v>
      </c>
      <c r="C30" s="2">
        <v>23351</v>
      </c>
    </row>
    <row r="31" spans="2:3" x14ac:dyDescent="0.3">
      <c r="B31" s="88">
        <v>104</v>
      </c>
      <c r="C31" s="2">
        <v>23227</v>
      </c>
    </row>
    <row r="32" spans="2:3" x14ac:dyDescent="0.3">
      <c r="B32" s="88">
        <v>105</v>
      </c>
      <c r="C32" s="2">
        <v>24417.666666666668</v>
      </c>
    </row>
    <row r="33" spans="2:3" x14ac:dyDescent="0.3">
      <c r="B33" s="88">
        <v>107</v>
      </c>
      <c r="C33" s="2">
        <v>26321.333333333332</v>
      </c>
    </row>
    <row r="34" spans="2:3" x14ac:dyDescent="0.3">
      <c r="B34" s="88">
        <v>109</v>
      </c>
      <c r="C34" s="2">
        <v>29798</v>
      </c>
    </row>
    <row r="35" spans="2:3" x14ac:dyDescent="0.3">
      <c r="B35" s="88">
        <v>110</v>
      </c>
      <c r="C35" s="2">
        <v>24563</v>
      </c>
    </row>
    <row r="36" spans="2:3" x14ac:dyDescent="0.3">
      <c r="B36" s="88">
        <v>111</v>
      </c>
      <c r="C36" s="2">
        <v>33634</v>
      </c>
    </row>
    <row r="37" spans="2:3" x14ac:dyDescent="0.3">
      <c r="B37" s="88">
        <v>114</v>
      </c>
      <c r="C37" s="2">
        <v>25862.333333333332</v>
      </c>
    </row>
    <row r="38" spans="2:3" x14ac:dyDescent="0.3">
      <c r="B38" s="88">
        <v>116</v>
      </c>
      <c r="C38" s="2">
        <v>28675</v>
      </c>
    </row>
    <row r="39" spans="2:3" x14ac:dyDescent="0.3">
      <c r="B39" s="88">
        <v>117</v>
      </c>
      <c r="C39" s="2">
        <v>13115</v>
      </c>
    </row>
    <row r="40" spans="2:3" x14ac:dyDescent="0.3">
      <c r="B40" s="88">
        <v>118</v>
      </c>
      <c r="C40" s="2">
        <v>30445</v>
      </c>
    </row>
    <row r="41" spans="2:3" x14ac:dyDescent="0.3">
      <c r="B41" s="88">
        <v>119</v>
      </c>
      <c r="C41" s="2">
        <v>24574</v>
      </c>
    </row>
    <row r="42" spans="2:3" x14ac:dyDescent="0.3">
      <c r="B42" s="88">
        <v>121</v>
      </c>
      <c r="C42" s="2">
        <v>37282</v>
      </c>
    </row>
    <row r="43" spans="2:3" x14ac:dyDescent="0.3">
      <c r="B43" s="88">
        <v>122</v>
      </c>
      <c r="C43" s="2">
        <v>31638.666666666668</v>
      </c>
    </row>
    <row r="44" spans="2:3" x14ac:dyDescent="0.3">
      <c r="B44" s="88">
        <v>123</v>
      </c>
      <c r="C44" s="2">
        <v>23156.5</v>
      </c>
    </row>
    <row r="45" spans="2:3" x14ac:dyDescent="0.3">
      <c r="B45" s="88">
        <v>125</v>
      </c>
      <c r="C45" s="2">
        <v>26612.5</v>
      </c>
    </row>
    <row r="46" spans="2:3" x14ac:dyDescent="0.3">
      <c r="B46" s="88">
        <v>126</v>
      </c>
      <c r="C46" s="2">
        <v>25089</v>
      </c>
    </row>
    <row r="47" spans="2:3" x14ac:dyDescent="0.3">
      <c r="B47" s="88">
        <v>129</v>
      </c>
      <c r="C47" s="2">
        <v>29702</v>
      </c>
    </row>
    <row r="48" spans="2:3" x14ac:dyDescent="0.3">
      <c r="B48" s="88">
        <v>132</v>
      </c>
      <c r="C48" s="2">
        <v>31093</v>
      </c>
    </row>
    <row r="49" spans="2:3" x14ac:dyDescent="0.3">
      <c r="B49" s="88">
        <v>135</v>
      </c>
      <c r="C49" s="2">
        <v>36167</v>
      </c>
    </row>
    <row r="50" spans="2:3" x14ac:dyDescent="0.3">
      <c r="B50" s="88">
        <v>137</v>
      </c>
      <c r="C50" s="2">
        <v>32369</v>
      </c>
    </row>
    <row r="51" spans="2:3" x14ac:dyDescent="0.3">
      <c r="B51" s="88">
        <v>139</v>
      </c>
      <c r="C51" s="2">
        <v>27042</v>
      </c>
    </row>
    <row r="52" spans="2:3" x14ac:dyDescent="0.3">
      <c r="B52" s="88">
        <v>141</v>
      </c>
      <c r="C52" s="2">
        <v>32267</v>
      </c>
    </row>
    <row r="53" spans="2:3" x14ac:dyDescent="0.3">
      <c r="B53" s="88">
        <v>142</v>
      </c>
      <c r="C53" s="2">
        <v>27237</v>
      </c>
    </row>
    <row r="54" spans="2:3" x14ac:dyDescent="0.3">
      <c r="B54" s="88">
        <v>143</v>
      </c>
      <c r="C54" s="2">
        <v>29682.5</v>
      </c>
    </row>
    <row r="55" spans="2:3" x14ac:dyDescent="0.3">
      <c r="B55" s="88">
        <v>147</v>
      </c>
      <c r="C55" s="2">
        <v>31744</v>
      </c>
    </row>
    <row r="56" spans="2:3" x14ac:dyDescent="0.3">
      <c r="B56" s="88">
        <v>149</v>
      </c>
      <c r="C56" s="2">
        <v>35813</v>
      </c>
    </row>
    <row r="57" spans="2:3" x14ac:dyDescent="0.3">
      <c r="B57" s="88">
        <v>150</v>
      </c>
      <c r="C57" s="2">
        <v>28301.5</v>
      </c>
    </row>
    <row r="58" spans="2:3" x14ac:dyDescent="0.3">
      <c r="B58" s="88">
        <v>152</v>
      </c>
      <c r="C58" s="2">
        <v>28550</v>
      </c>
    </row>
    <row r="59" spans="2:3" x14ac:dyDescent="0.3">
      <c r="B59" s="88">
        <v>153</v>
      </c>
      <c r="C59" s="2">
        <v>30638</v>
      </c>
    </row>
    <row r="60" spans="2:3" x14ac:dyDescent="0.3">
      <c r="B60" s="88">
        <v>154</v>
      </c>
      <c r="C60" s="2">
        <v>38309</v>
      </c>
    </row>
    <row r="61" spans="2:3" x14ac:dyDescent="0.3">
      <c r="B61" s="88">
        <v>155</v>
      </c>
      <c r="C61" s="2">
        <v>26664</v>
      </c>
    </row>
    <row r="62" spans="2:3" x14ac:dyDescent="0.3">
      <c r="B62" s="88">
        <v>157</v>
      </c>
      <c r="C62" s="2">
        <v>34215</v>
      </c>
    </row>
    <row r="63" spans="2:3" x14ac:dyDescent="0.3">
      <c r="B63" s="88">
        <v>158</v>
      </c>
      <c r="C63" s="2">
        <v>34620</v>
      </c>
    </row>
    <row r="64" spans="2:3" x14ac:dyDescent="0.3">
      <c r="B64" s="88">
        <v>160</v>
      </c>
      <c r="C64" s="2">
        <v>33117</v>
      </c>
    </row>
    <row r="65" spans="2:3" x14ac:dyDescent="0.3">
      <c r="B65" s="88">
        <v>161</v>
      </c>
      <c r="C65" s="2">
        <v>32751</v>
      </c>
    </row>
    <row r="66" spans="2:3" x14ac:dyDescent="0.3">
      <c r="B66" s="88">
        <v>163</v>
      </c>
      <c r="C66" s="2">
        <v>29529</v>
      </c>
    </row>
    <row r="67" spans="2:3" x14ac:dyDescent="0.3">
      <c r="B67" s="88">
        <v>164</v>
      </c>
      <c r="C67" s="2">
        <v>34062</v>
      </c>
    </row>
    <row r="68" spans="2:3" x14ac:dyDescent="0.3">
      <c r="B68" s="88">
        <v>166</v>
      </c>
      <c r="C68" s="2">
        <v>34293</v>
      </c>
    </row>
    <row r="69" spans="2:3" x14ac:dyDescent="0.3">
      <c r="B69" s="88">
        <v>170</v>
      </c>
      <c r="C69" s="2">
        <v>32887</v>
      </c>
    </row>
    <row r="70" spans="2:3" x14ac:dyDescent="0.3">
      <c r="B70" s="88">
        <v>171</v>
      </c>
      <c r="C70" s="2">
        <v>35471</v>
      </c>
    </row>
    <row r="71" spans="2:3" x14ac:dyDescent="0.3">
      <c r="B71" s="88">
        <v>174</v>
      </c>
      <c r="C71" s="2">
        <v>35082</v>
      </c>
    </row>
    <row r="72" spans="2:3" x14ac:dyDescent="0.3">
      <c r="B72" s="88">
        <v>175</v>
      </c>
      <c r="C72" s="2">
        <v>51120</v>
      </c>
    </row>
    <row r="73" spans="2:3" x14ac:dyDescent="0.3">
      <c r="B73" s="88">
        <v>177</v>
      </c>
      <c r="C73" s="2">
        <v>32037</v>
      </c>
    </row>
    <row r="74" spans="2:3" x14ac:dyDescent="0.3">
      <c r="B74" s="88">
        <v>178</v>
      </c>
      <c r="C74" s="2">
        <v>37024</v>
      </c>
    </row>
    <row r="75" spans="2:3" x14ac:dyDescent="0.3">
      <c r="B75" s="88">
        <v>184</v>
      </c>
      <c r="C75" s="2">
        <v>33856</v>
      </c>
    </row>
    <row r="76" spans="2:3" x14ac:dyDescent="0.3">
      <c r="B76" s="88">
        <v>186</v>
      </c>
      <c r="C76" s="2">
        <v>55468</v>
      </c>
    </row>
    <row r="77" spans="2:3" x14ac:dyDescent="0.3">
      <c r="B77" s="88">
        <v>187</v>
      </c>
      <c r="C77" s="2">
        <v>28780</v>
      </c>
    </row>
    <row r="78" spans="2:3" x14ac:dyDescent="0.3">
      <c r="B78" s="88">
        <v>193</v>
      </c>
      <c r="C78" s="2">
        <v>71959</v>
      </c>
    </row>
    <row r="79" spans="2:3" x14ac:dyDescent="0.3">
      <c r="B79" s="88">
        <v>194</v>
      </c>
      <c r="C79" s="2">
        <v>35785</v>
      </c>
    </row>
    <row r="80" spans="2:3" x14ac:dyDescent="0.3">
      <c r="B80" s="88">
        <v>196</v>
      </c>
      <c r="C80" s="2">
        <v>60381</v>
      </c>
    </row>
    <row r="81" spans="2:3" x14ac:dyDescent="0.3">
      <c r="B81" s="88">
        <v>198</v>
      </c>
      <c r="C81" s="2">
        <v>32711</v>
      </c>
    </row>
    <row r="82" spans="2:3" x14ac:dyDescent="0.3">
      <c r="B82" s="88">
        <v>199</v>
      </c>
      <c r="C82" s="2">
        <v>33599</v>
      </c>
    </row>
    <row r="83" spans="2:3" x14ac:dyDescent="0.3">
      <c r="B83" s="88">
        <v>206</v>
      </c>
      <c r="C83" s="2">
        <v>60181</v>
      </c>
    </row>
    <row r="84" spans="2:3" x14ac:dyDescent="0.3">
      <c r="B84" s="88">
        <v>207</v>
      </c>
      <c r="C84" s="2">
        <v>35186</v>
      </c>
    </row>
    <row r="85" spans="2:3" x14ac:dyDescent="0.3">
      <c r="B85" s="88">
        <v>208</v>
      </c>
      <c r="C85" s="2">
        <v>72594</v>
      </c>
    </row>
    <row r="86" spans="2:3" x14ac:dyDescent="0.3">
      <c r="B86" s="88">
        <v>211</v>
      </c>
      <c r="C86" s="2">
        <v>73084</v>
      </c>
    </row>
    <row r="87" spans="2:3" x14ac:dyDescent="0.3">
      <c r="B87" s="88">
        <v>212</v>
      </c>
      <c r="C87" s="2">
        <v>32746</v>
      </c>
    </row>
    <row r="88" spans="2:3" x14ac:dyDescent="0.3">
      <c r="B88" s="88">
        <v>215</v>
      </c>
      <c r="C88" s="2">
        <v>34111</v>
      </c>
    </row>
    <row r="89" spans="2:3" x14ac:dyDescent="0.3">
      <c r="B89" s="88">
        <v>217</v>
      </c>
      <c r="C89" s="2">
        <v>40469</v>
      </c>
    </row>
    <row r="90" spans="2:3" x14ac:dyDescent="0.3">
      <c r="B90" s="88">
        <v>219</v>
      </c>
      <c r="C90" s="2">
        <v>42801.5</v>
      </c>
    </row>
    <row r="91" spans="2:3" x14ac:dyDescent="0.3">
      <c r="B91" s="88">
        <v>222</v>
      </c>
      <c r="C91" s="2">
        <v>41357</v>
      </c>
    </row>
    <row r="92" spans="2:3" x14ac:dyDescent="0.3">
      <c r="B92" s="88">
        <v>224</v>
      </c>
      <c r="C92" s="2">
        <v>35491</v>
      </c>
    </row>
    <row r="93" spans="2:3" x14ac:dyDescent="0.3">
      <c r="B93" s="88">
        <v>225</v>
      </c>
      <c r="C93" s="2">
        <v>78428</v>
      </c>
    </row>
    <row r="94" spans="2:3" x14ac:dyDescent="0.3">
      <c r="B94" s="88">
        <v>227</v>
      </c>
      <c r="C94" s="2">
        <v>74219</v>
      </c>
    </row>
    <row r="95" spans="2:3" x14ac:dyDescent="0.3">
      <c r="B95" s="88">
        <v>229</v>
      </c>
      <c r="C95" s="2">
        <v>61568</v>
      </c>
    </row>
    <row r="96" spans="2:3" x14ac:dyDescent="0.3">
      <c r="B96" s="88">
        <v>230</v>
      </c>
      <c r="C96" s="2">
        <v>75966</v>
      </c>
    </row>
    <row r="97" spans="2:3" x14ac:dyDescent="0.3">
      <c r="B97" s="88">
        <v>236</v>
      </c>
      <c r="C97" s="2">
        <v>76092</v>
      </c>
    </row>
    <row r="98" spans="2:3" x14ac:dyDescent="0.3">
      <c r="B98" s="88">
        <v>237</v>
      </c>
      <c r="C98" s="2">
        <v>41661</v>
      </c>
    </row>
    <row r="99" spans="2:3" x14ac:dyDescent="0.3">
      <c r="B99" s="88">
        <v>239</v>
      </c>
      <c r="C99" s="2">
        <v>39626</v>
      </c>
    </row>
    <row r="100" spans="2:3" x14ac:dyDescent="0.3">
      <c r="B100" s="88">
        <v>240</v>
      </c>
      <c r="C100" s="2">
        <v>51022</v>
      </c>
    </row>
    <row r="101" spans="2:3" x14ac:dyDescent="0.3">
      <c r="B101" s="88">
        <v>241</v>
      </c>
      <c r="C101" s="2">
        <v>42920</v>
      </c>
    </row>
    <row r="102" spans="2:3" x14ac:dyDescent="0.3">
      <c r="B102" s="88">
        <v>244</v>
      </c>
      <c r="C102" s="2">
        <v>79076</v>
      </c>
    </row>
    <row r="103" spans="2:3" x14ac:dyDescent="0.3">
      <c r="B103" s="88">
        <v>246</v>
      </c>
      <c r="C103" s="2">
        <v>82959</v>
      </c>
    </row>
    <row r="104" spans="2:3" x14ac:dyDescent="0.3">
      <c r="B104" s="88">
        <v>251</v>
      </c>
      <c r="C104" s="2">
        <v>80894</v>
      </c>
    </row>
    <row r="105" spans="2:3" x14ac:dyDescent="0.3">
      <c r="B105" s="88">
        <v>252</v>
      </c>
      <c r="C105" s="2">
        <v>32581</v>
      </c>
    </row>
    <row r="106" spans="2:3" x14ac:dyDescent="0.3">
      <c r="B106" s="88">
        <v>253</v>
      </c>
      <c r="C106" s="2">
        <v>73678</v>
      </c>
    </row>
    <row r="107" spans="2:3" x14ac:dyDescent="0.3">
      <c r="B107" s="88">
        <v>254</v>
      </c>
      <c r="C107" s="2">
        <v>70433</v>
      </c>
    </row>
    <row r="108" spans="2:3" x14ac:dyDescent="0.3">
      <c r="B108" s="88">
        <v>256</v>
      </c>
      <c r="C108" s="2">
        <v>68395</v>
      </c>
    </row>
    <row r="109" spans="2:3" x14ac:dyDescent="0.3">
      <c r="B109" s="88">
        <v>257</v>
      </c>
      <c r="C109" s="2">
        <v>60898</v>
      </c>
    </row>
    <row r="110" spans="2:3" x14ac:dyDescent="0.3">
      <c r="B110" s="88">
        <v>260</v>
      </c>
      <c r="C110" s="2">
        <v>55176.5</v>
      </c>
    </row>
    <row r="111" spans="2:3" x14ac:dyDescent="0.3">
      <c r="B111" s="88">
        <v>263</v>
      </c>
      <c r="C111" s="2">
        <v>46752.5</v>
      </c>
    </row>
    <row r="112" spans="2:3" x14ac:dyDescent="0.3">
      <c r="B112" s="88">
        <v>264</v>
      </c>
      <c r="C112" s="2">
        <v>80304</v>
      </c>
    </row>
    <row r="113" spans="2:3" x14ac:dyDescent="0.3">
      <c r="B113" s="88">
        <v>266</v>
      </c>
      <c r="C113" s="2">
        <v>63182</v>
      </c>
    </row>
    <row r="114" spans="2:3" x14ac:dyDescent="0.3">
      <c r="B114" s="88">
        <v>268</v>
      </c>
      <c r="C114" s="2">
        <v>49972</v>
      </c>
    </row>
    <row r="115" spans="2:3" x14ac:dyDescent="0.3">
      <c r="B115" s="88">
        <v>269</v>
      </c>
      <c r="C115" s="2">
        <v>96550</v>
      </c>
    </row>
    <row r="116" spans="2:3" x14ac:dyDescent="0.3">
      <c r="B116" s="88">
        <v>270</v>
      </c>
      <c r="C116" s="2">
        <v>112942</v>
      </c>
    </row>
    <row r="117" spans="2:3" x14ac:dyDescent="0.3">
      <c r="B117" s="88">
        <v>271</v>
      </c>
      <c r="C117" s="2">
        <v>69698</v>
      </c>
    </row>
    <row r="118" spans="2:3" x14ac:dyDescent="0.3">
      <c r="B118" s="88">
        <v>272</v>
      </c>
      <c r="C118" s="2">
        <v>62048.5</v>
      </c>
    </row>
    <row r="119" spans="2:3" x14ac:dyDescent="0.3">
      <c r="B119" s="88">
        <v>273</v>
      </c>
      <c r="C119" s="2">
        <v>103884</v>
      </c>
    </row>
    <row r="120" spans="2:3" x14ac:dyDescent="0.3">
      <c r="B120" s="88">
        <v>275</v>
      </c>
      <c r="C120" s="2">
        <v>106341</v>
      </c>
    </row>
    <row r="121" spans="2:3" x14ac:dyDescent="0.3">
      <c r="B121" s="88">
        <v>280</v>
      </c>
      <c r="C121" s="2">
        <v>72045</v>
      </c>
    </row>
    <row r="122" spans="2:3" x14ac:dyDescent="0.3">
      <c r="B122" s="88">
        <v>282</v>
      </c>
      <c r="C122" s="2">
        <v>57441</v>
      </c>
    </row>
    <row r="123" spans="2:3" x14ac:dyDescent="0.3">
      <c r="B123" s="88">
        <v>285</v>
      </c>
      <c r="C123" s="2">
        <v>57322</v>
      </c>
    </row>
    <row r="124" spans="2:3" x14ac:dyDescent="0.3">
      <c r="B124" s="88">
        <v>286</v>
      </c>
      <c r="C124" s="2">
        <v>73572</v>
      </c>
    </row>
    <row r="125" spans="2:3" x14ac:dyDescent="0.3">
      <c r="B125" s="88">
        <v>287</v>
      </c>
      <c r="C125" s="2">
        <v>68462</v>
      </c>
    </row>
    <row r="126" spans="2:3" x14ac:dyDescent="0.3">
      <c r="B126" s="88">
        <v>288</v>
      </c>
      <c r="C126" s="2">
        <v>51335</v>
      </c>
    </row>
    <row r="127" spans="2:3" x14ac:dyDescent="0.3">
      <c r="B127" s="88">
        <v>289</v>
      </c>
      <c r="C127" s="2">
        <v>77513</v>
      </c>
    </row>
    <row r="128" spans="2:3" x14ac:dyDescent="0.3">
      <c r="B128" s="88">
        <v>290</v>
      </c>
      <c r="C128" s="2">
        <v>43418</v>
      </c>
    </row>
    <row r="129" spans="2:3" x14ac:dyDescent="0.3">
      <c r="B129" s="88">
        <v>291</v>
      </c>
      <c r="C129" s="2">
        <v>68869</v>
      </c>
    </row>
    <row r="130" spans="2:3" x14ac:dyDescent="0.3">
      <c r="B130" s="88">
        <v>292</v>
      </c>
      <c r="C130" s="2">
        <v>69580</v>
      </c>
    </row>
    <row r="131" spans="2:3" x14ac:dyDescent="0.3">
      <c r="B131" s="88">
        <v>294</v>
      </c>
      <c r="C131" s="2">
        <v>62424</v>
      </c>
    </row>
    <row r="132" spans="2:3" x14ac:dyDescent="0.3">
      <c r="B132" s="88">
        <v>295</v>
      </c>
      <c r="C132" s="2">
        <v>94393</v>
      </c>
    </row>
    <row r="133" spans="2:3" x14ac:dyDescent="0.3">
      <c r="B133" s="88">
        <v>296</v>
      </c>
      <c r="C133" s="2">
        <v>66026</v>
      </c>
    </row>
    <row r="134" spans="2:3" x14ac:dyDescent="0.3">
      <c r="B134" s="88">
        <v>298</v>
      </c>
      <c r="C134" s="2">
        <v>82839.5</v>
      </c>
    </row>
    <row r="135" spans="2:3" x14ac:dyDescent="0.3">
      <c r="B135" s="88">
        <v>299</v>
      </c>
      <c r="C135" s="2">
        <v>115584</v>
      </c>
    </row>
    <row r="136" spans="2:3" x14ac:dyDescent="0.3">
      <c r="B136" s="88">
        <v>303</v>
      </c>
      <c r="C136" s="2">
        <v>47030</v>
      </c>
    </row>
    <row r="137" spans="2:3" x14ac:dyDescent="0.3">
      <c r="B137" s="88">
        <v>305</v>
      </c>
      <c r="C137" s="2">
        <v>61174</v>
      </c>
    </row>
    <row r="138" spans="2:3" x14ac:dyDescent="0.3">
      <c r="B138" s="88">
        <v>307</v>
      </c>
      <c r="C138" s="2">
        <v>72518.333333333328</v>
      </c>
    </row>
    <row r="139" spans="2:3" x14ac:dyDescent="0.3">
      <c r="B139" s="88">
        <v>313</v>
      </c>
      <c r="C139" s="2">
        <v>64311</v>
      </c>
    </row>
    <row r="140" spans="2:3" x14ac:dyDescent="0.3">
      <c r="B140" s="88">
        <v>317</v>
      </c>
      <c r="C140" s="2">
        <v>84752</v>
      </c>
    </row>
    <row r="141" spans="2:3" x14ac:dyDescent="0.3">
      <c r="B141" s="88">
        <v>318</v>
      </c>
      <c r="C141" s="2">
        <v>70757</v>
      </c>
    </row>
    <row r="142" spans="2:3" x14ac:dyDescent="0.3">
      <c r="B142" s="88">
        <v>319</v>
      </c>
      <c r="C142" s="2">
        <v>67506</v>
      </c>
    </row>
    <row r="143" spans="2:3" x14ac:dyDescent="0.3">
      <c r="B143" s="88">
        <v>320</v>
      </c>
      <c r="C143" s="2">
        <v>103099</v>
      </c>
    </row>
    <row r="144" spans="2:3" x14ac:dyDescent="0.3">
      <c r="B144" s="88">
        <v>321</v>
      </c>
      <c r="C144" s="2">
        <v>119069</v>
      </c>
    </row>
    <row r="145" spans="2:3" x14ac:dyDescent="0.3">
      <c r="B145" s="88">
        <v>322</v>
      </c>
      <c r="C145" s="2">
        <v>57536</v>
      </c>
    </row>
    <row r="146" spans="2:3" x14ac:dyDescent="0.3">
      <c r="B146" s="88">
        <v>326</v>
      </c>
      <c r="C146" s="2">
        <v>51290</v>
      </c>
    </row>
    <row r="147" spans="2:3" x14ac:dyDescent="0.3">
      <c r="B147" s="88">
        <v>327</v>
      </c>
      <c r="C147" s="2">
        <v>62955.5</v>
      </c>
    </row>
    <row r="148" spans="2:3" x14ac:dyDescent="0.3">
      <c r="B148" s="88">
        <v>328</v>
      </c>
      <c r="C148" s="2">
        <v>72368.5</v>
      </c>
    </row>
    <row r="149" spans="2:3" x14ac:dyDescent="0.3">
      <c r="B149" s="88">
        <v>329</v>
      </c>
      <c r="C149" s="2">
        <v>123232</v>
      </c>
    </row>
    <row r="150" spans="2:3" x14ac:dyDescent="0.3">
      <c r="B150" s="88">
        <v>333</v>
      </c>
      <c r="C150" s="2">
        <v>62575</v>
      </c>
    </row>
    <row r="151" spans="2:3" x14ac:dyDescent="0.3">
      <c r="B151" s="88">
        <v>335</v>
      </c>
      <c r="C151" s="2">
        <v>48819</v>
      </c>
    </row>
    <row r="152" spans="2:3" x14ac:dyDescent="0.3">
      <c r="B152" s="88">
        <v>337</v>
      </c>
      <c r="C152" s="2">
        <v>100450</v>
      </c>
    </row>
    <row r="153" spans="2:3" x14ac:dyDescent="0.3">
      <c r="B153" s="88">
        <v>338</v>
      </c>
      <c r="C153" s="2">
        <v>63745</v>
      </c>
    </row>
    <row r="154" spans="2:3" x14ac:dyDescent="0.3">
      <c r="B154" s="88">
        <v>339</v>
      </c>
      <c r="C154" s="2">
        <v>101981</v>
      </c>
    </row>
    <row r="155" spans="2:3" x14ac:dyDescent="0.3">
      <c r="B155" s="88">
        <v>341</v>
      </c>
      <c r="C155" s="2">
        <v>65747</v>
      </c>
    </row>
    <row r="156" spans="2:3" x14ac:dyDescent="0.3">
      <c r="B156" s="88">
        <v>342</v>
      </c>
      <c r="C156" s="2">
        <v>69877</v>
      </c>
    </row>
    <row r="157" spans="2:3" x14ac:dyDescent="0.3">
      <c r="B157" s="88">
        <v>343</v>
      </c>
      <c r="C157" s="2">
        <v>48747</v>
      </c>
    </row>
    <row r="158" spans="2:3" x14ac:dyDescent="0.3">
      <c r="B158" s="88">
        <v>344</v>
      </c>
      <c r="C158" s="2">
        <v>64959</v>
      </c>
    </row>
    <row r="159" spans="2:3" x14ac:dyDescent="0.3">
      <c r="B159" s="88">
        <v>345</v>
      </c>
      <c r="C159" s="2">
        <v>70195</v>
      </c>
    </row>
    <row r="160" spans="2:3" x14ac:dyDescent="0.3">
      <c r="B160" s="88">
        <v>348</v>
      </c>
      <c r="C160" s="2">
        <v>82381.8</v>
      </c>
    </row>
    <row r="161" spans="2:3" x14ac:dyDescent="0.3">
      <c r="B161" s="88">
        <v>350</v>
      </c>
      <c r="C161" s="2">
        <v>96577</v>
      </c>
    </row>
    <row r="162" spans="2:3" x14ac:dyDescent="0.3">
      <c r="B162" s="88">
        <v>353</v>
      </c>
      <c r="C162" s="2">
        <v>57701</v>
      </c>
    </row>
    <row r="163" spans="2:3" x14ac:dyDescent="0.3">
      <c r="B163" s="88">
        <v>355</v>
      </c>
      <c r="C163" s="2">
        <v>98443</v>
      </c>
    </row>
    <row r="164" spans="2:3" x14ac:dyDescent="0.3">
      <c r="B164" s="88">
        <v>356</v>
      </c>
      <c r="C164" s="2">
        <v>95052</v>
      </c>
    </row>
    <row r="165" spans="2:3" x14ac:dyDescent="0.3">
      <c r="B165" s="88">
        <v>357</v>
      </c>
      <c r="C165" s="2">
        <v>69100</v>
      </c>
    </row>
    <row r="166" spans="2:3" x14ac:dyDescent="0.3">
      <c r="B166" s="88">
        <v>358</v>
      </c>
      <c r="C166" s="2">
        <v>77173</v>
      </c>
    </row>
    <row r="167" spans="2:3" x14ac:dyDescent="0.3">
      <c r="B167" s="88">
        <v>360</v>
      </c>
      <c r="C167" s="2">
        <v>56242</v>
      </c>
    </row>
    <row r="168" spans="2:3" x14ac:dyDescent="0.3">
      <c r="B168" s="88">
        <v>364</v>
      </c>
      <c r="C168" s="2">
        <v>82062.5</v>
      </c>
    </row>
    <row r="169" spans="2:3" x14ac:dyDescent="0.3">
      <c r="B169" s="88">
        <v>365</v>
      </c>
      <c r="C169" s="2">
        <v>117649.5</v>
      </c>
    </row>
    <row r="170" spans="2:3" x14ac:dyDescent="0.3">
      <c r="B170" s="88">
        <v>366</v>
      </c>
      <c r="C170" s="2">
        <v>94994</v>
      </c>
    </row>
    <row r="171" spans="2:3" x14ac:dyDescent="0.3">
      <c r="B171" s="88">
        <v>374</v>
      </c>
      <c r="C171" s="2">
        <v>62038</v>
      </c>
    </row>
    <row r="172" spans="2:3" x14ac:dyDescent="0.3">
      <c r="B172" s="88">
        <v>375</v>
      </c>
      <c r="C172" s="2">
        <v>78740</v>
      </c>
    </row>
    <row r="173" spans="2:3" x14ac:dyDescent="0.3">
      <c r="B173" s="88">
        <v>377</v>
      </c>
      <c r="C173" s="2">
        <v>84701</v>
      </c>
    </row>
    <row r="174" spans="2:3" x14ac:dyDescent="0.3">
      <c r="B174" s="88">
        <v>381</v>
      </c>
      <c r="C174" s="2">
        <v>75565</v>
      </c>
    </row>
    <row r="175" spans="2:3" x14ac:dyDescent="0.3">
      <c r="B175" s="88">
        <v>382</v>
      </c>
      <c r="C175" s="2">
        <v>37852</v>
      </c>
    </row>
    <row r="176" spans="2:3" x14ac:dyDescent="0.3">
      <c r="B176" s="88">
        <v>386</v>
      </c>
      <c r="C176" s="2">
        <v>67884</v>
      </c>
    </row>
    <row r="177" spans="2:3" x14ac:dyDescent="0.3">
      <c r="B177" s="88">
        <v>387</v>
      </c>
      <c r="C177" s="2">
        <v>116858</v>
      </c>
    </row>
    <row r="178" spans="2:3" x14ac:dyDescent="0.3">
      <c r="B178" s="88">
        <v>388</v>
      </c>
      <c r="C178" s="2">
        <v>65731</v>
      </c>
    </row>
    <row r="179" spans="2:3" x14ac:dyDescent="0.3">
      <c r="B179" s="88">
        <v>389</v>
      </c>
      <c r="C179" s="2">
        <v>90109</v>
      </c>
    </row>
    <row r="180" spans="2:3" x14ac:dyDescent="0.3">
      <c r="B180" s="88">
        <v>390</v>
      </c>
      <c r="C180" s="2">
        <v>72428</v>
      </c>
    </row>
    <row r="181" spans="2:3" x14ac:dyDescent="0.3">
      <c r="B181" s="88">
        <v>394</v>
      </c>
      <c r="C181" s="2">
        <v>95310</v>
      </c>
    </row>
    <row r="182" spans="2:3" x14ac:dyDescent="0.3">
      <c r="B182" s="88">
        <v>397</v>
      </c>
      <c r="C182" s="2">
        <v>87960</v>
      </c>
    </row>
    <row r="183" spans="2:3" x14ac:dyDescent="0.3">
      <c r="B183" s="88">
        <v>398</v>
      </c>
      <c r="C183" s="2">
        <v>75890</v>
      </c>
    </row>
    <row r="184" spans="2:3" x14ac:dyDescent="0.3">
      <c r="B184" s="88">
        <v>403</v>
      </c>
      <c r="C184" s="2">
        <v>55169</v>
      </c>
    </row>
    <row r="185" spans="2:3" x14ac:dyDescent="0.3">
      <c r="B185" s="88">
        <v>407</v>
      </c>
      <c r="C185" s="2">
        <v>64764</v>
      </c>
    </row>
    <row r="186" spans="2:3" x14ac:dyDescent="0.3">
      <c r="B186" s="88">
        <v>411</v>
      </c>
      <c r="C186" s="2">
        <v>69297</v>
      </c>
    </row>
    <row r="187" spans="2:3" x14ac:dyDescent="0.3">
      <c r="B187" s="88">
        <v>412</v>
      </c>
      <c r="C187" s="2">
        <v>89219</v>
      </c>
    </row>
    <row r="188" spans="2:3" x14ac:dyDescent="0.3">
      <c r="B188" s="88">
        <v>415</v>
      </c>
      <c r="C188" s="2">
        <v>93242</v>
      </c>
    </row>
    <row r="189" spans="2:3" x14ac:dyDescent="0.3">
      <c r="B189" s="88">
        <v>416</v>
      </c>
      <c r="C189" s="2">
        <v>117389</v>
      </c>
    </row>
    <row r="190" spans="2:3" x14ac:dyDescent="0.3">
      <c r="B190" s="88">
        <v>418</v>
      </c>
      <c r="C190" s="2">
        <v>103250</v>
      </c>
    </row>
    <row r="191" spans="2:3" x14ac:dyDescent="0.3">
      <c r="B191" s="88">
        <v>420</v>
      </c>
      <c r="C191" s="2">
        <v>103921</v>
      </c>
    </row>
    <row r="192" spans="2:3" x14ac:dyDescent="0.3">
      <c r="B192" s="88">
        <v>436</v>
      </c>
      <c r="C192" s="2">
        <v>119075</v>
      </c>
    </row>
    <row r="193" spans="2:3" x14ac:dyDescent="0.3">
      <c r="B193" s="88">
        <v>440</v>
      </c>
      <c r="C193" s="2">
        <v>105820</v>
      </c>
    </row>
    <row r="194" spans="2:3" x14ac:dyDescent="0.3">
      <c r="B194" s="88">
        <v>442</v>
      </c>
      <c r="C194" s="2">
        <v>106981</v>
      </c>
    </row>
    <row r="195" spans="2:3" x14ac:dyDescent="0.3">
      <c r="B195" s="88">
        <v>450</v>
      </c>
      <c r="C195" s="2">
        <v>98030</v>
      </c>
    </row>
    <row r="196" spans="2:3" x14ac:dyDescent="0.3">
      <c r="B196" s="88">
        <v>451</v>
      </c>
      <c r="C196" s="2">
        <v>119810</v>
      </c>
    </row>
    <row r="197" spans="2:3" x14ac:dyDescent="0.3">
      <c r="B197" s="88">
        <v>452</v>
      </c>
      <c r="C197" s="2">
        <v>93741</v>
      </c>
    </row>
    <row r="198" spans="2:3" x14ac:dyDescent="0.3">
      <c r="B198" s="88">
        <v>455</v>
      </c>
      <c r="C198" s="2">
        <v>115193</v>
      </c>
    </row>
    <row r="199" spans="2:3" x14ac:dyDescent="0.3">
      <c r="B199" s="88">
        <v>456</v>
      </c>
      <c r="C199" s="2">
        <v>123264</v>
      </c>
    </row>
    <row r="200" spans="2:3" x14ac:dyDescent="0.3">
      <c r="B200" s="88">
        <v>457</v>
      </c>
      <c r="C200" s="2">
        <v>92688</v>
      </c>
    </row>
    <row r="201" spans="2:3" x14ac:dyDescent="0.3">
      <c r="B201" s="88">
        <v>458</v>
      </c>
      <c r="C201" s="2">
        <v>104100</v>
      </c>
    </row>
    <row r="202" spans="2:3" x14ac:dyDescent="0.3">
      <c r="B202" s="88">
        <v>471</v>
      </c>
      <c r="C202" s="2">
        <v>117526</v>
      </c>
    </row>
    <row r="203" spans="2:3" x14ac:dyDescent="0.3">
      <c r="B203" s="88">
        <v>472</v>
      </c>
      <c r="C203" s="2">
        <v>107664</v>
      </c>
    </row>
    <row r="204" spans="2:3" x14ac:dyDescent="0.3">
      <c r="B204" s="88">
        <v>480</v>
      </c>
      <c r="C204" s="2">
        <v>112014</v>
      </c>
    </row>
    <row r="205" spans="2:3" x14ac:dyDescent="0.3">
      <c r="B205" s="88">
        <v>488</v>
      </c>
      <c r="C205" s="2">
        <v>123557</v>
      </c>
    </row>
    <row r="206" spans="2:3" x14ac:dyDescent="0.3">
      <c r="B206" s="88">
        <v>492</v>
      </c>
      <c r="C206" s="2">
        <v>114616</v>
      </c>
    </row>
    <row r="207" spans="2:3" x14ac:dyDescent="0.3">
      <c r="B207" s="88">
        <v>494</v>
      </c>
      <c r="C207" s="2">
        <v>125813</v>
      </c>
    </row>
    <row r="208" spans="2:3" x14ac:dyDescent="0.3">
      <c r="B208" s="88">
        <v>499</v>
      </c>
      <c r="C208" s="2">
        <v>118824</v>
      </c>
    </row>
    <row r="209" spans="2:3" x14ac:dyDescent="0.3">
      <c r="B209" s="88">
        <v>501</v>
      </c>
      <c r="C209" s="2">
        <v>109284</v>
      </c>
    </row>
    <row r="210" spans="2:3" x14ac:dyDescent="0.3">
      <c r="B210" s="88">
        <v>511</v>
      </c>
      <c r="C210" s="2">
        <v>131483</v>
      </c>
    </row>
    <row r="211" spans="2:3" x14ac:dyDescent="0.3">
      <c r="B211" s="88">
        <v>513</v>
      </c>
      <c r="C211" s="2">
        <v>100635</v>
      </c>
    </row>
    <row r="212" spans="2:3" x14ac:dyDescent="0.3">
      <c r="B212" s="88">
        <v>514</v>
      </c>
      <c r="C212" s="2">
        <v>108929</v>
      </c>
    </row>
    <row r="213" spans="2:3" x14ac:dyDescent="0.3">
      <c r="B213" s="88">
        <v>518</v>
      </c>
      <c r="C213" s="2">
        <v>105615</v>
      </c>
    </row>
    <row r="214" spans="2:3" x14ac:dyDescent="0.3">
      <c r="B214" s="88">
        <v>519</v>
      </c>
      <c r="C214" s="2">
        <v>100463</v>
      </c>
    </row>
    <row r="215" spans="2:3" x14ac:dyDescent="0.3">
      <c r="B215" s="88">
        <v>521</v>
      </c>
      <c r="C215" s="2">
        <v>117455</v>
      </c>
    </row>
    <row r="216" spans="2:3" x14ac:dyDescent="0.3">
      <c r="B216" s="88">
        <v>528</v>
      </c>
      <c r="C216" s="2">
        <v>115190</v>
      </c>
    </row>
    <row r="217" spans="2:3" x14ac:dyDescent="0.3">
      <c r="B217" s="88">
        <v>531</v>
      </c>
      <c r="C217" s="2">
        <v>117183</v>
      </c>
    </row>
    <row r="218" spans="2:3" x14ac:dyDescent="0.3">
      <c r="B218" s="88">
        <v>532</v>
      </c>
      <c r="C218" s="2">
        <v>110878</v>
      </c>
    </row>
    <row r="219" spans="2:3" x14ac:dyDescent="0.3">
      <c r="B219" s="88">
        <v>533</v>
      </c>
      <c r="C219" s="2">
        <v>113170</v>
      </c>
    </row>
    <row r="220" spans="2:3" x14ac:dyDescent="0.3">
      <c r="B220" s="88">
        <v>535</v>
      </c>
      <c r="C220" s="2">
        <v>93003</v>
      </c>
    </row>
    <row r="221" spans="2:3" x14ac:dyDescent="0.3">
      <c r="B221" s="88">
        <v>537</v>
      </c>
      <c r="C221" s="2">
        <v>108382</v>
      </c>
    </row>
    <row r="222" spans="2:3" x14ac:dyDescent="0.3">
      <c r="B222" s="88">
        <v>544</v>
      </c>
      <c r="C222" s="2">
        <v>110113</v>
      </c>
    </row>
    <row r="223" spans="2:3" x14ac:dyDescent="0.3">
      <c r="B223" s="88">
        <v>545</v>
      </c>
      <c r="C223" s="2">
        <v>105881</v>
      </c>
    </row>
    <row r="224" spans="2:3" x14ac:dyDescent="0.3">
      <c r="B224" s="88">
        <v>546</v>
      </c>
      <c r="C224" s="2">
        <v>139396</v>
      </c>
    </row>
    <row r="225" spans="2:3" x14ac:dyDescent="0.3">
      <c r="B225" s="88">
        <v>549</v>
      </c>
      <c r="C225" s="2">
        <v>107898</v>
      </c>
    </row>
    <row r="226" spans="2:3" x14ac:dyDescent="0.3">
      <c r="B226" s="88">
        <v>550</v>
      </c>
      <c r="C226" s="2">
        <v>104226.5</v>
      </c>
    </row>
    <row r="227" spans="2:3" x14ac:dyDescent="0.3">
      <c r="B227" s="88">
        <v>554</v>
      </c>
      <c r="C227" s="2">
        <v>94567</v>
      </c>
    </row>
    <row r="228" spans="2:3" x14ac:dyDescent="0.3">
      <c r="B228" s="88">
        <v>557</v>
      </c>
      <c r="C228" s="2">
        <v>108740</v>
      </c>
    </row>
    <row r="229" spans="2:3" x14ac:dyDescent="0.3">
      <c r="B229" s="88">
        <v>560</v>
      </c>
      <c r="C229" s="2">
        <v>117645</v>
      </c>
    </row>
    <row r="230" spans="2:3" x14ac:dyDescent="0.3">
      <c r="B230" s="88">
        <v>562</v>
      </c>
      <c r="C230" s="2">
        <v>110138</v>
      </c>
    </row>
    <row r="231" spans="2:3" x14ac:dyDescent="0.3">
      <c r="B231" s="88">
        <v>566</v>
      </c>
      <c r="C231" s="2">
        <v>109809</v>
      </c>
    </row>
    <row r="232" spans="2:3" x14ac:dyDescent="0.3">
      <c r="B232" s="88">
        <v>568</v>
      </c>
      <c r="C232" s="2">
        <v>107559</v>
      </c>
    </row>
    <row r="233" spans="2:3" x14ac:dyDescent="0.3">
      <c r="B233" s="88">
        <v>571</v>
      </c>
      <c r="C233" s="2">
        <v>177904</v>
      </c>
    </row>
    <row r="234" spans="2:3" x14ac:dyDescent="0.3">
      <c r="B234" s="88">
        <v>573</v>
      </c>
      <c r="C234" s="2">
        <v>110362</v>
      </c>
    </row>
    <row r="235" spans="2:3" x14ac:dyDescent="0.3">
      <c r="B235" s="88">
        <v>581</v>
      </c>
      <c r="C235" s="2">
        <v>150090.5</v>
      </c>
    </row>
    <row r="236" spans="2:3" x14ac:dyDescent="0.3">
      <c r="B236" s="88">
        <v>582</v>
      </c>
      <c r="C236" s="2">
        <v>100935</v>
      </c>
    </row>
    <row r="237" spans="2:3" x14ac:dyDescent="0.3">
      <c r="B237" s="88">
        <v>586</v>
      </c>
      <c r="C237" s="2">
        <v>113212</v>
      </c>
    </row>
    <row r="238" spans="2:3" x14ac:dyDescent="0.3">
      <c r="B238" s="88">
        <v>595</v>
      </c>
      <c r="C238" s="2">
        <v>115833</v>
      </c>
    </row>
    <row r="239" spans="2:3" x14ac:dyDescent="0.3">
      <c r="B239" s="88">
        <v>597</v>
      </c>
      <c r="C239" s="2">
        <v>95104</v>
      </c>
    </row>
    <row r="240" spans="2:3" x14ac:dyDescent="0.3">
      <c r="B240" s="88">
        <v>603</v>
      </c>
      <c r="C240" s="2">
        <v>172164</v>
      </c>
    </row>
    <row r="241" spans="2:3" x14ac:dyDescent="0.3">
      <c r="B241" s="88">
        <v>605</v>
      </c>
      <c r="C241" s="2">
        <v>161660</v>
      </c>
    </row>
    <row r="242" spans="2:3" x14ac:dyDescent="0.3">
      <c r="B242" s="88">
        <v>620</v>
      </c>
      <c r="C242" s="2">
        <v>113337</v>
      </c>
    </row>
    <row r="243" spans="2:3" x14ac:dyDescent="0.3">
      <c r="B243" s="88">
        <v>630</v>
      </c>
      <c r="C243" s="2">
        <v>95450</v>
      </c>
    </row>
    <row r="244" spans="2:3" x14ac:dyDescent="0.3">
      <c r="B244" s="88">
        <v>632</v>
      </c>
      <c r="C244" s="2">
        <v>128355</v>
      </c>
    </row>
    <row r="245" spans="2:3" x14ac:dyDescent="0.3">
      <c r="B245" s="88">
        <v>633</v>
      </c>
      <c r="C245" s="2">
        <v>188711</v>
      </c>
    </row>
    <row r="246" spans="2:3" x14ac:dyDescent="0.3">
      <c r="B246" s="88">
        <v>640</v>
      </c>
      <c r="C246" s="2">
        <v>196665</v>
      </c>
    </row>
    <row r="247" spans="2:3" x14ac:dyDescent="0.3">
      <c r="B247" s="88">
        <v>642</v>
      </c>
      <c r="C247" s="2">
        <v>114736</v>
      </c>
    </row>
    <row r="248" spans="2:3" x14ac:dyDescent="0.3">
      <c r="B248" s="88">
        <v>643</v>
      </c>
      <c r="C248" s="2">
        <v>144488</v>
      </c>
    </row>
    <row r="249" spans="2:3" x14ac:dyDescent="0.3">
      <c r="B249" s="88">
        <v>645</v>
      </c>
      <c r="C249" s="2">
        <v>102597</v>
      </c>
    </row>
    <row r="250" spans="2:3" x14ac:dyDescent="0.3">
      <c r="B250" s="88">
        <v>647</v>
      </c>
      <c r="C250" s="2">
        <v>107121</v>
      </c>
    </row>
    <row r="251" spans="2:3" x14ac:dyDescent="0.3">
      <c r="B251" s="88">
        <v>649</v>
      </c>
      <c r="C251" s="2">
        <v>116930</v>
      </c>
    </row>
    <row r="252" spans="2:3" x14ac:dyDescent="0.3">
      <c r="B252" s="88">
        <v>650</v>
      </c>
      <c r="C252" s="2">
        <v>198172</v>
      </c>
    </row>
    <row r="253" spans="2:3" x14ac:dyDescent="0.3">
      <c r="B253" s="88">
        <v>654</v>
      </c>
      <c r="C253" s="2">
        <v>155006</v>
      </c>
    </row>
    <row r="254" spans="2:3" x14ac:dyDescent="0.3">
      <c r="B254" s="88">
        <v>661</v>
      </c>
      <c r="C254" s="2">
        <v>113679</v>
      </c>
    </row>
    <row r="255" spans="2:3" x14ac:dyDescent="0.3">
      <c r="B255" s="88">
        <v>663</v>
      </c>
      <c r="C255" s="2">
        <v>109643</v>
      </c>
    </row>
    <row r="256" spans="2:3" x14ac:dyDescent="0.3">
      <c r="B256" s="88">
        <v>685</v>
      </c>
      <c r="C256" s="2">
        <v>173824</v>
      </c>
    </row>
    <row r="257" spans="2:3" x14ac:dyDescent="0.3">
      <c r="B257" s="88">
        <v>690</v>
      </c>
      <c r="C257" s="2">
        <v>184444</v>
      </c>
    </row>
    <row r="258" spans="2:3" x14ac:dyDescent="0.3">
      <c r="B258" s="88">
        <v>697</v>
      </c>
      <c r="C258" s="2">
        <v>132098</v>
      </c>
    </row>
    <row r="259" spans="2:3" x14ac:dyDescent="0.3">
      <c r="B259" s="88">
        <v>703</v>
      </c>
      <c r="C259" s="2">
        <v>137726</v>
      </c>
    </row>
    <row r="260" spans="2:3" x14ac:dyDescent="0.3">
      <c r="B260" s="88">
        <v>706</v>
      </c>
      <c r="C260" s="2">
        <v>136977</v>
      </c>
    </row>
    <row r="261" spans="2:3" x14ac:dyDescent="0.3">
      <c r="B261" s="88">
        <v>709</v>
      </c>
      <c r="C261" s="2">
        <v>137573</v>
      </c>
    </row>
    <row r="262" spans="2:3" x14ac:dyDescent="0.3">
      <c r="B262" s="88">
        <v>717</v>
      </c>
      <c r="C262" s="2">
        <v>187879</v>
      </c>
    </row>
    <row r="263" spans="2:3" x14ac:dyDescent="0.3">
      <c r="B263" s="88">
        <v>720</v>
      </c>
      <c r="C263" s="2">
        <v>151054</v>
      </c>
    </row>
    <row r="264" spans="2:3" x14ac:dyDescent="0.3">
      <c r="B264" s="88">
        <v>740</v>
      </c>
      <c r="C264" s="2">
        <v>151983</v>
      </c>
    </row>
    <row r="265" spans="2:3" x14ac:dyDescent="0.3">
      <c r="B265" s="88">
        <v>745</v>
      </c>
      <c r="C265" s="2">
        <v>155756</v>
      </c>
    </row>
    <row r="266" spans="2:3" x14ac:dyDescent="0.3">
      <c r="B266" s="88">
        <v>754</v>
      </c>
      <c r="C266" s="2">
        <v>191628</v>
      </c>
    </row>
    <row r="267" spans="2:3" x14ac:dyDescent="0.3">
      <c r="B267" s="88">
        <v>762</v>
      </c>
      <c r="C267" s="2">
        <v>144509</v>
      </c>
    </row>
    <row r="268" spans="2:3" x14ac:dyDescent="0.3">
      <c r="B268" s="88">
        <v>783</v>
      </c>
      <c r="C268" s="2">
        <v>134211</v>
      </c>
    </row>
    <row r="269" spans="2:3" x14ac:dyDescent="0.3">
      <c r="B269" s="88">
        <v>784</v>
      </c>
      <c r="C269" s="2">
        <v>196893</v>
      </c>
    </row>
    <row r="270" spans="2:3" x14ac:dyDescent="0.3">
      <c r="B270" s="88">
        <v>791</v>
      </c>
      <c r="C270" s="2">
        <v>154837</v>
      </c>
    </row>
    <row r="271" spans="2:3" x14ac:dyDescent="0.3">
      <c r="B271" s="88">
        <v>794</v>
      </c>
      <c r="C271" s="2">
        <v>140169</v>
      </c>
    </row>
    <row r="272" spans="2:3" x14ac:dyDescent="0.3">
      <c r="B272" s="88">
        <v>797</v>
      </c>
      <c r="C272" s="2">
        <v>147458</v>
      </c>
    </row>
    <row r="273" spans="2:3" x14ac:dyDescent="0.3">
      <c r="B273" s="88">
        <v>805</v>
      </c>
      <c r="C273" s="2">
        <v>182934</v>
      </c>
    </row>
    <row r="274" spans="2:3" x14ac:dyDescent="0.3">
      <c r="B274" s="88">
        <v>813</v>
      </c>
      <c r="C274" s="2">
        <v>162244</v>
      </c>
    </row>
    <row r="275" spans="2:3" x14ac:dyDescent="0.3">
      <c r="B275" s="88">
        <v>825</v>
      </c>
      <c r="C275" s="2">
        <v>212187</v>
      </c>
    </row>
    <row r="276" spans="2:3" x14ac:dyDescent="0.3">
      <c r="B276" s="88">
        <v>829</v>
      </c>
      <c r="C276" s="2">
        <v>197129</v>
      </c>
    </row>
    <row r="277" spans="2:3" x14ac:dyDescent="0.3">
      <c r="B277" s="88">
        <v>838</v>
      </c>
      <c r="C277" s="2">
        <v>141669</v>
      </c>
    </row>
    <row r="278" spans="2:3" x14ac:dyDescent="0.3">
      <c r="B278" s="88">
        <v>847</v>
      </c>
      <c r="C278" s="2">
        <v>190520</v>
      </c>
    </row>
    <row r="279" spans="2:3" x14ac:dyDescent="0.3">
      <c r="B279" s="88">
        <v>868</v>
      </c>
      <c r="C279" s="2">
        <v>153647</v>
      </c>
    </row>
    <row r="280" spans="2:3" x14ac:dyDescent="0.3">
      <c r="B280" s="88">
        <v>879</v>
      </c>
      <c r="C280" s="2">
        <v>241850</v>
      </c>
    </row>
    <row r="281" spans="2:3" x14ac:dyDescent="0.3">
      <c r="B281" s="88">
        <v>883</v>
      </c>
      <c r="C281" s="2">
        <v>148496</v>
      </c>
    </row>
    <row r="282" spans="2:3" x14ac:dyDescent="0.3">
      <c r="B282" s="88">
        <v>893</v>
      </c>
      <c r="C282" s="2">
        <v>215896</v>
      </c>
    </row>
    <row r="283" spans="2:3" x14ac:dyDescent="0.3">
      <c r="B283" s="88">
        <v>900</v>
      </c>
      <c r="C283" s="2">
        <v>196103</v>
      </c>
    </row>
    <row r="284" spans="2:3" x14ac:dyDescent="0.3">
      <c r="B284" s="88">
        <v>903</v>
      </c>
      <c r="C284" s="2">
        <v>144833</v>
      </c>
    </row>
    <row r="285" spans="2:3" x14ac:dyDescent="0.3">
      <c r="B285" s="88">
        <v>947</v>
      </c>
      <c r="C285" s="2">
        <v>240782</v>
      </c>
    </row>
    <row r="286" spans="2:3" x14ac:dyDescent="0.3">
      <c r="B286" s="88">
        <v>962</v>
      </c>
      <c r="C286" s="2">
        <v>412590</v>
      </c>
    </row>
    <row r="287" spans="2:3" x14ac:dyDescent="0.3">
      <c r="B287" s="88">
        <v>963</v>
      </c>
      <c r="C287" s="2">
        <v>243255</v>
      </c>
    </row>
    <row r="288" spans="2:3" x14ac:dyDescent="0.3">
      <c r="B288" s="88">
        <v>973</v>
      </c>
      <c r="C288" s="2">
        <v>427459</v>
      </c>
    </row>
    <row r="289" spans="2:3" x14ac:dyDescent="0.3">
      <c r="B289" s="88">
        <v>1025</v>
      </c>
      <c r="C289" s="2">
        <v>221281</v>
      </c>
    </row>
    <row r="290" spans="2:3" x14ac:dyDescent="0.3">
      <c r="B290" s="88">
        <v>1026</v>
      </c>
      <c r="C290" s="2">
        <v>336300</v>
      </c>
    </row>
    <row r="291" spans="2:3" x14ac:dyDescent="0.3">
      <c r="B291" s="88">
        <v>1031</v>
      </c>
      <c r="C291" s="2">
        <v>344377</v>
      </c>
    </row>
    <row r="292" spans="2:3" x14ac:dyDescent="0.3">
      <c r="B292" s="88">
        <v>1053</v>
      </c>
      <c r="C292" s="2">
        <v>229033</v>
      </c>
    </row>
    <row r="293" spans="2:3" x14ac:dyDescent="0.3">
      <c r="B293" s="88">
        <v>1054</v>
      </c>
      <c r="C293" s="2">
        <v>228330</v>
      </c>
    </row>
    <row r="294" spans="2:3" x14ac:dyDescent="0.3">
      <c r="B294" s="88">
        <v>1055</v>
      </c>
      <c r="C294" s="2">
        <v>443967</v>
      </c>
    </row>
    <row r="295" spans="2:3" x14ac:dyDescent="0.3">
      <c r="B295" s="88">
        <v>1068</v>
      </c>
      <c r="C295" s="2">
        <v>224425</v>
      </c>
    </row>
    <row r="296" spans="2:3" x14ac:dyDescent="0.3">
      <c r="B296" s="88">
        <v>1069</v>
      </c>
      <c r="C296" s="2">
        <v>239896</v>
      </c>
    </row>
    <row r="297" spans="2:3" x14ac:dyDescent="0.3">
      <c r="B297" s="88">
        <v>1075</v>
      </c>
      <c r="C297" s="2">
        <v>238053</v>
      </c>
    </row>
    <row r="298" spans="2:3" x14ac:dyDescent="0.3">
      <c r="B298" s="88">
        <v>1078</v>
      </c>
      <c r="C298" s="2">
        <v>429397</v>
      </c>
    </row>
    <row r="299" spans="2:3" x14ac:dyDescent="0.3">
      <c r="B299" s="88">
        <v>1084</v>
      </c>
      <c r="C299" s="2">
        <v>475978</v>
      </c>
    </row>
    <row r="300" spans="2:3" x14ac:dyDescent="0.3">
      <c r="B300" s="88">
        <v>1088</v>
      </c>
      <c r="C300" s="2">
        <v>514243</v>
      </c>
    </row>
    <row r="301" spans="2:3" x14ac:dyDescent="0.3">
      <c r="B301" s="88">
        <v>1097</v>
      </c>
      <c r="C301" s="2">
        <v>493015</v>
      </c>
    </row>
    <row r="302" spans="2:3" x14ac:dyDescent="0.3">
      <c r="B302" s="88">
        <v>1132</v>
      </c>
      <c r="C302" s="2">
        <v>232382</v>
      </c>
    </row>
    <row r="303" spans="2:3" x14ac:dyDescent="0.3">
      <c r="B303" s="88">
        <v>1136</v>
      </c>
      <c r="C303" s="2">
        <v>235148</v>
      </c>
    </row>
    <row r="304" spans="2:3" x14ac:dyDescent="0.3">
      <c r="B304" s="88">
        <v>1141</v>
      </c>
      <c r="C304" s="2">
        <v>233286</v>
      </c>
    </row>
    <row r="305" spans="2:3" x14ac:dyDescent="0.3">
      <c r="B305" s="88">
        <v>1153</v>
      </c>
      <c r="C305" s="2">
        <v>456260</v>
      </c>
    </row>
    <row r="306" spans="2:3" x14ac:dyDescent="0.3">
      <c r="B306" s="88">
        <v>1154</v>
      </c>
      <c r="C306" s="2">
        <v>220660</v>
      </c>
    </row>
    <row r="307" spans="2:3" x14ac:dyDescent="0.3">
      <c r="B307" s="88">
        <v>1168</v>
      </c>
      <c r="C307" s="2">
        <v>224669</v>
      </c>
    </row>
    <row r="308" spans="2:3" x14ac:dyDescent="0.3">
      <c r="B308" s="88">
        <v>1176</v>
      </c>
      <c r="C308" s="2">
        <v>286517</v>
      </c>
    </row>
    <row r="309" spans="2:3" x14ac:dyDescent="0.3">
      <c r="B309" s="88">
        <v>1190</v>
      </c>
      <c r="C309" s="2">
        <v>323659</v>
      </c>
    </row>
    <row r="310" spans="2:3" x14ac:dyDescent="0.3">
      <c r="B310" s="88">
        <v>1191</v>
      </c>
      <c r="C310" s="2">
        <v>321298</v>
      </c>
    </row>
    <row r="311" spans="2:3" x14ac:dyDescent="0.3">
      <c r="B311" s="88">
        <v>1207</v>
      </c>
      <c r="C311" s="2">
        <v>233380</v>
      </c>
    </row>
    <row r="312" spans="2:3" x14ac:dyDescent="0.3">
      <c r="B312" s="88">
        <v>1208</v>
      </c>
      <c r="C312" s="2">
        <v>303548</v>
      </c>
    </row>
    <row r="313" spans="2:3" x14ac:dyDescent="0.3">
      <c r="B313" s="88">
        <v>1211</v>
      </c>
      <c r="C313" s="2">
        <v>305910</v>
      </c>
    </row>
    <row r="314" spans="2:3" x14ac:dyDescent="0.3">
      <c r="B314" s="88">
        <v>1215</v>
      </c>
      <c r="C314" s="2">
        <v>233727</v>
      </c>
    </row>
    <row r="315" spans="2:3" x14ac:dyDescent="0.3">
      <c r="B315" s="88">
        <v>1219</v>
      </c>
      <c r="C315" s="2">
        <v>286373</v>
      </c>
    </row>
    <row r="316" spans="2:3" x14ac:dyDescent="0.3">
      <c r="B316" s="88">
        <v>1232</v>
      </c>
      <c r="C316" s="2">
        <v>299196</v>
      </c>
    </row>
    <row r="317" spans="2:3" x14ac:dyDescent="0.3">
      <c r="B317" s="88">
        <v>1245</v>
      </c>
      <c r="C317" s="2">
        <v>293282</v>
      </c>
    </row>
    <row r="318" spans="2:3" x14ac:dyDescent="0.3">
      <c r="B318" s="88">
        <v>1253</v>
      </c>
      <c r="C318" s="2">
        <v>321095</v>
      </c>
    </row>
    <row r="319" spans="2:3" x14ac:dyDescent="0.3">
      <c r="B319" s="88">
        <v>1265</v>
      </c>
      <c r="C319" s="2">
        <v>297580</v>
      </c>
    </row>
    <row r="320" spans="2:3" x14ac:dyDescent="0.3">
      <c r="B320" s="88">
        <v>1277</v>
      </c>
      <c r="C320" s="2">
        <v>314583</v>
      </c>
    </row>
    <row r="321" spans="2:3" x14ac:dyDescent="0.3">
      <c r="B321" s="88">
        <v>1294</v>
      </c>
      <c r="C321" s="2">
        <v>520524</v>
      </c>
    </row>
    <row r="322" spans="2:3" x14ac:dyDescent="0.3">
      <c r="B322" s="88">
        <v>1422</v>
      </c>
      <c r="C322" s="2">
        <v>323833</v>
      </c>
    </row>
    <row r="323" spans="2:3" x14ac:dyDescent="0.3">
      <c r="B323" s="88">
        <v>1423</v>
      </c>
      <c r="C323" s="2">
        <v>292628</v>
      </c>
    </row>
    <row r="324" spans="2:3" x14ac:dyDescent="0.3">
      <c r="B324" s="88">
        <v>1508</v>
      </c>
      <c r="C324" s="2">
        <v>309149</v>
      </c>
    </row>
    <row r="325" spans="2:3" x14ac:dyDescent="0.3">
      <c r="B325" s="88">
        <v>1526</v>
      </c>
      <c r="C325" s="2">
        <v>307542</v>
      </c>
    </row>
    <row r="326" spans="2:3" x14ac:dyDescent="0.3">
      <c r="B326" s="88">
        <v>2081</v>
      </c>
      <c r="C326" s="2">
        <v>424865</v>
      </c>
    </row>
    <row r="327" spans="2:3" x14ac:dyDescent="0.3">
      <c r="B327" s="88">
        <v>2090</v>
      </c>
      <c r="C327" s="2">
        <v>365860</v>
      </c>
    </row>
    <row r="328" spans="2:3" x14ac:dyDescent="0.3">
      <c r="B328" s="88">
        <v>2166</v>
      </c>
      <c r="C328" s="2">
        <v>433804</v>
      </c>
    </row>
    <row r="329" spans="2:3" x14ac:dyDescent="0.3">
      <c r="B329" s="88">
        <v>2208</v>
      </c>
      <c r="C329" s="2">
        <v>385210</v>
      </c>
    </row>
    <row r="330" spans="2:3" x14ac:dyDescent="0.3">
      <c r="B330" s="88">
        <v>2244</v>
      </c>
      <c r="C330" s="2">
        <v>410066</v>
      </c>
    </row>
    <row r="331" spans="2:3" x14ac:dyDescent="0.3">
      <c r="B331" s="88">
        <v>2273</v>
      </c>
      <c r="C331" s="2">
        <v>366737</v>
      </c>
    </row>
    <row r="332" spans="2:3" x14ac:dyDescent="0.3">
      <c r="B332" s="88">
        <v>2430</v>
      </c>
      <c r="C332" s="2">
        <v>400137</v>
      </c>
    </row>
    <row r="333" spans="2:3" x14ac:dyDescent="0.3">
      <c r="B333" s="88">
        <v>2464</v>
      </c>
      <c r="C333" s="2">
        <v>414173</v>
      </c>
    </row>
    <row r="334" spans="2:3" x14ac:dyDescent="0.3">
      <c r="B334" s="88">
        <v>2498</v>
      </c>
      <c r="C334" s="2">
        <v>376007</v>
      </c>
    </row>
    <row r="335" spans="2:3" x14ac:dyDescent="0.3">
      <c r="B335" s="88">
        <v>2638</v>
      </c>
      <c r="C335" s="2">
        <v>650707</v>
      </c>
    </row>
    <row r="336" spans="2:3" x14ac:dyDescent="0.3">
      <c r="B336" s="88">
        <v>2725</v>
      </c>
      <c r="C336" s="2">
        <v>673571</v>
      </c>
    </row>
    <row r="337" spans="2:3" x14ac:dyDescent="0.3">
      <c r="B337" s="88">
        <v>2856</v>
      </c>
      <c r="C337" s="2">
        <v>543486</v>
      </c>
    </row>
    <row r="338" spans="2:3" x14ac:dyDescent="0.3">
      <c r="B338" s="88">
        <v>2938</v>
      </c>
      <c r="C338" s="2">
        <v>613671</v>
      </c>
    </row>
    <row r="339" spans="2:3" x14ac:dyDescent="0.3">
      <c r="B339" s="88">
        <v>2955</v>
      </c>
      <c r="C339" s="2">
        <v>555581</v>
      </c>
    </row>
    <row r="340" spans="2:3" x14ac:dyDescent="0.3">
      <c r="B340" s="88">
        <v>2985</v>
      </c>
      <c r="C340" s="2">
        <v>680993</v>
      </c>
    </row>
    <row r="341" spans="2:3" x14ac:dyDescent="0.3">
      <c r="B341" s="88">
        <v>3017</v>
      </c>
      <c r="C341" s="2">
        <v>659321</v>
      </c>
    </row>
    <row r="342" spans="2:3" x14ac:dyDescent="0.3">
      <c r="B342" s="88">
        <v>3050</v>
      </c>
      <c r="C342" s="2">
        <v>581946</v>
      </c>
    </row>
    <row r="343" spans="2:3" x14ac:dyDescent="0.3">
      <c r="B343" s="88">
        <v>3264</v>
      </c>
      <c r="C343" s="2">
        <v>626696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D9C7-D9A8-499F-9246-1E4BA798AC1F}">
  <dimension ref="B3:C461"/>
  <sheetViews>
    <sheetView workbookViewId="0">
      <selection activeCell="C8" sqref="C8"/>
    </sheetView>
  </sheetViews>
  <sheetFormatPr defaultRowHeight="14.4" x14ac:dyDescent="0.3"/>
  <cols>
    <col min="2" max="2" width="12.44140625" bestFit="1" customWidth="1"/>
    <col min="3" max="3" width="24.44140625" bestFit="1" customWidth="1"/>
  </cols>
  <sheetData>
    <row r="3" spans="2:3" x14ac:dyDescent="0.3">
      <c r="B3" s="87" t="s">
        <v>611</v>
      </c>
      <c r="C3" t="s">
        <v>612</v>
      </c>
    </row>
    <row r="4" spans="2:3" x14ac:dyDescent="0.3">
      <c r="B4" s="88">
        <v>4236</v>
      </c>
      <c r="C4" s="2">
        <v>4236</v>
      </c>
    </row>
    <row r="5" spans="2:3" x14ac:dyDescent="0.3">
      <c r="B5" s="88">
        <v>4336</v>
      </c>
      <c r="C5" s="2">
        <v>4336</v>
      </c>
    </row>
    <row r="6" spans="2:3" x14ac:dyDescent="0.3">
      <c r="B6" s="88">
        <v>4435</v>
      </c>
      <c r="C6" s="2">
        <v>4435</v>
      </c>
    </row>
    <row r="7" spans="2:3" x14ac:dyDescent="0.3">
      <c r="B7" s="88">
        <v>4652</v>
      </c>
      <c r="C7" s="2">
        <v>4652</v>
      </c>
    </row>
    <row r="8" spans="2:3" x14ac:dyDescent="0.3">
      <c r="B8" s="88">
        <v>5102</v>
      </c>
      <c r="C8" s="2">
        <v>5102</v>
      </c>
    </row>
    <row r="9" spans="2:3" x14ac:dyDescent="0.3">
      <c r="B9" s="88">
        <v>5165</v>
      </c>
      <c r="C9" s="2">
        <v>5165</v>
      </c>
    </row>
    <row r="10" spans="2:3" x14ac:dyDescent="0.3">
      <c r="B10" s="88">
        <v>5948</v>
      </c>
      <c r="C10" s="2">
        <v>5948</v>
      </c>
    </row>
    <row r="11" spans="2:3" x14ac:dyDescent="0.3">
      <c r="B11" s="88">
        <v>6285</v>
      </c>
      <c r="C11" s="2">
        <v>6285</v>
      </c>
    </row>
    <row r="12" spans="2:3" x14ac:dyDescent="0.3">
      <c r="B12" s="88">
        <v>6814</v>
      </c>
      <c r="C12" s="2">
        <v>6814</v>
      </c>
    </row>
    <row r="13" spans="2:3" x14ac:dyDescent="0.3">
      <c r="B13" s="88">
        <v>7753</v>
      </c>
      <c r="C13" s="2">
        <v>7753</v>
      </c>
    </row>
    <row r="14" spans="2:3" x14ac:dyDescent="0.3">
      <c r="B14" s="88">
        <v>7875</v>
      </c>
      <c r="C14" s="2">
        <v>7875</v>
      </c>
    </row>
    <row r="15" spans="2:3" x14ac:dyDescent="0.3">
      <c r="B15" s="88">
        <v>7891</v>
      </c>
      <c r="C15" s="2">
        <v>7891</v>
      </c>
    </row>
    <row r="16" spans="2:3" x14ac:dyDescent="0.3">
      <c r="B16" s="88">
        <v>8173</v>
      </c>
      <c r="C16" s="2">
        <v>8173</v>
      </c>
    </row>
    <row r="17" spans="2:3" x14ac:dyDescent="0.3">
      <c r="B17" s="88">
        <v>8313</v>
      </c>
      <c r="C17" s="2">
        <v>8313</v>
      </c>
    </row>
    <row r="18" spans="2:3" x14ac:dyDescent="0.3">
      <c r="B18" s="88">
        <v>8427</v>
      </c>
      <c r="C18" s="2">
        <v>8427</v>
      </c>
    </row>
    <row r="19" spans="2:3" x14ac:dyDescent="0.3">
      <c r="B19" s="88">
        <v>8443</v>
      </c>
      <c r="C19" s="2">
        <v>8443</v>
      </c>
    </row>
    <row r="20" spans="2:3" x14ac:dyDescent="0.3">
      <c r="B20" s="88">
        <v>8723</v>
      </c>
      <c r="C20" s="2">
        <v>8723</v>
      </c>
    </row>
    <row r="21" spans="2:3" x14ac:dyDescent="0.3">
      <c r="B21" s="88">
        <v>9074</v>
      </c>
      <c r="C21" s="2">
        <v>9074</v>
      </c>
    </row>
    <row r="22" spans="2:3" x14ac:dyDescent="0.3">
      <c r="B22" s="88">
        <v>9351</v>
      </c>
      <c r="C22" s="2">
        <v>9351</v>
      </c>
    </row>
    <row r="23" spans="2:3" x14ac:dyDescent="0.3">
      <c r="B23" s="88">
        <v>9910</v>
      </c>
      <c r="C23" s="2">
        <v>9910</v>
      </c>
    </row>
    <row r="24" spans="2:3" x14ac:dyDescent="0.3">
      <c r="B24" s="88">
        <v>9991</v>
      </c>
      <c r="C24" s="2">
        <v>9991</v>
      </c>
    </row>
    <row r="25" spans="2:3" x14ac:dyDescent="0.3">
      <c r="B25" s="88">
        <v>10004</v>
      </c>
      <c r="C25" s="2">
        <v>10004</v>
      </c>
    </row>
    <row r="26" spans="2:3" x14ac:dyDescent="0.3">
      <c r="B26" s="88">
        <v>10098</v>
      </c>
      <c r="C26" s="2">
        <v>10098</v>
      </c>
    </row>
    <row r="27" spans="2:3" x14ac:dyDescent="0.3">
      <c r="B27" s="88">
        <v>10140</v>
      </c>
      <c r="C27" s="2">
        <v>10140</v>
      </c>
    </row>
    <row r="28" spans="2:3" x14ac:dyDescent="0.3">
      <c r="B28" s="88">
        <v>10298</v>
      </c>
      <c r="C28" s="2">
        <v>10298</v>
      </c>
    </row>
    <row r="29" spans="2:3" x14ac:dyDescent="0.3">
      <c r="B29" s="88">
        <v>10360</v>
      </c>
      <c r="C29" s="2">
        <v>10360</v>
      </c>
    </row>
    <row r="30" spans="2:3" x14ac:dyDescent="0.3">
      <c r="B30" s="88">
        <v>10489</v>
      </c>
      <c r="C30" s="2">
        <v>10489</v>
      </c>
    </row>
    <row r="31" spans="2:3" x14ac:dyDescent="0.3">
      <c r="B31" s="88">
        <v>10517</v>
      </c>
      <c r="C31" s="2">
        <v>10517</v>
      </c>
    </row>
    <row r="32" spans="2:3" x14ac:dyDescent="0.3">
      <c r="B32" s="88">
        <v>10545</v>
      </c>
      <c r="C32" s="2">
        <v>10545</v>
      </c>
    </row>
    <row r="33" spans="2:3" x14ac:dyDescent="0.3">
      <c r="B33" s="88">
        <v>10734</v>
      </c>
      <c r="C33" s="2">
        <v>10734</v>
      </c>
    </row>
    <row r="34" spans="2:3" x14ac:dyDescent="0.3">
      <c r="B34" s="88">
        <v>11129</v>
      </c>
      <c r="C34" s="2">
        <v>11129</v>
      </c>
    </row>
    <row r="35" spans="2:3" x14ac:dyDescent="0.3">
      <c r="B35" s="88">
        <v>11293</v>
      </c>
      <c r="C35" s="2">
        <v>11293</v>
      </c>
    </row>
    <row r="36" spans="2:3" x14ac:dyDescent="0.3">
      <c r="B36" s="88">
        <v>11398</v>
      </c>
      <c r="C36" s="2">
        <v>11398</v>
      </c>
    </row>
    <row r="37" spans="2:3" x14ac:dyDescent="0.3">
      <c r="B37" s="88">
        <v>11704</v>
      </c>
      <c r="C37" s="2">
        <v>11704</v>
      </c>
    </row>
    <row r="38" spans="2:3" x14ac:dyDescent="0.3">
      <c r="B38" s="88">
        <v>12397</v>
      </c>
      <c r="C38" s="2">
        <v>12397</v>
      </c>
    </row>
    <row r="39" spans="2:3" x14ac:dyDescent="0.3">
      <c r="B39" s="88">
        <v>12843</v>
      </c>
      <c r="C39" s="2">
        <v>12843</v>
      </c>
    </row>
    <row r="40" spans="2:3" x14ac:dyDescent="0.3">
      <c r="B40" s="88">
        <v>13115</v>
      </c>
      <c r="C40" s="2">
        <v>13115</v>
      </c>
    </row>
    <row r="41" spans="2:3" x14ac:dyDescent="0.3">
      <c r="B41" s="88">
        <v>13538</v>
      </c>
      <c r="C41" s="2">
        <v>13538</v>
      </c>
    </row>
    <row r="42" spans="2:3" x14ac:dyDescent="0.3">
      <c r="B42" s="88">
        <v>13683</v>
      </c>
      <c r="C42" s="2">
        <v>13683</v>
      </c>
    </row>
    <row r="43" spans="2:3" x14ac:dyDescent="0.3">
      <c r="B43" s="88">
        <v>13751</v>
      </c>
      <c r="C43" s="2">
        <v>13751</v>
      </c>
    </row>
    <row r="44" spans="2:3" x14ac:dyDescent="0.3">
      <c r="B44" s="88">
        <v>13957</v>
      </c>
      <c r="C44" s="2">
        <v>13957</v>
      </c>
    </row>
    <row r="45" spans="2:3" x14ac:dyDescent="0.3">
      <c r="B45" s="88">
        <v>14518</v>
      </c>
      <c r="C45" s="2">
        <v>14518</v>
      </c>
    </row>
    <row r="46" spans="2:3" x14ac:dyDescent="0.3">
      <c r="B46" s="88">
        <v>14678</v>
      </c>
      <c r="C46" s="2">
        <v>14678</v>
      </c>
    </row>
    <row r="47" spans="2:3" x14ac:dyDescent="0.3">
      <c r="B47" s="88">
        <v>15062</v>
      </c>
      <c r="C47" s="2">
        <v>15062</v>
      </c>
    </row>
    <row r="48" spans="2:3" x14ac:dyDescent="0.3">
      <c r="B48" s="88">
        <v>15198</v>
      </c>
      <c r="C48" s="2">
        <v>15198</v>
      </c>
    </row>
    <row r="49" spans="2:3" x14ac:dyDescent="0.3">
      <c r="B49" s="88">
        <v>15286</v>
      </c>
      <c r="C49" s="2">
        <v>15286</v>
      </c>
    </row>
    <row r="50" spans="2:3" x14ac:dyDescent="0.3">
      <c r="B50" s="88">
        <v>15394</v>
      </c>
      <c r="C50" s="2">
        <v>15394</v>
      </c>
    </row>
    <row r="51" spans="2:3" x14ac:dyDescent="0.3">
      <c r="B51" s="88">
        <v>15492</v>
      </c>
      <c r="C51" s="2">
        <v>15492</v>
      </c>
    </row>
    <row r="52" spans="2:3" x14ac:dyDescent="0.3">
      <c r="B52" s="88">
        <v>15623</v>
      </c>
      <c r="C52" s="2">
        <v>15623</v>
      </c>
    </row>
    <row r="53" spans="2:3" x14ac:dyDescent="0.3">
      <c r="B53" s="88">
        <v>15633</v>
      </c>
      <c r="C53" s="2">
        <v>15633</v>
      </c>
    </row>
    <row r="54" spans="2:3" x14ac:dyDescent="0.3">
      <c r="B54" s="88">
        <v>16086</v>
      </c>
      <c r="C54" s="2">
        <v>16086</v>
      </c>
    </row>
    <row r="55" spans="2:3" x14ac:dyDescent="0.3">
      <c r="B55" s="88">
        <v>16114</v>
      </c>
      <c r="C55" s="2">
        <v>16114</v>
      </c>
    </row>
    <row r="56" spans="2:3" x14ac:dyDescent="0.3">
      <c r="B56" s="88">
        <v>16153</v>
      </c>
      <c r="C56" s="2">
        <v>16153</v>
      </c>
    </row>
    <row r="57" spans="2:3" x14ac:dyDescent="0.3">
      <c r="B57" s="88">
        <v>16164</v>
      </c>
      <c r="C57" s="2">
        <v>16164</v>
      </c>
    </row>
    <row r="58" spans="2:3" x14ac:dyDescent="0.3">
      <c r="B58" s="88">
        <v>16312</v>
      </c>
      <c r="C58" s="2">
        <v>16312</v>
      </c>
    </row>
    <row r="59" spans="2:3" x14ac:dyDescent="0.3">
      <c r="B59" s="88">
        <v>16356</v>
      </c>
      <c r="C59" s="2">
        <v>16356</v>
      </c>
    </row>
    <row r="60" spans="2:3" x14ac:dyDescent="0.3">
      <c r="B60" s="88">
        <v>16720</v>
      </c>
      <c r="C60" s="2">
        <v>16720</v>
      </c>
    </row>
    <row r="61" spans="2:3" x14ac:dyDescent="0.3">
      <c r="B61" s="88">
        <v>16927</v>
      </c>
      <c r="C61" s="2">
        <v>16927</v>
      </c>
    </row>
    <row r="62" spans="2:3" x14ac:dyDescent="0.3">
      <c r="B62" s="88">
        <v>17043</v>
      </c>
      <c r="C62" s="2">
        <v>17043</v>
      </c>
    </row>
    <row r="63" spans="2:3" x14ac:dyDescent="0.3">
      <c r="B63" s="88">
        <v>17219</v>
      </c>
      <c r="C63" s="2">
        <v>17219</v>
      </c>
    </row>
    <row r="64" spans="2:3" x14ac:dyDescent="0.3">
      <c r="B64" s="88">
        <v>17600</v>
      </c>
      <c r="C64" s="2">
        <v>17600</v>
      </c>
    </row>
    <row r="65" spans="2:3" x14ac:dyDescent="0.3">
      <c r="B65" s="88">
        <v>17744</v>
      </c>
      <c r="C65" s="2">
        <v>17744</v>
      </c>
    </row>
    <row r="66" spans="2:3" x14ac:dyDescent="0.3">
      <c r="B66" s="88">
        <v>17790</v>
      </c>
      <c r="C66" s="2">
        <v>17790</v>
      </c>
    </row>
    <row r="67" spans="2:3" x14ac:dyDescent="0.3">
      <c r="B67" s="88">
        <v>17813</v>
      </c>
      <c r="C67" s="2">
        <v>17813</v>
      </c>
    </row>
    <row r="68" spans="2:3" x14ac:dyDescent="0.3">
      <c r="B68" s="88">
        <v>17838</v>
      </c>
      <c r="C68" s="2">
        <v>17838</v>
      </c>
    </row>
    <row r="69" spans="2:3" x14ac:dyDescent="0.3">
      <c r="B69" s="88">
        <v>17961</v>
      </c>
      <c r="C69" s="2">
        <v>17961</v>
      </c>
    </row>
    <row r="70" spans="2:3" x14ac:dyDescent="0.3">
      <c r="B70" s="88">
        <v>17962</v>
      </c>
      <c r="C70" s="2">
        <v>17962</v>
      </c>
    </row>
    <row r="71" spans="2:3" x14ac:dyDescent="0.3">
      <c r="B71" s="88">
        <v>18319</v>
      </c>
      <c r="C71" s="2">
        <v>18319</v>
      </c>
    </row>
    <row r="72" spans="2:3" x14ac:dyDescent="0.3">
      <c r="B72" s="88">
        <v>18412</v>
      </c>
      <c r="C72" s="2">
        <v>18412</v>
      </c>
    </row>
    <row r="73" spans="2:3" x14ac:dyDescent="0.3">
      <c r="B73" s="88">
        <v>18564</v>
      </c>
      <c r="C73" s="2">
        <v>18564</v>
      </c>
    </row>
    <row r="74" spans="2:3" x14ac:dyDescent="0.3">
      <c r="B74" s="88">
        <v>19330</v>
      </c>
      <c r="C74" s="2">
        <v>19330</v>
      </c>
    </row>
    <row r="75" spans="2:3" x14ac:dyDescent="0.3">
      <c r="B75" s="88">
        <v>19836</v>
      </c>
      <c r="C75" s="2">
        <v>19836</v>
      </c>
    </row>
    <row r="76" spans="2:3" x14ac:dyDescent="0.3">
      <c r="B76" s="88">
        <v>21962</v>
      </c>
      <c r="C76" s="2">
        <v>21962</v>
      </c>
    </row>
    <row r="77" spans="2:3" x14ac:dyDescent="0.3">
      <c r="B77" s="88">
        <v>22954</v>
      </c>
      <c r="C77" s="2">
        <v>22954</v>
      </c>
    </row>
    <row r="78" spans="2:3" x14ac:dyDescent="0.3">
      <c r="B78" s="88">
        <v>23057</v>
      </c>
      <c r="C78" s="2">
        <v>23057</v>
      </c>
    </row>
    <row r="79" spans="2:3" x14ac:dyDescent="0.3">
      <c r="B79" s="88">
        <v>23227</v>
      </c>
      <c r="C79" s="2">
        <v>23227</v>
      </c>
    </row>
    <row r="80" spans="2:3" x14ac:dyDescent="0.3">
      <c r="B80" s="88">
        <v>23351</v>
      </c>
      <c r="C80" s="2">
        <v>23351</v>
      </c>
    </row>
    <row r="81" spans="2:3" x14ac:dyDescent="0.3">
      <c r="B81" s="88">
        <v>23462</v>
      </c>
      <c r="C81" s="2">
        <v>23462</v>
      </c>
    </row>
    <row r="82" spans="2:3" x14ac:dyDescent="0.3">
      <c r="B82" s="88">
        <v>23556</v>
      </c>
      <c r="C82" s="2">
        <v>23556</v>
      </c>
    </row>
    <row r="83" spans="2:3" x14ac:dyDescent="0.3">
      <c r="B83" s="88">
        <v>23772</v>
      </c>
      <c r="C83" s="2">
        <v>23772</v>
      </c>
    </row>
    <row r="84" spans="2:3" x14ac:dyDescent="0.3">
      <c r="B84" s="88">
        <v>23995</v>
      </c>
      <c r="C84" s="2">
        <v>23995</v>
      </c>
    </row>
    <row r="85" spans="2:3" x14ac:dyDescent="0.3">
      <c r="B85" s="88">
        <v>24008</v>
      </c>
      <c r="C85" s="2">
        <v>24008</v>
      </c>
    </row>
    <row r="86" spans="2:3" x14ac:dyDescent="0.3">
      <c r="B86" s="88">
        <v>24160</v>
      </c>
      <c r="C86" s="2">
        <v>24160</v>
      </c>
    </row>
    <row r="87" spans="2:3" x14ac:dyDescent="0.3">
      <c r="B87" s="88">
        <v>24205</v>
      </c>
      <c r="C87" s="2">
        <v>24205</v>
      </c>
    </row>
    <row r="88" spans="2:3" x14ac:dyDescent="0.3">
      <c r="B88" s="88">
        <v>24351</v>
      </c>
      <c r="C88" s="2">
        <v>24351</v>
      </c>
    </row>
    <row r="89" spans="2:3" x14ac:dyDescent="0.3">
      <c r="B89" s="88">
        <v>24355</v>
      </c>
      <c r="C89" s="2">
        <v>24355</v>
      </c>
    </row>
    <row r="90" spans="2:3" x14ac:dyDescent="0.3">
      <c r="B90" s="88">
        <v>24373</v>
      </c>
      <c r="C90" s="2">
        <v>24373</v>
      </c>
    </row>
    <row r="91" spans="2:3" x14ac:dyDescent="0.3">
      <c r="B91" s="88">
        <v>24563</v>
      </c>
      <c r="C91" s="2">
        <v>24563</v>
      </c>
    </row>
    <row r="92" spans="2:3" x14ac:dyDescent="0.3">
      <c r="B92" s="88">
        <v>24574</v>
      </c>
      <c r="C92" s="2">
        <v>24574</v>
      </c>
    </row>
    <row r="93" spans="2:3" x14ac:dyDescent="0.3">
      <c r="B93" s="88">
        <v>24949</v>
      </c>
      <c r="C93" s="2">
        <v>24949</v>
      </c>
    </row>
    <row r="94" spans="2:3" x14ac:dyDescent="0.3">
      <c r="B94" s="88">
        <v>25089</v>
      </c>
      <c r="C94" s="2">
        <v>25089</v>
      </c>
    </row>
    <row r="95" spans="2:3" x14ac:dyDescent="0.3">
      <c r="B95" s="88">
        <v>25895</v>
      </c>
      <c r="C95" s="2">
        <v>25895</v>
      </c>
    </row>
    <row r="96" spans="2:3" x14ac:dyDescent="0.3">
      <c r="B96" s="88">
        <v>26119</v>
      </c>
      <c r="C96" s="2">
        <v>26119</v>
      </c>
    </row>
    <row r="97" spans="2:3" x14ac:dyDescent="0.3">
      <c r="B97" s="88">
        <v>26946</v>
      </c>
      <c r="C97" s="2">
        <v>26946</v>
      </c>
    </row>
    <row r="98" spans="2:3" x14ac:dyDescent="0.3">
      <c r="B98" s="88">
        <v>27042</v>
      </c>
      <c r="C98" s="2">
        <v>27042</v>
      </c>
    </row>
    <row r="99" spans="2:3" x14ac:dyDescent="0.3">
      <c r="B99" s="88">
        <v>27168</v>
      </c>
      <c r="C99" s="2">
        <v>27168</v>
      </c>
    </row>
    <row r="100" spans="2:3" x14ac:dyDescent="0.3">
      <c r="B100" s="88">
        <v>27204</v>
      </c>
      <c r="C100" s="2">
        <v>27204</v>
      </c>
    </row>
    <row r="101" spans="2:3" x14ac:dyDescent="0.3">
      <c r="B101" s="88">
        <v>27237</v>
      </c>
      <c r="C101" s="2">
        <v>27237</v>
      </c>
    </row>
    <row r="102" spans="2:3" x14ac:dyDescent="0.3">
      <c r="B102" s="88">
        <v>27330</v>
      </c>
      <c r="C102" s="2">
        <v>27330</v>
      </c>
    </row>
    <row r="103" spans="2:3" x14ac:dyDescent="0.3">
      <c r="B103" s="88">
        <v>27652</v>
      </c>
      <c r="C103" s="2">
        <v>27652</v>
      </c>
    </row>
    <row r="104" spans="2:3" x14ac:dyDescent="0.3">
      <c r="B104" s="88">
        <v>27808</v>
      </c>
      <c r="C104" s="2">
        <v>27808</v>
      </c>
    </row>
    <row r="105" spans="2:3" x14ac:dyDescent="0.3">
      <c r="B105" s="88">
        <v>28283</v>
      </c>
      <c r="C105" s="2">
        <v>56566</v>
      </c>
    </row>
    <row r="106" spans="2:3" x14ac:dyDescent="0.3">
      <c r="B106" s="88">
        <v>28299</v>
      </c>
      <c r="C106" s="2">
        <v>28299</v>
      </c>
    </row>
    <row r="107" spans="2:3" x14ac:dyDescent="0.3">
      <c r="B107" s="88">
        <v>28304</v>
      </c>
      <c r="C107" s="2">
        <v>28304</v>
      </c>
    </row>
    <row r="108" spans="2:3" x14ac:dyDescent="0.3">
      <c r="B108" s="88">
        <v>28550</v>
      </c>
      <c r="C108" s="2">
        <v>28550</v>
      </c>
    </row>
    <row r="109" spans="2:3" x14ac:dyDescent="0.3">
      <c r="B109" s="88">
        <v>28675</v>
      </c>
      <c r="C109" s="2">
        <v>28675</v>
      </c>
    </row>
    <row r="110" spans="2:3" x14ac:dyDescent="0.3">
      <c r="B110" s="88">
        <v>28780</v>
      </c>
      <c r="C110" s="2">
        <v>28780</v>
      </c>
    </row>
    <row r="111" spans="2:3" x14ac:dyDescent="0.3">
      <c r="B111" s="88">
        <v>28941</v>
      </c>
      <c r="C111" s="2">
        <v>28941</v>
      </c>
    </row>
    <row r="112" spans="2:3" x14ac:dyDescent="0.3">
      <c r="B112" s="88">
        <v>29189</v>
      </c>
      <c r="C112" s="2">
        <v>29189</v>
      </c>
    </row>
    <row r="113" spans="2:3" x14ac:dyDescent="0.3">
      <c r="B113" s="88">
        <v>29264</v>
      </c>
      <c r="C113" s="2">
        <v>29264</v>
      </c>
    </row>
    <row r="114" spans="2:3" x14ac:dyDescent="0.3">
      <c r="B114" s="88">
        <v>29284</v>
      </c>
      <c r="C114" s="2">
        <v>29284</v>
      </c>
    </row>
    <row r="115" spans="2:3" x14ac:dyDescent="0.3">
      <c r="B115" s="88">
        <v>29333</v>
      </c>
      <c r="C115" s="2">
        <v>29333</v>
      </c>
    </row>
    <row r="116" spans="2:3" x14ac:dyDescent="0.3">
      <c r="B116" s="88">
        <v>29529</v>
      </c>
      <c r="C116" s="2">
        <v>29529</v>
      </c>
    </row>
    <row r="117" spans="2:3" x14ac:dyDescent="0.3">
      <c r="B117" s="88">
        <v>29633</v>
      </c>
      <c r="C117" s="2">
        <v>29633</v>
      </c>
    </row>
    <row r="118" spans="2:3" x14ac:dyDescent="0.3">
      <c r="B118" s="88">
        <v>29664</v>
      </c>
      <c r="C118" s="2">
        <v>29664</v>
      </c>
    </row>
    <row r="119" spans="2:3" x14ac:dyDescent="0.3">
      <c r="B119" s="88">
        <v>29702</v>
      </c>
      <c r="C119" s="2">
        <v>29702</v>
      </c>
    </row>
    <row r="120" spans="2:3" x14ac:dyDescent="0.3">
      <c r="B120" s="88">
        <v>29875</v>
      </c>
      <c r="C120" s="2">
        <v>29875</v>
      </c>
    </row>
    <row r="121" spans="2:3" x14ac:dyDescent="0.3">
      <c r="B121" s="88">
        <v>30176</v>
      </c>
      <c r="C121" s="2">
        <v>30176</v>
      </c>
    </row>
    <row r="122" spans="2:3" x14ac:dyDescent="0.3">
      <c r="B122" s="88">
        <v>30638</v>
      </c>
      <c r="C122" s="2">
        <v>30638</v>
      </c>
    </row>
    <row r="123" spans="2:3" x14ac:dyDescent="0.3">
      <c r="B123" s="88">
        <v>31093</v>
      </c>
      <c r="C123" s="2">
        <v>31093</v>
      </c>
    </row>
    <row r="124" spans="2:3" x14ac:dyDescent="0.3">
      <c r="B124" s="88">
        <v>31606</v>
      </c>
      <c r="C124" s="2">
        <v>31606</v>
      </c>
    </row>
    <row r="125" spans="2:3" x14ac:dyDescent="0.3">
      <c r="B125" s="88">
        <v>31744</v>
      </c>
      <c r="C125" s="2">
        <v>31744</v>
      </c>
    </row>
    <row r="126" spans="2:3" x14ac:dyDescent="0.3">
      <c r="B126" s="88">
        <v>31783</v>
      </c>
      <c r="C126" s="2">
        <v>31783</v>
      </c>
    </row>
    <row r="127" spans="2:3" x14ac:dyDescent="0.3">
      <c r="B127" s="88">
        <v>31808</v>
      </c>
      <c r="C127" s="2">
        <v>31808</v>
      </c>
    </row>
    <row r="128" spans="2:3" x14ac:dyDescent="0.3">
      <c r="B128" s="88">
        <v>31944</v>
      </c>
      <c r="C128" s="2">
        <v>31944</v>
      </c>
    </row>
    <row r="129" spans="2:3" x14ac:dyDescent="0.3">
      <c r="B129" s="88">
        <v>32037</v>
      </c>
      <c r="C129" s="2">
        <v>32037</v>
      </c>
    </row>
    <row r="130" spans="2:3" x14ac:dyDescent="0.3">
      <c r="B130" s="88">
        <v>32267</v>
      </c>
      <c r="C130" s="2">
        <v>32267</v>
      </c>
    </row>
    <row r="131" spans="2:3" x14ac:dyDescent="0.3">
      <c r="B131" s="88">
        <v>32369</v>
      </c>
      <c r="C131" s="2">
        <v>32369</v>
      </c>
    </row>
    <row r="132" spans="2:3" x14ac:dyDescent="0.3">
      <c r="B132" s="88">
        <v>32581</v>
      </c>
      <c r="C132" s="2">
        <v>32581</v>
      </c>
    </row>
    <row r="133" spans="2:3" x14ac:dyDescent="0.3">
      <c r="B133" s="88">
        <v>32615</v>
      </c>
      <c r="C133" s="2">
        <v>32615</v>
      </c>
    </row>
    <row r="134" spans="2:3" x14ac:dyDescent="0.3">
      <c r="B134" s="88">
        <v>32711</v>
      </c>
      <c r="C134" s="2">
        <v>32711</v>
      </c>
    </row>
    <row r="135" spans="2:3" x14ac:dyDescent="0.3">
      <c r="B135" s="88">
        <v>32746</v>
      </c>
      <c r="C135" s="2">
        <v>32746</v>
      </c>
    </row>
    <row r="136" spans="2:3" x14ac:dyDescent="0.3">
      <c r="B136" s="88">
        <v>32751</v>
      </c>
      <c r="C136" s="2">
        <v>32751</v>
      </c>
    </row>
    <row r="137" spans="2:3" x14ac:dyDescent="0.3">
      <c r="B137" s="88">
        <v>32887</v>
      </c>
      <c r="C137" s="2">
        <v>32887</v>
      </c>
    </row>
    <row r="138" spans="2:3" x14ac:dyDescent="0.3">
      <c r="B138" s="88">
        <v>33117</v>
      </c>
      <c r="C138" s="2">
        <v>33117</v>
      </c>
    </row>
    <row r="139" spans="2:3" x14ac:dyDescent="0.3">
      <c r="B139" s="88">
        <v>33444</v>
      </c>
      <c r="C139" s="2">
        <v>33444</v>
      </c>
    </row>
    <row r="140" spans="2:3" x14ac:dyDescent="0.3">
      <c r="B140" s="88">
        <v>33599</v>
      </c>
      <c r="C140" s="2">
        <v>33599</v>
      </c>
    </row>
    <row r="141" spans="2:3" x14ac:dyDescent="0.3">
      <c r="B141" s="88">
        <v>33634</v>
      </c>
      <c r="C141" s="2">
        <v>33634</v>
      </c>
    </row>
    <row r="142" spans="2:3" x14ac:dyDescent="0.3">
      <c r="B142" s="88">
        <v>33856</v>
      </c>
      <c r="C142" s="2">
        <v>33856</v>
      </c>
    </row>
    <row r="143" spans="2:3" x14ac:dyDescent="0.3">
      <c r="B143" s="88">
        <v>33937</v>
      </c>
      <c r="C143" s="2">
        <v>33937</v>
      </c>
    </row>
    <row r="144" spans="2:3" x14ac:dyDescent="0.3">
      <c r="B144" s="88">
        <v>34000</v>
      </c>
      <c r="C144" s="2">
        <v>34000</v>
      </c>
    </row>
    <row r="145" spans="2:3" x14ac:dyDescent="0.3">
      <c r="B145" s="88">
        <v>34062</v>
      </c>
      <c r="C145" s="2">
        <v>34062</v>
      </c>
    </row>
    <row r="146" spans="2:3" x14ac:dyDescent="0.3">
      <c r="B146" s="88">
        <v>34111</v>
      </c>
      <c r="C146" s="2">
        <v>34111</v>
      </c>
    </row>
    <row r="147" spans="2:3" x14ac:dyDescent="0.3">
      <c r="B147" s="88">
        <v>34215</v>
      </c>
      <c r="C147" s="2">
        <v>34215</v>
      </c>
    </row>
    <row r="148" spans="2:3" x14ac:dyDescent="0.3">
      <c r="B148" s="88">
        <v>34293</v>
      </c>
      <c r="C148" s="2">
        <v>34293</v>
      </c>
    </row>
    <row r="149" spans="2:3" x14ac:dyDescent="0.3">
      <c r="B149" s="88">
        <v>34620</v>
      </c>
      <c r="C149" s="2">
        <v>34620</v>
      </c>
    </row>
    <row r="150" spans="2:3" x14ac:dyDescent="0.3">
      <c r="B150" s="88">
        <v>35082</v>
      </c>
      <c r="C150" s="2">
        <v>35082</v>
      </c>
    </row>
    <row r="151" spans="2:3" x14ac:dyDescent="0.3">
      <c r="B151" s="88">
        <v>35096</v>
      </c>
      <c r="C151" s="2">
        <v>35096</v>
      </c>
    </row>
    <row r="152" spans="2:3" x14ac:dyDescent="0.3">
      <c r="B152" s="88">
        <v>35186</v>
      </c>
      <c r="C152" s="2">
        <v>35186</v>
      </c>
    </row>
    <row r="153" spans="2:3" x14ac:dyDescent="0.3">
      <c r="B153" s="88">
        <v>35471</v>
      </c>
      <c r="C153" s="2">
        <v>35471</v>
      </c>
    </row>
    <row r="154" spans="2:3" x14ac:dyDescent="0.3">
      <c r="B154" s="88">
        <v>35491</v>
      </c>
      <c r="C154" s="2">
        <v>35491</v>
      </c>
    </row>
    <row r="155" spans="2:3" x14ac:dyDescent="0.3">
      <c r="B155" s="88">
        <v>35785</v>
      </c>
      <c r="C155" s="2">
        <v>35785</v>
      </c>
    </row>
    <row r="156" spans="2:3" x14ac:dyDescent="0.3">
      <c r="B156" s="88">
        <v>35813</v>
      </c>
      <c r="C156" s="2">
        <v>35813</v>
      </c>
    </row>
    <row r="157" spans="2:3" x14ac:dyDescent="0.3">
      <c r="B157" s="88">
        <v>36167</v>
      </c>
      <c r="C157" s="2">
        <v>36167</v>
      </c>
    </row>
    <row r="158" spans="2:3" x14ac:dyDescent="0.3">
      <c r="B158" s="88">
        <v>36239</v>
      </c>
      <c r="C158" s="2">
        <v>36239</v>
      </c>
    </row>
    <row r="159" spans="2:3" x14ac:dyDescent="0.3">
      <c r="B159" s="88">
        <v>36782</v>
      </c>
      <c r="C159" s="2">
        <v>36782</v>
      </c>
    </row>
    <row r="160" spans="2:3" x14ac:dyDescent="0.3">
      <c r="B160" s="88">
        <v>37024</v>
      </c>
      <c r="C160" s="2">
        <v>37024</v>
      </c>
    </row>
    <row r="161" spans="2:3" x14ac:dyDescent="0.3">
      <c r="B161" s="88">
        <v>37282</v>
      </c>
      <c r="C161" s="2">
        <v>37282</v>
      </c>
    </row>
    <row r="162" spans="2:3" x14ac:dyDescent="0.3">
      <c r="B162" s="88">
        <v>37852</v>
      </c>
      <c r="C162" s="2">
        <v>37852</v>
      </c>
    </row>
    <row r="163" spans="2:3" x14ac:dyDescent="0.3">
      <c r="B163" s="88">
        <v>37991</v>
      </c>
      <c r="C163" s="2">
        <v>37991</v>
      </c>
    </row>
    <row r="164" spans="2:3" x14ac:dyDescent="0.3">
      <c r="B164" s="88">
        <v>38309</v>
      </c>
      <c r="C164" s="2">
        <v>38309</v>
      </c>
    </row>
    <row r="165" spans="2:3" x14ac:dyDescent="0.3">
      <c r="B165" s="88">
        <v>38979</v>
      </c>
      <c r="C165" s="2">
        <v>38979</v>
      </c>
    </row>
    <row r="166" spans="2:3" x14ac:dyDescent="0.3">
      <c r="B166" s="88">
        <v>40469</v>
      </c>
      <c r="C166" s="2">
        <v>40469</v>
      </c>
    </row>
    <row r="167" spans="2:3" x14ac:dyDescent="0.3">
      <c r="B167" s="88">
        <v>41357</v>
      </c>
      <c r="C167" s="2">
        <v>41357</v>
      </c>
    </row>
    <row r="168" spans="2:3" x14ac:dyDescent="0.3">
      <c r="B168" s="88">
        <v>41661</v>
      </c>
      <c r="C168" s="2">
        <v>41661</v>
      </c>
    </row>
    <row r="169" spans="2:3" x14ac:dyDescent="0.3">
      <c r="B169" s="88">
        <v>42920</v>
      </c>
      <c r="C169" s="2">
        <v>42920</v>
      </c>
    </row>
    <row r="170" spans="2:3" x14ac:dyDescent="0.3">
      <c r="B170" s="88">
        <v>43418</v>
      </c>
      <c r="C170" s="2">
        <v>43418</v>
      </c>
    </row>
    <row r="171" spans="2:3" x14ac:dyDescent="0.3">
      <c r="B171" s="88">
        <v>43739</v>
      </c>
      <c r="C171" s="2">
        <v>43739</v>
      </c>
    </row>
    <row r="172" spans="2:3" x14ac:dyDescent="0.3">
      <c r="B172" s="88">
        <v>44535</v>
      </c>
      <c r="C172" s="2">
        <v>44535</v>
      </c>
    </row>
    <row r="173" spans="2:3" x14ac:dyDescent="0.3">
      <c r="B173" s="88">
        <v>44624</v>
      </c>
      <c r="C173" s="2">
        <v>44624</v>
      </c>
    </row>
    <row r="174" spans="2:3" x14ac:dyDescent="0.3">
      <c r="B174" s="88">
        <v>46624</v>
      </c>
      <c r="C174" s="2">
        <v>46624</v>
      </c>
    </row>
    <row r="175" spans="2:3" x14ac:dyDescent="0.3">
      <c r="B175" s="88">
        <v>47469</v>
      </c>
      <c r="C175" s="2">
        <v>47469</v>
      </c>
    </row>
    <row r="176" spans="2:3" x14ac:dyDescent="0.3">
      <c r="B176" s="88">
        <v>48292</v>
      </c>
      <c r="C176" s="2">
        <v>48292</v>
      </c>
    </row>
    <row r="177" spans="2:3" x14ac:dyDescent="0.3">
      <c r="B177" s="88">
        <v>48747</v>
      </c>
      <c r="C177" s="2">
        <v>48747</v>
      </c>
    </row>
    <row r="178" spans="2:3" x14ac:dyDescent="0.3">
      <c r="B178" s="88">
        <v>48819</v>
      </c>
      <c r="C178" s="2">
        <v>48819</v>
      </c>
    </row>
    <row r="179" spans="2:3" x14ac:dyDescent="0.3">
      <c r="B179" s="88">
        <v>48881</v>
      </c>
      <c r="C179" s="2">
        <v>48881</v>
      </c>
    </row>
    <row r="180" spans="2:3" x14ac:dyDescent="0.3">
      <c r="B180" s="88">
        <v>49972</v>
      </c>
      <c r="C180" s="2">
        <v>49972</v>
      </c>
    </row>
    <row r="181" spans="2:3" x14ac:dyDescent="0.3">
      <c r="B181" s="88">
        <v>51022</v>
      </c>
      <c r="C181" s="2">
        <v>51022</v>
      </c>
    </row>
    <row r="182" spans="2:3" x14ac:dyDescent="0.3">
      <c r="B182" s="88">
        <v>51335</v>
      </c>
      <c r="C182" s="2">
        <v>51335</v>
      </c>
    </row>
    <row r="183" spans="2:3" x14ac:dyDescent="0.3">
      <c r="B183" s="88">
        <v>55140</v>
      </c>
      <c r="C183" s="2">
        <v>55140</v>
      </c>
    </row>
    <row r="184" spans="2:3" x14ac:dyDescent="0.3">
      <c r="B184" s="88">
        <v>55169</v>
      </c>
      <c r="C184" s="2">
        <v>55169</v>
      </c>
    </row>
    <row r="185" spans="2:3" x14ac:dyDescent="0.3">
      <c r="B185" s="88">
        <v>55861</v>
      </c>
      <c r="C185" s="2">
        <v>55861</v>
      </c>
    </row>
    <row r="186" spans="2:3" x14ac:dyDescent="0.3">
      <c r="B186" s="88">
        <v>55898</v>
      </c>
      <c r="C186" s="2">
        <v>55898</v>
      </c>
    </row>
    <row r="187" spans="2:3" x14ac:dyDescent="0.3">
      <c r="B187" s="88">
        <v>56069</v>
      </c>
      <c r="C187" s="2">
        <v>56069</v>
      </c>
    </row>
    <row r="188" spans="2:3" x14ac:dyDescent="0.3">
      <c r="B188" s="88">
        <v>56242</v>
      </c>
      <c r="C188" s="2">
        <v>56242</v>
      </c>
    </row>
    <row r="189" spans="2:3" x14ac:dyDescent="0.3">
      <c r="B189" s="88">
        <v>56357</v>
      </c>
      <c r="C189" s="2">
        <v>56357</v>
      </c>
    </row>
    <row r="190" spans="2:3" x14ac:dyDescent="0.3">
      <c r="B190" s="88">
        <v>57115</v>
      </c>
      <c r="C190" s="2">
        <v>57115</v>
      </c>
    </row>
    <row r="191" spans="2:3" x14ac:dyDescent="0.3">
      <c r="B191" s="88">
        <v>57322</v>
      </c>
      <c r="C191" s="2">
        <v>57322</v>
      </c>
    </row>
    <row r="192" spans="2:3" x14ac:dyDescent="0.3">
      <c r="B192" s="88">
        <v>57536</v>
      </c>
      <c r="C192" s="2">
        <v>57536</v>
      </c>
    </row>
    <row r="193" spans="2:3" x14ac:dyDescent="0.3">
      <c r="B193" s="88">
        <v>58710</v>
      </c>
      <c r="C193" s="2">
        <v>58710</v>
      </c>
    </row>
    <row r="194" spans="2:3" x14ac:dyDescent="0.3">
      <c r="B194" s="88">
        <v>60181</v>
      </c>
      <c r="C194" s="2">
        <v>60181</v>
      </c>
    </row>
    <row r="195" spans="2:3" x14ac:dyDescent="0.3">
      <c r="B195" s="88">
        <v>60381</v>
      </c>
      <c r="C195" s="2">
        <v>60381</v>
      </c>
    </row>
    <row r="196" spans="2:3" x14ac:dyDescent="0.3">
      <c r="B196" s="88">
        <v>60628</v>
      </c>
      <c r="C196" s="2">
        <v>60628</v>
      </c>
    </row>
    <row r="197" spans="2:3" x14ac:dyDescent="0.3">
      <c r="B197" s="88">
        <v>60731</v>
      </c>
      <c r="C197" s="2">
        <v>60731</v>
      </c>
    </row>
    <row r="198" spans="2:3" x14ac:dyDescent="0.3">
      <c r="B198" s="88">
        <v>60898</v>
      </c>
      <c r="C198" s="2">
        <v>60898</v>
      </c>
    </row>
    <row r="199" spans="2:3" x14ac:dyDescent="0.3">
      <c r="B199" s="88">
        <v>61174</v>
      </c>
      <c r="C199" s="2">
        <v>61174</v>
      </c>
    </row>
    <row r="200" spans="2:3" x14ac:dyDescent="0.3">
      <c r="B200" s="88">
        <v>61568</v>
      </c>
      <c r="C200" s="2">
        <v>61568</v>
      </c>
    </row>
    <row r="201" spans="2:3" x14ac:dyDescent="0.3">
      <c r="B201" s="88">
        <v>62424</v>
      </c>
      <c r="C201" s="2">
        <v>62424</v>
      </c>
    </row>
    <row r="202" spans="2:3" x14ac:dyDescent="0.3">
      <c r="B202" s="88">
        <v>62575</v>
      </c>
      <c r="C202" s="2">
        <v>62575</v>
      </c>
    </row>
    <row r="203" spans="2:3" x14ac:dyDescent="0.3">
      <c r="B203" s="88">
        <v>62985</v>
      </c>
      <c r="C203" s="2">
        <v>62985</v>
      </c>
    </row>
    <row r="204" spans="2:3" x14ac:dyDescent="0.3">
      <c r="B204" s="88">
        <v>63182</v>
      </c>
      <c r="C204" s="2">
        <v>63182</v>
      </c>
    </row>
    <row r="205" spans="2:3" x14ac:dyDescent="0.3">
      <c r="B205" s="88">
        <v>63600</v>
      </c>
      <c r="C205" s="2">
        <v>63600</v>
      </c>
    </row>
    <row r="206" spans="2:3" x14ac:dyDescent="0.3">
      <c r="B206" s="88">
        <v>63745</v>
      </c>
      <c r="C206" s="2">
        <v>63745</v>
      </c>
    </row>
    <row r="207" spans="2:3" x14ac:dyDescent="0.3">
      <c r="B207" s="88">
        <v>64764</v>
      </c>
      <c r="C207" s="2">
        <v>64764</v>
      </c>
    </row>
    <row r="208" spans="2:3" x14ac:dyDescent="0.3">
      <c r="B208" s="88">
        <v>64959</v>
      </c>
      <c r="C208" s="2">
        <v>64959</v>
      </c>
    </row>
    <row r="209" spans="2:3" x14ac:dyDescent="0.3">
      <c r="B209" s="88">
        <v>65022</v>
      </c>
      <c r="C209" s="2">
        <v>65022</v>
      </c>
    </row>
    <row r="210" spans="2:3" x14ac:dyDescent="0.3">
      <c r="B210" s="88">
        <v>65283</v>
      </c>
      <c r="C210" s="2">
        <v>65283</v>
      </c>
    </row>
    <row r="211" spans="2:3" x14ac:dyDescent="0.3">
      <c r="B211" s="88">
        <v>65584</v>
      </c>
      <c r="C211" s="2">
        <v>65584</v>
      </c>
    </row>
    <row r="212" spans="2:3" x14ac:dyDescent="0.3">
      <c r="B212" s="88">
        <v>65731</v>
      </c>
      <c r="C212" s="2">
        <v>65731</v>
      </c>
    </row>
    <row r="213" spans="2:3" x14ac:dyDescent="0.3">
      <c r="B213" s="88">
        <v>65747</v>
      </c>
      <c r="C213" s="2">
        <v>65747</v>
      </c>
    </row>
    <row r="214" spans="2:3" x14ac:dyDescent="0.3">
      <c r="B214" s="88">
        <v>65818</v>
      </c>
      <c r="C214" s="2">
        <v>65818</v>
      </c>
    </row>
    <row r="215" spans="2:3" x14ac:dyDescent="0.3">
      <c r="B215" s="88">
        <v>66026</v>
      </c>
      <c r="C215" s="2">
        <v>66026</v>
      </c>
    </row>
    <row r="216" spans="2:3" x14ac:dyDescent="0.3">
      <c r="B216" s="88">
        <v>67110</v>
      </c>
      <c r="C216" s="2">
        <v>67110</v>
      </c>
    </row>
    <row r="217" spans="2:3" x14ac:dyDescent="0.3">
      <c r="B217" s="88">
        <v>67411</v>
      </c>
      <c r="C217" s="2">
        <v>67411</v>
      </c>
    </row>
    <row r="218" spans="2:3" x14ac:dyDescent="0.3">
      <c r="B218" s="88">
        <v>67506</v>
      </c>
      <c r="C218" s="2">
        <v>67506</v>
      </c>
    </row>
    <row r="219" spans="2:3" x14ac:dyDescent="0.3">
      <c r="B219" s="88">
        <v>67781</v>
      </c>
      <c r="C219" s="2">
        <v>67781</v>
      </c>
    </row>
    <row r="220" spans="2:3" x14ac:dyDescent="0.3">
      <c r="B220" s="88">
        <v>67884</v>
      </c>
      <c r="C220" s="2">
        <v>67884</v>
      </c>
    </row>
    <row r="221" spans="2:3" x14ac:dyDescent="0.3">
      <c r="B221" s="88">
        <v>68236</v>
      </c>
      <c r="C221" s="2">
        <v>68236</v>
      </c>
    </row>
    <row r="222" spans="2:3" x14ac:dyDescent="0.3">
      <c r="B222" s="88">
        <v>68462</v>
      </c>
      <c r="C222" s="2">
        <v>68462</v>
      </c>
    </row>
    <row r="223" spans="2:3" x14ac:dyDescent="0.3">
      <c r="B223" s="88">
        <v>68823</v>
      </c>
      <c r="C223" s="2">
        <v>68823</v>
      </c>
    </row>
    <row r="224" spans="2:3" x14ac:dyDescent="0.3">
      <c r="B224" s="88">
        <v>68869</v>
      </c>
      <c r="C224" s="2">
        <v>68869</v>
      </c>
    </row>
    <row r="225" spans="2:3" x14ac:dyDescent="0.3">
      <c r="B225" s="88">
        <v>68936</v>
      </c>
      <c r="C225" s="2">
        <v>68936</v>
      </c>
    </row>
    <row r="226" spans="2:3" x14ac:dyDescent="0.3">
      <c r="B226" s="88">
        <v>69100</v>
      </c>
      <c r="C226" s="2">
        <v>69100</v>
      </c>
    </row>
    <row r="227" spans="2:3" x14ac:dyDescent="0.3">
      <c r="B227" s="88">
        <v>69297</v>
      </c>
      <c r="C227" s="2">
        <v>69297</v>
      </c>
    </row>
    <row r="228" spans="2:3" x14ac:dyDescent="0.3">
      <c r="B228" s="88">
        <v>69580</v>
      </c>
      <c r="C228" s="2">
        <v>69580</v>
      </c>
    </row>
    <row r="229" spans="2:3" x14ac:dyDescent="0.3">
      <c r="B229" s="88">
        <v>69698</v>
      </c>
      <c r="C229" s="2">
        <v>69698</v>
      </c>
    </row>
    <row r="230" spans="2:3" x14ac:dyDescent="0.3">
      <c r="B230" s="88">
        <v>69804</v>
      </c>
      <c r="C230" s="2">
        <v>69804</v>
      </c>
    </row>
    <row r="231" spans="2:3" x14ac:dyDescent="0.3">
      <c r="B231" s="88">
        <v>69877</v>
      </c>
      <c r="C231" s="2">
        <v>69877</v>
      </c>
    </row>
    <row r="232" spans="2:3" x14ac:dyDescent="0.3">
      <c r="B232" s="88">
        <v>70433</v>
      </c>
      <c r="C232" s="2">
        <v>70433</v>
      </c>
    </row>
    <row r="233" spans="2:3" x14ac:dyDescent="0.3">
      <c r="B233" s="88">
        <v>70757</v>
      </c>
      <c r="C233" s="2">
        <v>70757</v>
      </c>
    </row>
    <row r="234" spans="2:3" x14ac:dyDescent="0.3">
      <c r="B234" s="88">
        <v>71143</v>
      </c>
      <c r="C234" s="2">
        <v>71143</v>
      </c>
    </row>
    <row r="235" spans="2:3" x14ac:dyDescent="0.3">
      <c r="B235" s="88">
        <v>71959</v>
      </c>
      <c r="C235" s="2">
        <v>71959</v>
      </c>
    </row>
    <row r="236" spans="2:3" x14ac:dyDescent="0.3">
      <c r="B236" s="88">
        <v>72045</v>
      </c>
      <c r="C236" s="2">
        <v>72045</v>
      </c>
    </row>
    <row r="237" spans="2:3" x14ac:dyDescent="0.3">
      <c r="B237" s="88">
        <v>72428</v>
      </c>
      <c r="C237" s="2">
        <v>72428</v>
      </c>
    </row>
    <row r="238" spans="2:3" x14ac:dyDescent="0.3">
      <c r="B238" s="88">
        <v>72594</v>
      </c>
      <c r="C238" s="2">
        <v>72594</v>
      </c>
    </row>
    <row r="239" spans="2:3" x14ac:dyDescent="0.3">
      <c r="B239" s="88">
        <v>73084</v>
      </c>
      <c r="C239" s="2">
        <v>73084</v>
      </c>
    </row>
    <row r="240" spans="2:3" x14ac:dyDescent="0.3">
      <c r="B240" s="88">
        <v>73572</v>
      </c>
      <c r="C240" s="2">
        <v>73572</v>
      </c>
    </row>
    <row r="241" spans="2:3" x14ac:dyDescent="0.3">
      <c r="B241" s="88">
        <v>73678</v>
      </c>
      <c r="C241" s="2">
        <v>73678</v>
      </c>
    </row>
    <row r="242" spans="2:3" x14ac:dyDescent="0.3">
      <c r="B242" s="88">
        <v>73805</v>
      </c>
      <c r="C242" s="2">
        <v>73805</v>
      </c>
    </row>
    <row r="243" spans="2:3" x14ac:dyDescent="0.3">
      <c r="B243" s="88">
        <v>73891</v>
      </c>
      <c r="C243" s="2">
        <v>73891</v>
      </c>
    </row>
    <row r="244" spans="2:3" x14ac:dyDescent="0.3">
      <c r="B244" s="88">
        <v>74147</v>
      </c>
      <c r="C244" s="2">
        <v>74147</v>
      </c>
    </row>
    <row r="245" spans="2:3" x14ac:dyDescent="0.3">
      <c r="B245" s="88">
        <v>74219</v>
      </c>
      <c r="C245" s="2">
        <v>74219</v>
      </c>
    </row>
    <row r="246" spans="2:3" x14ac:dyDescent="0.3">
      <c r="B246" s="88">
        <v>74327</v>
      </c>
      <c r="C246" s="2">
        <v>74327</v>
      </c>
    </row>
    <row r="247" spans="2:3" x14ac:dyDescent="0.3">
      <c r="B247" s="88">
        <v>74806</v>
      </c>
      <c r="C247" s="2">
        <v>74806</v>
      </c>
    </row>
    <row r="248" spans="2:3" x14ac:dyDescent="0.3">
      <c r="B248" s="88">
        <v>74933</v>
      </c>
      <c r="C248" s="2">
        <v>74933</v>
      </c>
    </row>
    <row r="249" spans="2:3" x14ac:dyDescent="0.3">
      <c r="B249" s="88">
        <v>75203</v>
      </c>
      <c r="C249" s="2">
        <v>75203</v>
      </c>
    </row>
    <row r="250" spans="2:3" x14ac:dyDescent="0.3">
      <c r="B250" s="88">
        <v>75966</v>
      </c>
      <c r="C250" s="2">
        <v>75966</v>
      </c>
    </row>
    <row r="251" spans="2:3" x14ac:dyDescent="0.3">
      <c r="B251" s="88">
        <v>76092</v>
      </c>
      <c r="C251" s="2">
        <v>76092</v>
      </c>
    </row>
    <row r="252" spans="2:3" x14ac:dyDescent="0.3">
      <c r="B252" s="88">
        <v>76514</v>
      </c>
      <c r="C252" s="2">
        <v>76514</v>
      </c>
    </row>
    <row r="253" spans="2:3" x14ac:dyDescent="0.3">
      <c r="B253" s="88">
        <v>76936</v>
      </c>
      <c r="C253" s="2">
        <v>76936</v>
      </c>
    </row>
    <row r="254" spans="2:3" x14ac:dyDescent="0.3">
      <c r="B254" s="88">
        <v>76983</v>
      </c>
      <c r="C254" s="2">
        <v>76983</v>
      </c>
    </row>
    <row r="255" spans="2:3" x14ac:dyDescent="0.3">
      <c r="B255" s="88">
        <v>77173</v>
      </c>
      <c r="C255" s="2">
        <v>77173</v>
      </c>
    </row>
    <row r="256" spans="2:3" x14ac:dyDescent="0.3">
      <c r="B256" s="88">
        <v>77310</v>
      </c>
      <c r="C256" s="2">
        <v>77310</v>
      </c>
    </row>
    <row r="257" spans="2:3" x14ac:dyDescent="0.3">
      <c r="B257" s="88">
        <v>77513</v>
      </c>
      <c r="C257" s="2">
        <v>77513</v>
      </c>
    </row>
    <row r="258" spans="2:3" x14ac:dyDescent="0.3">
      <c r="B258" s="88">
        <v>78428</v>
      </c>
      <c r="C258" s="2">
        <v>78428</v>
      </c>
    </row>
    <row r="259" spans="2:3" x14ac:dyDescent="0.3">
      <c r="B259" s="88">
        <v>78740</v>
      </c>
      <c r="C259" s="2">
        <v>78740</v>
      </c>
    </row>
    <row r="260" spans="2:3" x14ac:dyDescent="0.3">
      <c r="B260" s="88">
        <v>79076</v>
      </c>
      <c r="C260" s="2">
        <v>79076</v>
      </c>
    </row>
    <row r="261" spans="2:3" x14ac:dyDescent="0.3">
      <c r="B261" s="88">
        <v>80304</v>
      </c>
      <c r="C261" s="2">
        <v>80304</v>
      </c>
    </row>
    <row r="262" spans="2:3" x14ac:dyDescent="0.3">
      <c r="B262" s="88">
        <v>80637</v>
      </c>
      <c r="C262" s="2">
        <v>80637</v>
      </c>
    </row>
    <row r="263" spans="2:3" x14ac:dyDescent="0.3">
      <c r="B263" s="88">
        <v>80894</v>
      </c>
      <c r="C263" s="2">
        <v>80894</v>
      </c>
    </row>
    <row r="264" spans="2:3" x14ac:dyDescent="0.3">
      <c r="B264" s="88">
        <v>82959</v>
      </c>
      <c r="C264" s="2">
        <v>82959</v>
      </c>
    </row>
    <row r="265" spans="2:3" x14ac:dyDescent="0.3">
      <c r="B265" s="88">
        <v>84369</v>
      </c>
      <c r="C265" s="2">
        <v>84369</v>
      </c>
    </row>
    <row r="266" spans="2:3" x14ac:dyDescent="0.3">
      <c r="B266" s="88">
        <v>84419</v>
      </c>
      <c r="C266" s="2">
        <v>84419</v>
      </c>
    </row>
    <row r="267" spans="2:3" x14ac:dyDescent="0.3">
      <c r="B267" s="88">
        <v>84506</v>
      </c>
      <c r="C267" s="2">
        <v>84506</v>
      </c>
    </row>
    <row r="268" spans="2:3" x14ac:dyDescent="0.3">
      <c r="B268" s="88">
        <v>84752</v>
      </c>
      <c r="C268" s="2">
        <v>84752</v>
      </c>
    </row>
    <row r="269" spans="2:3" x14ac:dyDescent="0.3">
      <c r="B269" s="88">
        <v>86815</v>
      </c>
      <c r="C269" s="2">
        <v>86815</v>
      </c>
    </row>
    <row r="270" spans="2:3" x14ac:dyDescent="0.3">
      <c r="B270" s="88">
        <v>86894</v>
      </c>
      <c r="C270" s="2">
        <v>86894</v>
      </c>
    </row>
    <row r="271" spans="2:3" x14ac:dyDescent="0.3">
      <c r="B271" s="88">
        <v>87330</v>
      </c>
      <c r="C271" s="2">
        <v>87330</v>
      </c>
    </row>
    <row r="272" spans="2:3" x14ac:dyDescent="0.3">
      <c r="B272" s="88">
        <v>87960</v>
      </c>
      <c r="C272" s="2">
        <v>87960</v>
      </c>
    </row>
    <row r="273" spans="2:3" x14ac:dyDescent="0.3">
      <c r="B273" s="88">
        <v>89219</v>
      </c>
      <c r="C273" s="2">
        <v>89219</v>
      </c>
    </row>
    <row r="274" spans="2:3" x14ac:dyDescent="0.3">
      <c r="B274" s="88">
        <v>90109</v>
      </c>
      <c r="C274" s="2">
        <v>90109</v>
      </c>
    </row>
    <row r="275" spans="2:3" x14ac:dyDescent="0.3">
      <c r="B275" s="88">
        <v>92688</v>
      </c>
      <c r="C275" s="2">
        <v>92688</v>
      </c>
    </row>
    <row r="276" spans="2:3" x14ac:dyDescent="0.3">
      <c r="B276" s="88">
        <v>93003</v>
      </c>
      <c r="C276" s="2">
        <v>93003</v>
      </c>
    </row>
    <row r="277" spans="2:3" x14ac:dyDescent="0.3">
      <c r="B277" s="88">
        <v>94393</v>
      </c>
      <c r="C277" s="2">
        <v>94393</v>
      </c>
    </row>
    <row r="278" spans="2:3" x14ac:dyDescent="0.3">
      <c r="B278" s="88">
        <v>94567</v>
      </c>
      <c r="C278" s="2">
        <v>94567</v>
      </c>
    </row>
    <row r="279" spans="2:3" x14ac:dyDescent="0.3">
      <c r="B279" s="88">
        <v>94994</v>
      </c>
      <c r="C279" s="2">
        <v>94994</v>
      </c>
    </row>
    <row r="280" spans="2:3" x14ac:dyDescent="0.3">
      <c r="B280" s="88">
        <v>95104</v>
      </c>
      <c r="C280" s="2">
        <v>95104</v>
      </c>
    </row>
    <row r="281" spans="2:3" x14ac:dyDescent="0.3">
      <c r="B281" s="88">
        <v>95310</v>
      </c>
      <c r="C281" s="2">
        <v>95310</v>
      </c>
    </row>
    <row r="282" spans="2:3" x14ac:dyDescent="0.3">
      <c r="B282" s="88">
        <v>95450</v>
      </c>
      <c r="C282" s="2">
        <v>95450</v>
      </c>
    </row>
    <row r="283" spans="2:3" x14ac:dyDescent="0.3">
      <c r="B283" s="88">
        <v>96550</v>
      </c>
      <c r="C283" s="2">
        <v>96550</v>
      </c>
    </row>
    <row r="284" spans="2:3" x14ac:dyDescent="0.3">
      <c r="B284" s="88">
        <v>96577</v>
      </c>
      <c r="C284" s="2">
        <v>96577</v>
      </c>
    </row>
    <row r="285" spans="2:3" x14ac:dyDescent="0.3">
      <c r="B285" s="88">
        <v>97093</v>
      </c>
      <c r="C285" s="2">
        <v>97093</v>
      </c>
    </row>
    <row r="286" spans="2:3" x14ac:dyDescent="0.3">
      <c r="B286" s="88">
        <v>98030</v>
      </c>
      <c r="C286" s="2">
        <v>98030</v>
      </c>
    </row>
    <row r="287" spans="2:3" x14ac:dyDescent="0.3">
      <c r="B287" s="88">
        <v>98386</v>
      </c>
      <c r="C287" s="2">
        <v>98386</v>
      </c>
    </row>
    <row r="288" spans="2:3" x14ac:dyDescent="0.3">
      <c r="B288" s="88">
        <v>98443</v>
      </c>
      <c r="C288" s="2">
        <v>98443</v>
      </c>
    </row>
    <row r="289" spans="2:3" x14ac:dyDescent="0.3">
      <c r="B289" s="88">
        <v>98753</v>
      </c>
      <c r="C289" s="2">
        <v>98753</v>
      </c>
    </row>
    <row r="290" spans="2:3" x14ac:dyDescent="0.3">
      <c r="B290" s="88">
        <v>100450</v>
      </c>
      <c r="C290" s="2">
        <v>100450</v>
      </c>
    </row>
    <row r="291" spans="2:3" x14ac:dyDescent="0.3">
      <c r="B291" s="88">
        <v>100463</v>
      </c>
      <c r="C291" s="2">
        <v>100463</v>
      </c>
    </row>
    <row r="292" spans="2:3" x14ac:dyDescent="0.3">
      <c r="B292" s="88">
        <v>100635</v>
      </c>
      <c r="C292" s="2">
        <v>100635</v>
      </c>
    </row>
    <row r="293" spans="2:3" x14ac:dyDescent="0.3">
      <c r="B293" s="88">
        <v>100935</v>
      </c>
      <c r="C293" s="2">
        <v>100935</v>
      </c>
    </row>
    <row r="294" spans="2:3" x14ac:dyDescent="0.3">
      <c r="B294" s="88">
        <v>102065</v>
      </c>
      <c r="C294" s="2">
        <v>102065</v>
      </c>
    </row>
    <row r="295" spans="2:3" x14ac:dyDescent="0.3">
      <c r="B295" s="88">
        <v>102597</v>
      </c>
      <c r="C295" s="2">
        <v>102597</v>
      </c>
    </row>
    <row r="296" spans="2:3" x14ac:dyDescent="0.3">
      <c r="B296" s="88">
        <v>103099</v>
      </c>
      <c r="C296" s="2">
        <v>103099</v>
      </c>
    </row>
    <row r="297" spans="2:3" x14ac:dyDescent="0.3">
      <c r="B297" s="88">
        <v>103250</v>
      </c>
      <c r="C297" s="2">
        <v>103250</v>
      </c>
    </row>
    <row r="298" spans="2:3" x14ac:dyDescent="0.3">
      <c r="B298" s="88">
        <v>103884</v>
      </c>
      <c r="C298" s="2">
        <v>103884</v>
      </c>
    </row>
    <row r="299" spans="2:3" x14ac:dyDescent="0.3">
      <c r="B299" s="88">
        <v>103921</v>
      </c>
      <c r="C299" s="2">
        <v>103921</v>
      </c>
    </row>
    <row r="300" spans="2:3" x14ac:dyDescent="0.3">
      <c r="B300" s="88">
        <v>104100</v>
      </c>
      <c r="C300" s="2">
        <v>104100</v>
      </c>
    </row>
    <row r="301" spans="2:3" x14ac:dyDescent="0.3">
      <c r="B301" s="88">
        <v>105615</v>
      </c>
      <c r="C301" s="2">
        <v>105615</v>
      </c>
    </row>
    <row r="302" spans="2:3" x14ac:dyDescent="0.3">
      <c r="B302" s="88">
        <v>105820</v>
      </c>
      <c r="C302" s="2">
        <v>105820</v>
      </c>
    </row>
    <row r="303" spans="2:3" x14ac:dyDescent="0.3">
      <c r="B303" s="88">
        <v>105881</v>
      </c>
      <c r="C303" s="2">
        <v>105881</v>
      </c>
    </row>
    <row r="304" spans="2:3" x14ac:dyDescent="0.3">
      <c r="B304" s="88">
        <v>106341</v>
      </c>
      <c r="C304" s="2">
        <v>106341</v>
      </c>
    </row>
    <row r="305" spans="2:3" x14ac:dyDescent="0.3">
      <c r="B305" s="88">
        <v>106781</v>
      </c>
      <c r="C305" s="2">
        <v>106781</v>
      </c>
    </row>
    <row r="306" spans="2:3" x14ac:dyDescent="0.3">
      <c r="B306" s="88">
        <v>106947</v>
      </c>
      <c r="C306" s="2">
        <v>106947</v>
      </c>
    </row>
    <row r="307" spans="2:3" x14ac:dyDescent="0.3">
      <c r="B307" s="88">
        <v>106969</v>
      </c>
      <c r="C307" s="2">
        <v>106969</v>
      </c>
    </row>
    <row r="308" spans="2:3" x14ac:dyDescent="0.3">
      <c r="B308" s="88">
        <v>106981</v>
      </c>
      <c r="C308" s="2">
        <v>106981</v>
      </c>
    </row>
    <row r="309" spans="2:3" x14ac:dyDescent="0.3">
      <c r="B309" s="88">
        <v>107121</v>
      </c>
      <c r="C309" s="2">
        <v>107121</v>
      </c>
    </row>
    <row r="310" spans="2:3" x14ac:dyDescent="0.3">
      <c r="B310" s="88">
        <v>107559</v>
      </c>
      <c r="C310" s="2">
        <v>107559</v>
      </c>
    </row>
    <row r="311" spans="2:3" x14ac:dyDescent="0.3">
      <c r="B311" s="88">
        <v>107664</v>
      </c>
      <c r="C311" s="2">
        <v>107664</v>
      </c>
    </row>
    <row r="312" spans="2:3" x14ac:dyDescent="0.3">
      <c r="B312" s="88">
        <v>107898</v>
      </c>
      <c r="C312" s="2">
        <v>107898</v>
      </c>
    </row>
    <row r="313" spans="2:3" x14ac:dyDescent="0.3">
      <c r="B313" s="88">
        <v>107910</v>
      </c>
      <c r="C313" s="2">
        <v>107910</v>
      </c>
    </row>
    <row r="314" spans="2:3" x14ac:dyDescent="0.3">
      <c r="B314" s="88">
        <v>108382</v>
      </c>
      <c r="C314" s="2">
        <v>108382</v>
      </c>
    </row>
    <row r="315" spans="2:3" x14ac:dyDescent="0.3">
      <c r="B315" s="88">
        <v>108414</v>
      </c>
      <c r="C315" s="2">
        <v>108414</v>
      </c>
    </row>
    <row r="316" spans="2:3" x14ac:dyDescent="0.3">
      <c r="B316" s="88">
        <v>108740</v>
      </c>
      <c r="C316" s="2">
        <v>108740</v>
      </c>
    </row>
    <row r="317" spans="2:3" x14ac:dyDescent="0.3">
      <c r="B317" s="88">
        <v>108929</v>
      </c>
      <c r="C317" s="2">
        <v>108929</v>
      </c>
    </row>
    <row r="318" spans="2:3" x14ac:dyDescent="0.3">
      <c r="B318" s="88">
        <v>109218</v>
      </c>
      <c r="C318" s="2">
        <v>109218</v>
      </c>
    </row>
    <row r="319" spans="2:3" x14ac:dyDescent="0.3">
      <c r="B319" s="88">
        <v>109284</v>
      </c>
      <c r="C319" s="2">
        <v>109284</v>
      </c>
    </row>
    <row r="320" spans="2:3" x14ac:dyDescent="0.3">
      <c r="B320" s="88">
        <v>109643</v>
      </c>
      <c r="C320" s="2">
        <v>109643</v>
      </c>
    </row>
    <row r="321" spans="2:3" x14ac:dyDescent="0.3">
      <c r="B321" s="88">
        <v>109809</v>
      </c>
      <c r="C321" s="2">
        <v>109809</v>
      </c>
    </row>
    <row r="322" spans="2:3" x14ac:dyDescent="0.3">
      <c r="B322" s="88">
        <v>110113</v>
      </c>
      <c r="C322" s="2">
        <v>110113</v>
      </c>
    </row>
    <row r="323" spans="2:3" x14ac:dyDescent="0.3">
      <c r="B323" s="88">
        <v>110362</v>
      </c>
      <c r="C323" s="2">
        <v>110362</v>
      </c>
    </row>
    <row r="324" spans="2:3" x14ac:dyDescent="0.3">
      <c r="B324" s="88">
        <v>110486</v>
      </c>
      <c r="C324" s="2">
        <v>110486</v>
      </c>
    </row>
    <row r="325" spans="2:3" x14ac:dyDescent="0.3">
      <c r="B325" s="88">
        <v>111316</v>
      </c>
      <c r="C325" s="2">
        <v>111316</v>
      </c>
    </row>
    <row r="326" spans="2:3" x14ac:dyDescent="0.3">
      <c r="B326" s="88">
        <v>111360</v>
      </c>
      <c r="C326" s="2">
        <v>111360</v>
      </c>
    </row>
    <row r="327" spans="2:3" x14ac:dyDescent="0.3">
      <c r="B327" s="88">
        <v>112014</v>
      </c>
      <c r="C327" s="2">
        <v>112014</v>
      </c>
    </row>
    <row r="328" spans="2:3" x14ac:dyDescent="0.3">
      <c r="B328" s="88">
        <v>112366</v>
      </c>
      <c r="C328" s="2">
        <v>112366</v>
      </c>
    </row>
    <row r="329" spans="2:3" x14ac:dyDescent="0.3">
      <c r="B329" s="88">
        <v>112369</v>
      </c>
      <c r="C329" s="2">
        <v>112369</v>
      </c>
    </row>
    <row r="330" spans="2:3" x14ac:dyDescent="0.3">
      <c r="B330" s="88">
        <v>112538</v>
      </c>
      <c r="C330" s="2">
        <v>112538</v>
      </c>
    </row>
    <row r="331" spans="2:3" x14ac:dyDescent="0.3">
      <c r="B331" s="88">
        <v>112942</v>
      </c>
      <c r="C331" s="2">
        <v>112942</v>
      </c>
    </row>
    <row r="332" spans="2:3" x14ac:dyDescent="0.3">
      <c r="B332" s="88">
        <v>113170</v>
      </c>
      <c r="C332" s="2">
        <v>113170</v>
      </c>
    </row>
    <row r="333" spans="2:3" x14ac:dyDescent="0.3">
      <c r="B333" s="88">
        <v>113212</v>
      </c>
      <c r="C333" s="2">
        <v>113212</v>
      </c>
    </row>
    <row r="334" spans="2:3" x14ac:dyDescent="0.3">
      <c r="B334" s="88">
        <v>113590</v>
      </c>
      <c r="C334" s="2">
        <v>113590</v>
      </c>
    </row>
    <row r="335" spans="2:3" x14ac:dyDescent="0.3">
      <c r="B335" s="88">
        <v>113679</v>
      </c>
      <c r="C335" s="2">
        <v>113679</v>
      </c>
    </row>
    <row r="336" spans="2:3" x14ac:dyDescent="0.3">
      <c r="B336" s="88">
        <v>114616</v>
      </c>
      <c r="C336" s="2">
        <v>114616</v>
      </c>
    </row>
    <row r="337" spans="2:3" x14ac:dyDescent="0.3">
      <c r="B337" s="88">
        <v>114736</v>
      </c>
      <c r="C337" s="2">
        <v>114736</v>
      </c>
    </row>
    <row r="338" spans="2:3" x14ac:dyDescent="0.3">
      <c r="B338" s="88">
        <v>115190</v>
      </c>
      <c r="C338" s="2">
        <v>115190</v>
      </c>
    </row>
    <row r="339" spans="2:3" x14ac:dyDescent="0.3">
      <c r="B339" s="88">
        <v>115193</v>
      </c>
      <c r="C339" s="2">
        <v>115193</v>
      </c>
    </row>
    <row r="340" spans="2:3" x14ac:dyDescent="0.3">
      <c r="B340" s="88">
        <v>115584</v>
      </c>
      <c r="C340" s="2">
        <v>115584</v>
      </c>
    </row>
    <row r="341" spans="2:3" x14ac:dyDescent="0.3">
      <c r="B341" s="88">
        <v>115833</v>
      </c>
      <c r="C341" s="2">
        <v>115833</v>
      </c>
    </row>
    <row r="342" spans="2:3" x14ac:dyDescent="0.3">
      <c r="B342" s="88">
        <v>116858</v>
      </c>
      <c r="C342" s="2">
        <v>116858</v>
      </c>
    </row>
    <row r="343" spans="2:3" x14ac:dyDescent="0.3">
      <c r="B343" s="88">
        <v>116930</v>
      </c>
      <c r="C343" s="2">
        <v>116930</v>
      </c>
    </row>
    <row r="344" spans="2:3" x14ac:dyDescent="0.3">
      <c r="B344" s="88">
        <v>117183</v>
      </c>
      <c r="C344" s="2">
        <v>117183</v>
      </c>
    </row>
    <row r="345" spans="2:3" x14ac:dyDescent="0.3">
      <c r="B345" s="88">
        <v>117389</v>
      </c>
      <c r="C345" s="2">
        <v>117389</v>
      </c>
    </row>
    <row r="346" spans="2:3" x14ac:dyDescent="0.3">
      <c r="B346" s="88">
        <v>117455</v>
      </c>
      <c r="C346" s="2">
        <v>117455</v>
      </c>
    </row>
    <row r="347" spans="2:3" x14ac:dyDescent="0.3">
      <c r="B347" s="88">
        <v>117526</v>
      </c>
      <c r="C347" s="2">
        <v>117526</v>
      </c>
    </row>
    <row r="348" spans="2:3" x14ac:dyDescent="0.3">
      <c r="B348" s="88">
        <v>117645</v>
      </c>
      <c r="C348" s="2">
        <v>117645</v>
      </c>
    </row>
    <row r="349" spans="2:3" x14ac:dyDescent="0.3">
      <c r="B349" s="88">
        <v>118260</v>
      </c>
      <c r="C349" s="2">
        <v>118260</v>
      </c>
    </row>
    <row r="350" spans="2:3" x14ac:dyDescent="0.3">
      <c r="B350" s="88">
        <v>118824</v>
      </c>
      <c r="C350" s="2">
        <v>118824</v>
      </c>
    </row>
    <row r="351" spans="2:3" x14ac:dyDescent="0.3">
      <c r="B351" s="88">
        <v>119069</v>
      </c>
      <c r="C351" s="2">
        <v>119069</v>
      </c>
    </row>
    <row r="352" spans="2:3" x14ac:dyDescent="0.3">
      <c r="B352" s="88">
        <v>119075</v>
      </c>
      <c r="C352" s="2">
        <v>119075</v>
      </c>
    </row>
    <row r="353" spans="2:3" x14ac:dyDescent="0.3">
      <c r="B353" s="88">
        <v>119701</v>
      </c>
      <c r="C353" s="2">
        <v>119701</v>
      </c>
    </row>
    <row r="354" spans="2:3" x14ac:dyDescent="0.3">
      <c r="B354" s="88">
        <v>119810</v>
      </c>
      <c r="C354" s="2">
        <v>119810</v>
      </c>
    </row>
    <row r="355" spans="2:3" x14ac:dyDescent="0.3">
      <c r="B355" s="88">
        <v>123232</v>
      </c>
      <c r="C355" s="2">
        <v>123232</v>
      </c>
    </row>
    <row r="356" spans="2:3" x14ac:dyDescent="0.3">
      <c r="B356" s="88">
        <v>123264</v>
      </c>
      <c r="C356" s="2">
        <v>123264</v>
      </c>
    </row>
    <row r="357" spans="2:3" x14ac:dyDescent="0.3">
      <c r="B357" s="88">
        <v>123325</v>
      </c>
      <c r="C357" s="2">
        <v>123325</v>
      </c>
    </row>
    <row r="358" spans="2:3" x14ac:dyDescent="0.3">
      <c r="B358" s="88">
        <v>123557</v>
      </c>
      <c r="C358" s="2">
        <v>123557</v>
      </c>
    </row>
    <row r="359" spans="2:3" x14ac:dyDescent="0.3">
      <c r="B359" s="88">
        <v>123983</v>
      </c>
      <c r="C359" s="2">
        <v>123983</v>
      </c>
    </row>
    <row r="360" spans="2:3" x14ac:dyDescent="0.3">
      <c r="B360" s="88">
        <v>125813</v>
      </c>
      <c r="C360" s="2">
        <v>125813</v>
      </c>
    </row>
    <row r="361" spans="2:3" x14ac:dyDescent="0.3">
      <c r="B361" s="88">
        <v>128355</v>
      </c>
      <c r="C361" s="2">
        <v>128355</v>
      </c>
    </row>
    <row r="362" spans="2:3" x14ac:dyDescent="0.3">
      <c r="B362" s="88">
        <v>131483</v>
      </c>
      <c r="C362" s="2">
        <v>131483</v>
      </c>
    </row>
    <row r="363" spans="2:3" x14ac:dyDescent="0.3">
      <c r="B363" s="88">
        <v>132098</v>
      </c>
      <c r="C363" s="2">
        <v>132098</v>
      </c>
    </row>
    <row r="364" spans="2:3" x14ac:dyDescent="0.3">
      <c r="B364" s="88">
        <v>134211</v>
      </c>
      <c r="C364" s="2">
        <v>134211</v>
      </c>
    </row>
    <row r="365" spans="2:3" x14ac:dyDescent="0.3">
      <c r="B365" s="88">
        <v>136977</v>
      </c>
      <c r="C365" s="2">
        <v>136977</v>
      </c>
    </row>
    <row r="366" spans="2:3" x14ac:dyDescent="0.3">
      <c r="B366" s="88">
        <v>137573</v>
      </c>
      <c r="C366" s="2">
        <v>137573</v>
      </c>
    </row>
    <row r="367" spans="2:3" x14ac:dyDescent="0.3">
      <c r="B367" s="88">
        <v>137726</v>
      </c>
      <c r="C367" s="2">
        <v>137726</v>
      </c>
    </row>
    <row r="368" spans="2:3" x14ac:dyDescent="0.3">
      <c r="B368" s="88">
        <v>140169</v>
      </c>
      <c r="C368" s="2">
        <v>140169</v>
      </c>
    </row>
    <row r="369" spans="2:3" x14ac:dyDescent="0.3">
      <c r="B369" s="88">
        <v>141669</v>
      </c>
      <c r="C369" s="2">
        <v>141669</v>
      </c>
    </row>
    <row r="370" spans="2:3" x14ac:dyDescent="0.3">
      <c r="B370" s="88">
        <v>144509</v>
      </c>
      <c r="C370" s="2">
        <v>144509</v>
      </c>
    </row>
    <row r="371" spans="2:3" x14ac:dyDescent="0.3">
      <c r="B371" s="88">
        <v>144833</v>
      </c>
      <c r="C371" s="2">
        <v>144833</v>
      </c>
    </row>
    <row r="372" spans="2:3" x14ac:dyDescent="0.3">
      <c r="B372" s="88">
        <v>147458</v>
      </c>
      <c r="C372" s="2">
        <v>147458</v>
      </c>
    </row>
    <row r="373" spans="2:3" x14ac:dyDescent="0.3">
      <c r="B373" s="88">
        <v>148496</v>
      </c>
      <c r="C373" s="2">
        <v>148496</v>
      </c>
    </row>
    <row r="374" spans="2:3" x14ac:dyDescent="0.3">
      <c r="B374" s="88">
        <v>151054</v>
      </c>
      <c r="C374" s="2">
        <v>151054</v>
      </c>
    </row>
    <row r="375" spans="2:3" x14ac:dyDescent="0.3">
      <c r="B375" s="88">
        <v>151983</v>
      </c>
      <c r="C375" s="2">
        <v>151983</v>
      </c>
    </row>
    <row r="376" spans="2:3" x14ac:dyDescent="0.3">
      <c r="B376" s="88">
        <v>153647</v>
      </c>
      <c r="C376" s="2">
        <v>153647</v>
      </c>
    </row>
    <row r="377" spans="2:3" x14ac:dyDescent="0.3">
      <c r="B377" s="88">
        <v>154837</v>
      </c>
      <c r="C377" s="2">
        <v>154837</v>
      </c>
    </row>
    <row r="378" spans="2:3" x14ac:dyDescent="0.3">
      <c r="B378" s="88">
        <v>155006</v>
      </c>
      <c r="C378" s="2">
        <v>155006</v>
      </c>
    </row>
    <row r="379" spans="2:3" x14ac:dyDescent="0.3">
      <c r="B379" s="88">
        <v>155756</v>
      </c>
      <c r="C379" s="2">
        <v>155756</v>
      </c>
    </row>
    <row r="380" spans="2:3" x14ac:dyDescent="0.3">
      <c r="B380" s="88">
        <v>161660</v>
      </c>
      <c r="C380" s="2">
        <v>161660</v>
      </c>
    </row>
    <row r="381" spans="2:3" x14ac:dyDescent="0.3">
      <c r="B381" s="88">
        <v>162244</v>
      </c>
      <c r="C381" s="2">
        <v>162244</v>
      </c>
    </row>
    <row r="382" spans="2:3" x14ac:dyDescent="0.3">
      <c r="B382" s="88">
        <v>166423</v>
      </c>
      <c r="C382" s="2">
        <v>166423</v>
      </c>
    </row>
    <row r="383" spans="2:3" x14ac:dyDescent="0.3">
      <c r="B383" s="88">
        <v>172164</v>
      </c>
      <c r="C383" s="2">
        <v>172164</v>
      </c>
    </row>
    <row r="384" spans="2:3" x14ac:dyDescent="0.3">
      <c r="B384" s="88">
        <v>173824</v>
      </c>
      <c r="C384" s="2">
        <v>173824</v>
      </c>
    </row>
    <row r="385" spans="2:3" x14ac:dyDescent="0.3">
      <c r="B385" s="88">
        <v>177904</v>
      </c>
      <c r="C385" s="2">
        <v>177904</v>
      </c>
    </row>
    <row r="386" spans="2:3" x14ac:dyDescent="0.3">
      <c r="B386" s="88">
        <v>178490</v>
      </c>
      <c r="C386" s="2">
        <v>178490</v>
      </c>
    </row>
    <row r="387" spans="2:3" x14ac:dyDescent="0.3">
      <c r="B387" s="88">
        <v>182934</v>
      </c>
      <c r="C387" s="2">
        <v>182934</v>
      </c>
    </row>
    <row r="388" spans="2:3" x14ac:dyDescent="0.3">
      <c r="B388" s="88">
        <v>184444</v>
      </c>
      <c r="C388" s="2">
        <v>184444</v>
      </c>
    </row>
    <row r="389" spans="2:3" x14ac:dyDescent="0.3">
      <c r="B389" s="88">
        <v>187879</v>
      </c>
      <c r="C389" s="2">
        <v>187879</v>
      </c>
    </row>
    <row r="390" spans="2:3" x14ac:dyDescent="0.3">
      <c r="B390" s="88">
        <v>188711</v>
      </c>
      <c r="C390" s="2">
        <v>188711</v>
      </c>
    </row>
    <row r="391" spans="2:3" x14ac:dyDescent="0.3">
      <c r="B391" s="88">
        <v>190520</v>
      </c>
      <c r="C391" s="2">
        <v>190520</v>
      </c>
    </row>
    <row r="392" spans="2:3" x14ac:dyDescent="0.3">
      <c r="B392" s="88">
        <v>191628</v>
      </c>
      <c r="C392" s="2">
        <v>191628</v>
      </c>
    </row>
    <row r="393" spans="2:3" x14ac:dyDescent="0.3">
      <c r="B393" s="88">
        <v>193400</v>
      </c>
      <c r="C393" s="2">
        <v>193400</v>
      </c>
    </row>
    <row r="394" spans="2:3" x14ac:dyDescent="0.3">
      <c r="B394" s="88">
        <v>196103</v>
      </c>
      <c r="C394" s="2">
        <v>196103</v>
      </c>
    </row>
    <row r="395" spans="2:3" x14ac:dyDescent="0.3">
      <c r="B395" s="88">
        <v>196665</v>
      </c>
      <c r="C395" s="2">
        <v>196665</v>
      </c>
    </row>
    <row r="396" spans="2:3" x14ac:dyDescent="0.3">
      <c r="B396" s="88">
        <v>196893</v>
      </c>
      <c r="C396" s="2">
        <v>196893</v>
      </c>
    </row>
    <row r="397" spans="2:3" x14ac:dyDescent="0.3">
      <c r="B397" s="88">
        <v>197129</v>
      </c>
      <c r="C397" s="2">
        <v>197129</v>
      </c>
    </row>
    <row r="398" spans="2:3" x14ac:dyDescent="0.3">
      <c r="B398" s="88">
        <v>198172</v>
      </c>
      <c r="C398" s="2">
        <v>198172</v>
      </c>
    </row>
    <row r="399" spans="2:3" x14ac:dyDescent="0.3">
      <c r="B399" s="88">
        <v>212187</v>
      </c>
      <c r="C399" s="2">
        <v>212187</v>
      </c>
    </row>
    <row r="400" spans="2:3" x14ac:dyDescent="0.3">
      <c r="B400" s="88">
        <v>215896</v>
      </c>
      <c r="C400" s="2">
        <v>215896</v>
      </c>
    </row>
    <row r="401" spans="2:3" x14ac:dyDescent="0.3">
      <c r="B401" s="88">
        <v>220660</v>
      </c>
      <c r="C401" s="2">
        <v>220660</v>
      </c>
    </row>
    <row r="402" spans="2:3" x14ac:dyDescent="0.3">
      <c r="B402" s="88">
        <v>221281</v>
      </c>
      <c r="C402" s="2">
        <v>221281</v>
      </c>
    </row>
    <row r="403" spans="2:3" x14ac:dyDescent="0.3">
      <c r="B403" s="88">
        <v>224425</v>
      </c>
      <c r="C403" s="2">
        <v>224425</v>
      </c>
    </row>
    <row r="404" spans="2:3" x14ac:dyDescent="0.3">
      <c r="B404" s="88">
        <v>224669</v>
      </c>
      <c r="C404" s="2">
        <v>224669</v>
      </c>
    </row>
    <row r="405" spans="2:3" x14ac:dyDescent="0.3">
      <c r="B405" s="88">
        <v>228330</v>
      </c>
      <c r="C405" s="2">
        <v>228330</v>
      </c>
    </row>
    <row r="406" spans="2:3" x14ac:dyDescent="0.3">
      <c r="B406" s="88">
        <v>229033</v>
      </c>
      <c r="C406" s="2">
        <v>229033</v>
      </c>
    </row>
    <row r="407" spans="2:3" x14ac:dyDescent="0.3">
      <c r="B407" s="88">
        <v>232382</v>
      </c>
      <c r="C407" s="2">
        <v>232382</v>
      </c>
    </row>
    <row r="408" spans="2:3" x14ac:dyDescent="0.3">
      <c r="B408" s="88">
        <v>233286</v>
      </c>
      <c r="C408" s="2">
        <v>233286</v>
      </c>
    </row>
    <row r="409" spans="2:3" x14ac:dyDescent="0.3">
      <c r="B409" s="88">
        <v>233380</v>
      </c>
      <c r="C409" s="2">
        <v>233380</v>
      </c>
    </row>
    <row r="410" spans="2:3" x14ac:dyDescent="0.3">
      <c r="B410" s="88">
        <v>233727</v>
      </c>
      <c r="C410" s="2">
        <v>233727</v>
      </c>
    </row>
    <row r="411" spans="2:3" x14ac:dyDescent="0.3">
      <c r="B411" s="88">
        <v>235148</v>
      </c>
      <c r="C411" s="2">
        <v>235148</v>
      </c>
    </row>
    <row r="412" spans="2:3" x14ac:dyDescent="0.3">
      <c r="B412" s="88">
        <v>238053</v>
      </c>
      <c r="C412" s="2">
        <v>238053</v>
      </c>
    </row>
    <row r="413" spans="2:3" x14ac:dyDescent="0.3">
      <c r="B413" s="88">
        <v>239896</v>
      </c>
      <c r="C413" s="2">
        <v>239896</v>
      </c>
    </row>
    <row r="414" spans="2:3" x14ac:dyDescent="0.3">
      <c r="B414" s="88">
        <v>240782</v>
      </c>
      <c r="C414" s="2">
        <v>240782</v>
      </c>
    </row>
    <row r="415" spans="2:3" x14ac:dyDescent="0.3">
      <c r="B415" s="88">
        <v>241850</v>
      </c>
      <c r="C415" s="2">
        <v>241850</v>
      </c>
    </row>
    <row r="416" spans="2:3" x14ac:dyDescent="0.3">
      <c r="B416" s="88">
        <v>243255</v>
      </c>
      <c r="C416" s="2">
        <v>243255</v>
      </c>
    </row>
    <row r="417" spans="2:3" x14ac:dyDescent="0.3">
      <c r="B417" s="88">
        <v>284780</v>
      </c>
      <c r="C417" s="2">
        <v>284780</v>
      </c>
    </row>
    <row r="418" spans="2:3" x14ac:dyDescent="0.3">
      <c r="B418" s="88">
        <v>286373</v>
      </c>
      <c r="C418" s="2">
        <v>286373</v>
      </c>
    </row>
    <row r="419" spans="2:3" x14ac:dyDescent="0.3">
      <c r="B419" s="88">
        <v>286517</v>
      </c>
      <c r="C419" s="2">
        <v>286517</v>
      </c>
    </row>
    <row r="420" spans="2:3" x14ac:dyDescent="0.3">
      <c r="B420" s="88">
        <v>292628</v>
      </c>
      <c r="C420" s="2">
        <v>292628</v>
      </c>
    </row>
    <row r="421" spans="2:3" x14ac:dyDescent="0.3">
      <c r="B421" s="88">
        <v>293282</v>
      </c>
      <c r="C421" s="2">
        <v>293282</v>
      </c>
    </row>
    <row r="422" spans="2:3" x14ac:dyDescent="0.3">
      <c r="B422" s="88">
        <v>297580</v>
      </c>
      <c r="C422" s="2">
        <v>297580</v>
      </c>
    </row>
    <row r="423" spans="2:3" x14ac:dyDescent="0.3">
      <c r="B423" s="88">
        <v>303548</v>
      </c>
      <c r="C423" s="2">
        <v>303548</v>
      </c>
    </row>
    <row r="424" spans="2:3" x14ac:dyDescent="0.3">
      <c r="B424" s="88">
        <v>305910</v>
      </c>
      <c r="C424" s="2">
        <v>305910</v>
      </c>
    </row>
    <row r="425" spans="2:3" x14ac:dyDescent="0.3">
      <c r="B425" s="88">
        <v>307542</v>
      </c>
      <c r="C425" s="2">
        <v>307542</v>
      </c>
    </row>
    <row r="426" spans="2:3" x14ac:dyDescent="0.3">
      <c r="B426" s="88">
        <v>309149</v>
      </c>
      <c r="C426" s="2">
        <v>309149</v>
      </c>
    </row>
    <row r="427" spans="2:3" x14ac:dyDescent="0.3">
      <c r="B427" s="88">
        <v>313612</v>
      </c>
      <c r="C427" s="2">
        <v>313612</v>
      </c>
    </row>
    <row r="428" spans="2:3" x14ac:dyDescent="0.3">
      <c r="B428" s="88">
        <v>314583</v>
      </c>
      <c r="C428" s="2">
        <v>314583</v>
      </c>
    </row>
    <row r="429" spans="2:3" x14ac:dyDescent="0.3">
      <c r="B429" s="88">
        <v>321095</v>
      </c>
      <c r="C429" s="2">
        <v>321095</v>
      </c>
    </row>
    <row r="430" spans="2:3" x14ac:dyDescent="0.3">
      <c r="B430" s="88">
        <v>321298</v>
      </c>
      <c r="C430" s="2">
        <v>321298</v>
      </c>
    </row>
    <row r="431" spans="2:3" x14ac:dyDescent="0.3">
      <c r="B431" s="88">
        <v>323659</v>
      </c>
      <c r="C431" s="2">
        <v>323659</v>
      </c>
    </row>
    <row r="432" spans="2:3" x14ac:dyDescent="0.3">
      <c r="B432" s="88">
        <v>323833</v>
      </c>
      <c r="C432" s="2">
        <v>323833</v>
      </c>
    </row>
    <row r="433" spans="2:3" x14ac:dyDescent="0.3">
      <c r="B433" s="88">
        <v>336300</v>
      </c>
      <c r="C433" s="2">
        <v>336300</v>
      </c>
    </row>
    <row r="434" spans="2:3" x14ac:dyDescent="0.3">
      <c r="B434" s="88">
        <v>344377</v>
      </c>
      <c r="C434" s="2">
        <v>344377</v>
      </c>
    </row>
    <row r="435" spans="2:3" x14ac:dyDescent="0.3">
      <c r="B435" s="88">
        <v>365860</v>
      </c>
      <c r="C435" s="2">
        <v>365860</v>
      </c>
    </row>
    <row r="436" spans="2:3" x14ac:dyDescent="0.3">
      <c r="B436" s="88">
        <v>366737</v>
      </c>
      <c r="C436" s="2">
        <v>366737</v>
      </c>
    </row>
    <row r="437" spans="2:3" x14ac:dyDescent="0.3">
      <c r="B437" s="88">
        <v>376007</v>
      </c>
      <c r="C437" s="2">
        <v>376007</v>
      </c>
    </row>
    <row r="438" spans="2:3" x14ac:dyDescent="0.3">
      <c r="B438" s="88">
        <v>385210</v>
      </c>
      <c r="C438" s="2">
        <v>385210</v>
      </c>
    </row>
    <row r="439" spans="2:3" x14ac:dyDescent="0.3">
      <c r="B439" s="88">
        <v>400137</v>
      </c>
      <c r="C439" s="2">
        <v>400137</v>
      </c>
    </row>
    <row r="440" spans="2:3" x14ac:dyDescent="0.3">
      <c r="B440" s="88">
        <v>410066</v>
      </c>
      <c r="C440" s="2">
        <v>410066</v>
      </c>
    </row>
    <row r="441" spans="2:3" x14ac:dyDescent="0.3">
      <c r="B441" s="88">
        <v>412590</v>
      </c>
      <c r="C441" s="2">
        <v>412590</v>
      </c>
    </row>
    <row r="442" spans="2:3" x14ac:dyDescent="0.3">
      <c r="B442" s="88">
        <v>414173</v>
      </c>
      <c r="C442" s="2">
        <v>414173</v>
      </c>
    </row>
    <row r="443" spans="2:3" x14ac:dyDescent="0.3">
      <c r="B443" s="88">
        <v>424865</v>
      </c>
      <c r="C443" s="2">
        <v>424865</v>
      </c>
    </row>
    <row r="444" spans="2:3" x14ac:dyDescent="0.3">
      <c r="B444" s="88">
        <v>427459</v>
      </c>
      <c r="C444" s="2">
        <v>427459</v>
      </c>
    </row>
    <row r="445" spans="2:3" x14ac:dyDescent="0.3">
      <c r="B445" s="88">
        <v>429397</v>
      </c>
      <c r="C445" s="2">
        <v>429397</v>
      </c>
    </row>
    <row r="446" spans="2:3" x14ac:dyDescent="0.3">
      <c r="B446" s="88">
        <v>433804</v>
      </c>
      <c r="C446" s="2">
        <v>433804</v>
      </c>
    </row>
    <row r="447" spans="2:3" x14ac:dyDescent="0.3">
      <c r="B447" s="88">
        <v>443967</v>
      </c>
      <c r="C447" s="2">
        <v>443967</v>
      </c>
    </row>
    <row r="448" spans="2:3" x14ac:dyDescent="0.3">
      <c r="B448" s="88">
        <v>456260</v>
      </c>
      <c r="C448" s="2">
        <v>456260</v>
      </c>
    </row>
    <row r="449" spans="2:3" x14ac:dyDescent="0.3">
      <c r="B449" s="88">
        <v>475978</v>
      </c>
      <c r="C449" s="2">
        <v>475978</v>
      </c>
    </row>
    <row r="450" spans="2:3" x14ac:dyDescent="0.3">
      <c r="B450" s="88">
        <v>493015</v>
      </c>
      <c r="C450" s="2">
        <v>493015</v>
      </c>
    </row>
    <row r="451" spans="2:3" x14ac:dyDescent="0.3">
      <c r="B451" s="88">
        <v>514243</v>
      </c>
      <c r="C451" s="2">
        <v>514243</v>
      </c>
    </row>
    <row r="452" spans="2:3" x14ac:dyDescent="0.3">
      <c r="B452" s="88">
        <v>520524</v>
      </c>
      <c r="C452" s="2">
        <v>520524</v>
      </c>
    </row>
    <row r="453" spans="2:3" x14ac:dyDescent="0.3">
      <c r="B453" s="88">
        <v>543486</v>
      </c>
      <c r="C453" s="2">
        <v>543486</v>
      </c>
    </row>
    <row r="454" spans="2:3" x14ac:dyDescent="0.3">
      <c r="B454" s="88">
        <v>555581</v>
      </c>
      <c r="C454" s="2">
        <v>555581</v>
      </c>
    </row>
    <row r="455" spans="2:3" x14ac:dyDescent="0.3">
      <c r="B455" s="88">
        <v>581946</v>
      </c>
      <c r="C455" s="2">
        <v>581946</v>
      </c>
    </row>
    <row r="456" spans="2:3" x14ac:dyDescent="0.3">
      <c r="B456" s="88">
        <v>613671</v>
      </c>
      <c r="C456" s="2">
        <v>613671</v>
      </c>
    </row>
    <row r="457" spans="2:3" x14ac:dyDescent="0.3">
      <c r="B457" s="88">
        <v>626696</v>
      </c>
      <c r="C457" s="2">
        <v>626696</v>
      </c>
    </row>
    <row r="458" spans="2:3" x14ac:dyDescent="0.3">
      <c r="B458" s="88">
        <v>650707</v>
      </c>
      <c r="C458" s="2">
        <v>650707</v>
      </c>
    </row>
    <row r="459" spans="2:3" x14ac:dyDescent="0.3">
      <c r="B459" s="88">
        <v>659321</v>
      </c>
      <c r="C459" s="2">
        <v>659321</v>
      </c>
    </row>
    <row r="460" spans="2:3" x14ac:dyDescent="0.3">
      <c r="B460" s="88">
        <v>673571</v>
      </c>
      <c r="C460" s="2">
        <v>673571</v>
      </c>
    </row>
    <row r="461" spans="2:3" x14ac:dyDescent="0.3">
      <c r="B461" s="88">
        <v>680993</v>
      </c>
      <c r="C461" s="2">
        <v>680993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EB81F-AC15-4193-AFFB-3B739488C44C}">
  <sheetPr>
    <tabColor theme="0" tint="-0.249977111117893"/>
  </sheetPr>
  <dimension ref="B3:C462"/>
  <sheetViews>
    <sheetView topLeftCell="B2" zoomScale="103" workbookViewId="0">
      <selection activeCell="P13" sqref="P13"/>
    </sheetView>
  </sheetViews>
  <sheetFormatPr defaultRowHeight="14.4" x14ac:dyDescent="0.3"/>
  <cols>
    <col min="2" max="2" width="12.77734375" bestFit="1" customWidth="1"/>
    <col min="3" max="3" width="24.77734375" bestFit="1" customWidth="1"/>
  </cols>
  <sheetData>
    <row r="3" spans="2:3" x14ac:dyDescent="0.3">
      <c r="B3" s="87" t="s">
        <v>611</v>
      </c>
      <c r="C3" t="s">
        <v>613</v>
      </c>
    </row>
    <row r="4" spans="2:3" x14ac:dyDescent="0.3">
      <c r="B4" s="88">
        <v>490521</v>
      </c>
      <c r="C4" s="2">
        <v>60</v>
      </c>
    </row>
    <row r="5" spans="2:3" x14ac:dyDescent="0.3">
      <c r="B5" s="88">
        <v>500216</v>
      </c>
      <c r="C5" s="2">
        <v>67</v>
      </c>
    </row>
    <row r="6" spans="2:3" x14ac:dyDescent="0.3">
      <c r="B6" s="88">
        <v>501580</v>
      </c>
      <c r="C6" s="2">
        <v>60</v>
      </c>
    </row>
    <row r="7" spans="2:3" x14ac:dyDescent="0.3">
      <c r="B7" s="88">
        <v>501971</v>
      </c>
      <c r="C7" s="2">
        <v>60</v>
      </c>
    </row>
    <row r="8" spans="2:3" x14ac:dyDescent="0.3">
      <c r="B8" s="88">
        <v>511039</v>
      </c>
      <c r="C8" s="2">
        <v>60</v>
      </c>
    </row>
    <row r="9" spans="2:3" x14ac:dyDescent="0.3">
      <c r="B9" s="88">
        <v>519426</v>
      </c>
      <c r="C9" s="2">
        <v>65</v>
      </c>
    </row>
    <row r="10" spans="2:3" x14ac:dyDescent="0.3">
      <c r="B10" s="88">
        <v>532428</v>
      </c>
      <c r="C10" s="2">
        <v>72</v>
      </c>
    </row>
    <row r="11" spans="2:3" x14ac:dyDescent="0.3">
      <c r="B11" s="88">
        <v>532969</v>
      </c>
      <c r="C11" s="2">
        <v>60</v>
      </c>
    </row>
    <row r="12" spans="2:3" x14ac:dyDescent="0.3">
      <c r="B12" s="88">
        <v>539266</v>
      </c>
      <c r="C12" s="2">
        <v>65</v>
      </c>
    </row>
    <row r="13" spans="2:3" x14ac:dyDescent="0.3">
      <c r="B13" s="88">
        <v>541920</v>
      </c>
      <c r="C13" s="2">
        <v>60</v>
      </c>
    </row>
    <row r="14" spans="2:3" x14ac:dyDescent="0.3">
      <c r="B14" s="88">
        <v>542494</v>
      </c>
      <c r="C14" s="2">
        <v>72</v>
      </c>
    </row>
    <row r="15" spans="2:3" x14ac:dyDescent="0.3">
      <c r="B15" s="88">
        <v>556597</v>
      </c>
      <c r="C15" s="2">
        <v>60</v>
      </c>
    </row>
    <row r="16" spans="2:3" x14ac:dyDescent="0.3">
      <c r="B16" s="88">
        <v>557784</v>
      </c>
      <c r="C16" s="2">
        <v>65</v>
      </c>
    </row>
    <row r="17" spans="2:3" x14ac:dyDescent="0.3">
      <c r="B17" s="88">
        <v>560719</v>
      </c>
      <c r="C17" s="2">
        <v>60</v>
      </c>
    </row>
    <row r="18" spans="2:3" x14ac:dyDescent="0.3">
      <c r="B18" s="88">
        <v>566849</v>
      </c>
      <c r="C18" s="2">
        <v>117</v>
      </c>
    </row>
    <row r="19" spans="2:3" x14ac:dyDescent="0.3">
      <c r="B19" s="88">
        <v>568000</v>
      </c>
      <c r="C19" s="2">
        <v>60</v>
      </c>
    </row>
    <row r="20" spans="2:3" x14ac:dyDescent="0.3">
      <c r="B20" s="88">
        <v>572962</v>
      </c>
      <c r="C20" s="2">
        <v>60</v>
      </c>
    </row>
    <row r="21" spans="2:3" x14ac:dyDescent="0.3">
      <c r="B21" s="88">
        <v>584400</v>
      </c>
      <c r="C21" s="2">
        <v>60</v>
      </c>
    </row>
    <row r="22" spans="2:3" x14ac:dyDescent="0.3">
      <c r="B22" s="88">
        <v>588433</v>
      </c>
      <c r="C22" s="2">
        <v>60</v>
      </c>
    </row>
    <row r="23" spans="2:3" x14ac:dyDescent="0.3">
      <c r="B23" s="88">
        <v>588763</v>
      </c>
      <c r="C23" s="2">
        <v>60</v>
      </c>
    </row>
    <row r="24" spans="2:3" x14ac:dyDescent="0.3">
      <c r="B24" s="88">
        <v>593955</v>
      </c>
      <c r="C24" s="2">
        <v>60</v>
      </c>
    </row>
    <row r="25" spans="2:3" x14ac:dyDescent="0.3">
      <c r="B25" s="88">
        <v>597394</v>
      </c>
      <c r="C25" s="2">
        <v>99</v>
      </c>
    </row>
    <row r="26" spans="2:3" x14ac:dyDescent="0.3">
      <c r="B26" s="88">
        <v>605759</v>
      </c>
      <c r="C26" s="2">
        <v>60</v>
      </c>
    </row>
    <row r="27" spans="2:3" x14ac:dyDescent="0.3">
      <c r="B27" s="88">
        <v>614109</v>
      </c>
      <c r="C27" s="2">
        <v>71</v>
      </c>
    </row>
    <row r="28" spans="2:3" x14ac:dyDescent="0.3">
      <c r="B28" s="88">
        <v>619371</v>
      </c>
      <c r="C28" s="2">
        <v>60</v>
      </c>
    </row>
    <row r="29" spans="2:3" x14ac:dyDescent="0.3">
      <c r="B29" s="88">
        <v>620414</v>
      </c>
      <c r="C29" s="2">
        <v>60</v>
      </c>
    </row>
    <row r="30" spans="2:3" x14ac:dyDescent="0.3">
      <c r="B30" s="88">
        <v>620738</v>
      </c>
      <c r="C30" s="2">
        <v>75</v>
      </c>
    </row>
    <row r="31" spans="2:3" x14ac:dyDescent="0.3">
      <c r="B31" s="88">
        <v>624954</v>
      </c>
      <c r="C31" s="2">
        <v>60</v>
      </c>
    </row>
    <row r="32" spans="2:3" x14ac:dyDescent="0.3">
      <c r="B32" s="88">
        <v>627037</v>
      </c>
      <c r="C32" s="2">
        <v>93</v>
      </c>
    </row>
    <row r="33" spans="2:3" x14ac:dyDescent="0.3">
      <c r="B33" s="88">
        <v>627310</v>
      </c>
      <c r="C33" s="2">
        <v>60</v>
      </c>
    </row>
    <row r="34" spans="2:3" x14ac:dyDescent="0.3">
      <c r="B34" s="88">
        <v>633736</v>
      </c>
      <c r="C34" s="2">
        <v>60</v>
      </c>
    </row>
    <row r="35" spans="2:3" x14ac:dyDescent="0.3">
      <c r="B35" s="88">
        <v>636807</v>
      </c>
      <c r="C35" s="2">
        <v>75</v>
      </c>
    </row>
    <row r="36" spans="2:3" x14ac:dyDescent="0.3">
      <c r="B36" s="88">
        <v>644817</v>
      </c>
      <c r="C36" s="2">
        <v>71</v>
      </c>
    </row>
    <row r="37" spans="2:3" x14ac:dyDescent="0.3">
      <c r="B37" s="88">
        <v>647484</v>
      </c>
      <c r="C37" s="2">
        <v>60</v>
      </c>
    </row>
    <row r="38" spans="2:3" x14ac:dyDescent="0.3">
      <c r="B38" s="88">
        <v>650708</v>
      </c>
      <c r="C38" s="2">
        <v>60</v>
      </c>
    </row>
    <row r="39" spans="2:3" x14ac:dyDescent="0.3">
      <c r="B39" s="88">
        <v>651686</v>
      </c>
      <c r="C39" s="2">
        <v>88</v>
      </c>
    </row>
    <row r="40" spans="2:3" x14ac:dyDescent="0.3">
      <c r="B40" s="88">
        <v>659009</v>
      </c>
      <c r="C40" s="2">
        <v>60</v>
      </c>
    </row>
    <row r="41" spans="2:3" x14ac:dyDescent="0.3">
      <c r="B41" s="88">
        <v>664838</v>
      </c>
      <c r="C41" s="2">
        <v>60</v>
      </c>
    </row>
    <row r="42" spans="2:3" x14ac:dyDescent="0.3">
      <c r="B42" s="88">
        <v>665600</v>
      </c>
      <c r="C42" s="2">
        <v>60</v>
      </c>
    </row>
    <row r="43" spans="2:3" x14ac:dyDescent="0.3">
      <c r="B43" s="88">
        <v>672391</v>
      </c>
      <c r="C43" s="2">
        <v>60</v>
      </c>
    </row>
    <row r="44" spans="2:3" x14ac:dyDescent="0.3">
      <c r="B44" s="88">
        <v>673832</v>
      </c>
      <c r="C44" s="2">
        <v>60</v>
      </c>
    </row>
    <row r="45" spans="2:3" x14ac:dyDescent="0.3">
      <c r="B45" s="88">
        <v>677855</v>
      </c>
      <c r="C45" s="2">
        <v>107</v>
      </c>
    </row>
    <row r="46" spans="2:3" x14ac:dyDescent="0.3">
      <c r="B46" s="88">
        <v>679711</v>
      </c>
      <c r="C46" s="2">
        <v>60</v>
      </c>
    </row>
    <row r="47" spans="2:3" x14ac:dyDescent="0.3">
      <c r="B47" s="88">
        <v>683142</v>
      </c>
      <c r="C47" s="2">
        <v>60</v>
      </c>
    </row>
    <row r="48" spans="2:3" x14ac:dyDescent="0.3">
      <c r="B48" s="88">
        <v>689833</v>
      </c>
      <c r="C48" s="2">
        <v>60</v>
      </c>
    </row>
    <row r="49" spans="2:3" x14ac:dyDescent="0.3">
      <c r="B49" s="88">
        <v>696506</v>
      </c>
      <c r="C49" s="2">
        <v>60</v>
      </c>
    </row>
    <row r="50" spans="2:3" x14ac:dyDescent="0.3">
      <c r="B50" s="88">
        <v>696784</v>
      </c>
      <c r="C50" s="2">
        <v>87</v>
      </c>
    </row>
    <row r="51" spans="2:3" x14ac:dyDescent="0.3">
      <c r="B51" s="88">
        <v>699838</v>
      </c>
      <c r="C51" s="2">
        <v>60</v>
      </c>
    </row>
    <row r="52" spans="2:3" x14ac:dyDescent="0.3">
      <c r="B52" s="88">
        <v>701012</v>
      </c>
      <c r="C52" s="2">
        <v>60</v>
      </c>
    </row>
    <row r="53" spans="2:3" x14ac:dyDescent="0.3">
      <c r="B53" s="88">
        <v>716817</v>
      </c>
      <c r="C53" s="2">
        <v>94</v>
      </c>
    </row>
    <row r="54" spans="2:3" x14ac:dyDescent="0.3">
      <c r="B54" s="88">
        <v>720961</v>
      </c>
      <c r="C54" s="2">
        <v>100</v>
      </c>
    </row>
    <row r="55" spans="2:3" x14ac:dyDescent="0.3">
      <c r="B55" s="88">
        <v>730007</v>
      </c>
      <c r="C55" s="2">
        <v>105</v>
      </c>
    </row>
    <row r="56" spans="2:3" x14ac:dyDescent="0.3">
      <c r="B56" s="88">
        <v>765593</v>
      </c>
      <c r="C56" s="2">
        <v>85</v>
      </c>
    </row>
    <row r="57" spans="2:3" x14ac:dyDescent="0.3">
      <c r="B57" s="88">
        <v>786961</v>
      </c>
      <c r="C57" s="2">
        <v>75</v>
      </c>
    </row>
    <row r="58" spans="2:3" x14ac:dyDescent="0.3">
      <c r="B58" s="88">
        <v>805701</v>
      </c>
      <c r="C58" s="2">
        <v>94</v>
      </c>
    </row>
    <row r="59" spans="2:3" x14ac:dyDescent="0.3">
      <c r="B59" s="88">
        <v>863832</v>
      </c>
      <c r="C59" s="2">
        <v>60</v>
      </c>
    </row>
    <row r="60" spans="2:3" x14ac:dyDescent="0.3">
      <c r="B60" s="88">
        <v>881278</v>
      </c>
      <c r="C60" s="2">
        <v>65</v>
      </c>
    </row>
    <row r="61" spans="2:3" x14ac:dyDescent="0.3">
      <c r="B61" s="88">
        <v>886659</v>
      </c>
      <c r="C61" s="2">
        <v>86</v>
      </c>
    </row>
    <row r="62" spans="2:3" x14ac:dyDescent="0.3">
      <c r="B62" s="88">
        <v>890856</v>
      </c>
      <c r="C62" s="2">
        <v>60</v>
      </c>
    </row>
    <row r="63" spans="2:3" x14ac:dyDescent="0.3">
      <c r="B63" s="88">
        <v>892285</v>
      </c>
      <c r="C63" s="2">
        <v>102</v>
      </c>
    </row>
    <row r="64" spans="2:3" x14ac:dyDescent="0.3">
      <c r="B64" s="88">
        <v>900131</v>
      </c>
      <c r="C64" s="2">
        <v>71</v>
      </c>
    </row>
    <row r="65" spans="2:3" x14ac:dyDescent="0.3">
      <c r="B65" s="88">
        <v>908446</v>
      </c>
      <c r="C65" s="2">
        <v>65</v>
      </c>
    </row>
    <row r="66" spans="2:3" x14ac:dyDescent="0.3">
      <c r="B66" s="88">
        <v>916440</v>
      </c>
      <c r="C66" s="2">
        <v>84</v>
      </c>
    </row>
    <row r="67" spans="2:3" x14ac:dyDescent="0.3">
      <c r="B67" s="88">
        <v>917060</v>
      </c>
      <c r="C67" s="2">
        <v>70</v>
      </c>
    </row>
    <row r="68" spans="2:3" x14ac:dyDescent="0.3">
      <c r="B68" s="88">
        <v>921227</v>
      </c>
      <c r="C68" s="2">
        <v>77</v>
      </c>
    </row>
    <row r="69" spans="2:3" x14ac:dyDescent="0.3">
      <c r="B69" s="88">
        <v>926454</v>
      </c>
      <c r="C69" s="2">
        <v>87</v>
      </c>
    </row>
    <row r="70" spans="2:3" x14ac:dyDescent="0.3">
      <c r="B70" s="88">
        <v>934695</v>
      </c>
      <c r="C70" s="2">
        <v>60</v>
      </c>
    </row>
    <row r="71" spans="2:3" x14ac:dyDescent="0.3">
      <c r="B71" s="88">
        <v>937821</v>
      </c>
      <c r="C71" s="2">
        <v>88</v>
      </c>
    </row>
    <row r="72" spans="2:3" x14ac:dyDescent="0.3">
      <c r="B72" s="88">
        <v>937916</v>
      </c>
      <c r="C72" s="2">
        <v>77</v>
      </c>
    </row>
    <row r="73" spans="2:3" x14ac:dyDescent="0.3">
      <c r="B73" s="88">
        <v>943732</v>
      </c>
      <c r="C73" s="2">
        <v>60</v>
      </c>
    </row>
    <row r="74" spans="2:3" x14ac:dyDescent="0.3">
      <c r="B74" s="88">
        <v>946754</v>
      </c>
      <c r="C74" s="2">
        <v>66</v>
      </c>
    </row>
    <row r="75" spans="2:3" x14ac:dyDescent="0.3">
      <c r="B75" s="88">
        <v>949246</v>
      </c>
      <c r="C75" s="2">
        <v>98</v>
      </c>
    </row>
    <row r="76" spans="2:3" x14ac:dyDescent="0.3">
      <c r="B76" s="88">
        <v>1051695</v>
      </c>
      <c r="C76" s="2">
        <v>101</v>
      </c>
    </row>
    <row r="77" spans="2:3" x14ac:dyDescent="0.3">
      <c r="B77" s="88">
        <v>1052471</v>
      </c>
      <c r="C77" s="2">
        <v>76</v>
      </c>
    </row>
    <row r="78" spans="2:3" x14ac:dyDescent="0.3">
      <c r="B78" s="88">
        <v>1053252</v>
      </c>
      <c r="C78" s="2">
        <v>96</v>
      </c>
    </row>
    <row r="79" spans="2:3" x14ac:dyDescent="0.3">
      <c r="B79" s="88">
        <v>1053712</v>
      </c>
      <c r="C79" s="2">
        <v>150</v>
      </c>
    </row>
    <row r="80" spans="2:3" x14ac:dyDescent="0.3">
      <c r="B80" s="88">
        <v>1053959</v>
      </c>
      <c r="C80" s="2">
        <v>126</v>
      </c>
    </row>
    <row r="81" spans="2:3" x14ac:dyDescent="0.3">
      <c r="B81" s="88">
        <v>1054491</v>
      </c>
      <c r="C81" s="2">
        <v>71</v>
      </c>
    </row>
    <row r="82" spans="2:3" x14ac:dyDescent="0.3">
      <c r="B82" s="88">
        <v>1056138</v>
      </c>
      <c r="C82" s="2">
        <v>109</v>
      </c>
    </row>
    <row r="83" spans="2:3" x14ac:dyDescent="0.3">
      <c r="B83" s="88">
        <v>1056389</v>
      </c>
      <c r="C83" s="2">
        <v>110</v>
      </c>
    </row>
    <row r="84" spans="2:3" x14ac:dyDescent="0.3">
      <c r="B84" s="88">
        <v>1057381</v>
      </c>
      <c r="C84" s="2">
        <v>98</v>
      </c>
    </row>
    <row r="85" spans="2:3" x14ac:dyDescent="0.3">
      <c r="B85" s="88">
        <v>1242505</v>
      </c>
      <c r="C85" s="2">
        <v>143</v>
      </c>
    </row>
    <row r="86" spans="2:3" x14ac:dyDescent="0.3">
      <c r="B86" s="88">
        <v>1244818</v>
      </c>
      <c r="C86" s="2">
        <v>155</v>
      </c>
    </row>
    <row r="87" spans="2:3" x14ac:dyDescent="0.3">
      <c r="B87" s="88">
        <v>1255682</v>
      </c>
      <c r="C87" s="2">
        <v>123</v>
      </c>
    </row>
    <row r="88" spans="2:3" x14ac:dyDescent="0.3">
      <c r="B88" s="88">
        <v>1263167</v>
      </c>
      <c r="C88" s="2">
        <v>105</v>
      </c>
    </row>
    <row r="89" spans="2:3" x14ac:dyDescent="0.3">
      <c r="B89" s="88">
        <v>1277778</v>
      </c>
      <c r="C89" s="2">
        <v>94</v>
      </c>
    </row>
    <row r="90" spans="2:3" x14ac:dyDescent="0.3">
      <c r="B90" s="88">
        <v>1280241</v>
      </c>
      <c r="C90" s="2">
        <v>125</v>
      </c>
    </row>
    <row r="91" spans="2:3" x14ac:dyDescent="0.3">
      <c r="B91" s="88">
        <v>1293779</v>
      </c>
      <c r="C91" s="2">
        <v>163</v>
      </c>
    </row>
    <row r="92" spans="2:3" x14ac:dyDescent="0.3">
      <c r="B92" s="88">
        <v>1311652</v>
      </c>
      <c r="C92" s="2">
        <v>83</v>
      </c>
    </row>
    <row r="93" spans="2:3" x14ac:dyDescent="0.3">
      <c r="B93" s="88">
        <v>1313939</v>
      </c>
      <c r="C93" s="2">
        <v>98</v>
      </c>
    </row>
    <row r="94" spans="2:3" x14ac:dyDescent="0.3">
      <c r="B94" s="88">
        <v>1315419</v>
      </c>
      <c r="C94" s="2">
        <v>89</v>
      </c>
    </row>
    <row r="95" spans="2:3" x14ac:dyDescent="0.3">
      <c r="B95" s="88">
        <v>1316380</v>
      </c>
      <c r="C95" s="2">
        <v>105</v>
      </c>
    </row>
    <row r="96" spans="2:3" x14ac:dyDescent="0.3">
      <c r="B96" s="88">
        <v>1317474</v>
      </c>
      <c r="C96" s="2">
        <v>123</v>
      </c>
    </row>
    <row r="97" spans="2:3" x14ac:dyDescent="0.3">
      <c r="B97" s="88">
        <v>1319171</v>
      </c>
      <c r="C97" s="2">
        <v>114</v>
      </c>
    </row>
    <row r="98" spans="2:3" x14ac:dyDescent="0.3">
      <c r="B98" s="88">
        <v>1327503</v>
      </c>
      <c r="C98" s="2">
        <v>85</v>
      </c>
    </row>
    <row r="99" spans="2:3" x14ac:dyDescent="0.3">
      <c r="B99" s="88">
        <v>1327665</v>
      </c>
      <c r="C99" s="2">
        <v>125</v>
      </c>
    </row>
    <row r="100" spans="2:3" x14ac:dyDescent="0.3">
      <c r="B100" s="88">
        <v>1328320</v>
      </c>
      <c r="C100" s="2">
        <v>122</v>
      </c>
    </row>
    <row r="101" spans="2:3" x14ac:dyDescent="0.3">
      <c r="B101" s="88">
        <v>1328659</v>
      </c>
      <c r="C101" s="2">
        <v>96</v>
      </c>
    </row>
    <row r="102" spans="2:3" x14ac:dyDescent="0.3">
      <c r="B102" s="88">
        <v>1328662</v>
      </c>
      <c r="C102" s="2">
        <v>142</v>
      </c>
    </row>
    <row r="103" spans="2:3" x14ac:dyDescent="0.3">
      <c r="B103" s="88">
        <v>1332079</v>
      </c>
      <c r="C103" s="2">
        <v>114</v>
      </c>
    </row>
    <row r="104" spans="2:3" x14ac:dyDescent="0.3">
      <c r="B104" s="88">
        <v>1333591</v>
      </c>
      <c r="C104" s="2">
        <v>139</v>
      </c>
    </row>
    <row r="105" spans="2:3" x14ac:dyDescent="0.3">
      <c r="B105" s="88">
        <v>1346554</v>
      </c>
      <c r="C105" s="2">
        <v>187</v>
      </c>
    </row>
    <row r="106" spans="2:3" x14ac:dyDescent="0.3">
      <c r="B106" s="88">
        <v>1362730</v>
      </c>
      <c r="C106" s="2">
        <v>239</v>
      </c>
    </row>
    <row r="107" spans="2:3" x14ac:dyDescent="0.3">
      <c r="B107" s="88">
        <v>1376298</v>
      </c>
      <c r="C107" s="2">
        <v>252</v>
      </c>
    </row>
    <row r="108" spans="2:3" x14ac:dyDescent="0.3">
      <c r="B108" s="88">
        <v>1391072</v>
      </c>
      <c r="C108" s="2">
        <v>224</v>
      </c>
    </row>
    <row r="109" spans="2:3" x14ac:dyDescent="0.3">
      <c r="B109" s="88">
        <v>1406214</v>
      </c>
      <c r="C109" s="2">
        <v>326</v>
      </c>
    </row>
    <row r="110" spans="2:3" x14ac:dyDescent="0.3">
      <c r="B110" s="88">
        <v>1413673</v>
      </c>
      <c r="C110" s="2">
        <v>303</v>
      </c>
    </row>
    <row r="111" spans="2:3" x14ac:dyDescent="0.3">
      <c r="B111" s="88">
        <v>1421652</v>
      </c>
      <c r="C111" s="2">
        <v>382</v>
      </c>
    </row>
    <row r="112" spans="2:3" x14ac:dyDescent="0.3">
      <c r="B112" s="88">
        <v>1446420</v>
      </c>
      <c r="C112" s="2">
        <v>91</v>
      </c>
    </row>
    <row r="113" spans="2:3" x14ac:dyDescent="0.3">
      <c r="B113" s="88">
        <v>1478073</v>
      </c>
      <c r="C113" s="2">
        <v>114</v>
      </c>
    </row>
    <row r="114" spans="2:3" x14ac:dyDescent="0.3">
      <c r="B114" s="88">
        <v>1478648</v>
      </c>
      <c r="C114" s="2">
        <v>104</v>
      </c>
    </row>
    <row r="115" spans="2:3" x14ac:dyDescent="0.3">
      <c r="B115" s="88">
        <v>1488444</v>
      </c>
      <c r="C115" s="2">
        <v>65</v>
      </c>
    </row>
    <row r="116" spans="2:3" x14ac:dyDescent="0.3">
      <c r="B116" s="88">
        <v>1497693</v>
      </c>
      <c r="C116" s="2">
        <v>87</v>
      </c>
    </row>
    <row r="117" spans="2:3" x14ac:dyDescent="0.3">
      <c r="B117" s="88">
        <v>1500717</v>
      </c>
      <c r="C117" s="2">
        <v>103</v>
      </c>
    </row>
    <row r="118" spans="2:3" x14ac:dyDescent="0.3">
      <c r="B118" s="88">
        <v>1528820</v>
      </c>
      <c r="C118" s="2">
        <v>101</v>
      </c>
    </row>
    <row r="119" spans="2:3" x14ac:dyDescent="0.3">
      <c r="B119" s="88">
        <v>1533895</v>
      </c>
      <c r="C119" s="2">
        <v>212</v>
      </c>
    </row>
    <row r="120" spans="2:3" x14ac:dyDescent="0.3">
      <c r="B120" s="88">
        <v>1536462</v>
      </c>
      <c r="C120" s="2">
        <v>91</v>
      </c>
    </row>
    <row r="121" spans="2:3" x14ac:dyDescent="0.3">
      <c r="B121" s="88">
        <v>1551162</v>
      </c>
      <c r="C121" s="2">
        <v>119</v>
      </c>
    </row>
    <row r="122" spans="2:3" x14ac:dyDescent="0.3">
      <c r="B122" s="88">
        <v>1555888</v>
      </c>
      <c r="C122" s="2">
        <v>170</v>
      </c>
    </row>
    <row r="123" spans="2:3" x14ac:dyDescent="0.3">
      <c r="B123" s="88">
        <v>1647510</v>
      </c>
      <c r="C123" s="2">
        <v>184</v>
      </c>
    </row>
    <row r="124" spans="2:3" x14ac:dyDescent="0.3">
      <c r="B124" s="88">
        <v>1649653</v>
      </c>
      <c r="C124" s="2">
        <v>198</v>
      </c>
    </row>
    <row r="125" spans="2:3" x14ac:dyDescent="0.3">
      <c r="B125" s="88">
        <v>1664880</v>
      </c>
      <c r="C125" s="2">
        <v>175</v>
      </c>
    </row>
    <row r="126" spans="2:3" x14ac:dyDescent="0.3">
      <c r="B126" s="88">
        <v>1667899</v>
      </c>
      <c r="C126" s="2">
        <v>166</v>
      </c>
    </row>
    <row r="127" spans="2:3" x14ac:dyDescent="0.3">
      <c r="B127" s="88">
        <v>1685021</v>
      </c>
      <c r="C127" s="2">
        <v>158</v>
      </c>
    </row>
    <row r="128" spans="2:3" x14ac:dyDescent="0.3">
      <c r="B128" s="88">
        <v>1704944</v>
      </c>
      <c r="C128" s="2">
        <v>157</v>
      </c>
    </row>
    <row r="129" spans="2:3" x14ac:dyDescent="0.3">
      <c r="B129" s="88">
        <v>1705683</v>
      </c>
      <c r="C129" s="2">
        <v>215</v>
      </c>
    </row>
    <row r="130" spans="2:3" x14ac:dyDescent="0.3">
      <c r="B130" s="88">
        <v>1710460</v>
      </c>
      <c r="C130" s="2">
        <v>199</v>
      </c>
    </row>
    <row r="131" spans="2:3" x14ac:dyDescent="0.3">
      <c r="B131" s="88">
        <v>1715461</v>
      </c>
      <c r="C131" s="2">
        <v>164</v>
      </c>
    </row>
    <row r="132" spans="2:3" x14ac:dyDescent="0.3">
      <c r="B132" s="88">
        <v>1724851</v>
      </c>
      <c r="C132" s="2">
        <v>207</v>
      </c>
    </row>
    <row r="133" spans="2:3" x14ac:dyDescent="0.3">
      <c r="B133" s="88">
        <v>1736362</v>
      </c>
      <c r="C133" s="2">
        <v>149</v>
      </c>
    </row>
    <row r="134" spans="2:3" x14ac:dyDescent="0.3">
      <c r="B134" s="88">
        <v>1736643</v>
      </c>
      <c r="C134" s="2">
        <v>135</v>
      </c>
    </row>
    <row r="135" spans="2:3" x14ac:dyDescent="0.3">
      <c r="B135" s="88">
        <v>1738913</v>
      </c>
      <c r="C135" s="2">
        <v>194</v>
      </c>
    </row>
    <row r="136" spans="2:3" x14ac:dyDescent="0.3">
      <c r="B136" s="88">
        <v>1771937</v>
      </c>
      <c r="C136" s="2">
        <v>174</v>
      </c>
    </row>
    <row r="137" spans="2:3" x14ac:dyDescent="0.3">
      <c r="B137" s="88">
        <v>1772884</v>
      </c>
      <c r="C137" s="2">
        <v>186</v>
      </c>
    </row>
    <row r="138" spans="2:3" x14ac:dyDescent="0.3">
      <c r="B138" s="88">
        <v>1795084</v>
      </c>
      <c r="C138" s="2">
        <v>178</v>
      </c>
    </row>
    <row r="139" spans="2:3" x14ac:dyDescent="0.3">
      <c r="B139" s="88">
        <v>1938776</v>
      </c>
      <c r="C139" s="2">
        <v>109</v>
      </c>
    </row>
    <row r="140" spans="2:3" x14ac:dyDescent="0.3">
      <c r="B140" s="88">
        <v>1964860</v>
      </c>
      <c r="C140" s="2">
        <v>132</v>
      </c>
    </row>
    <row r="141" spans="2:3" x14ac:dyDescent="0.3">
      <c r="B141" s="88">
        <v>1982961</v>
      </c>
      <c r="C141" s="2">
        <v>129</v>
      </c>
    </row>
    <row r="142" spans="2:3" x14ac:dyDescent="0.3">
      <c r="B142" s="88">
        <v>1983544</v>
      </c>
      <c r="C142" s="2">
        <v>122</v>
      </c>
    </row>
    <row r="143" spans="2:3" x14ac:dyDescent="0.3">
      <c r="B143" s="88">
        <v>1986823</v>
      </c>
      <c r="C143" s="2">
        <v>111</v>
      </c>
    </row>
    <row r="144" spans="2:3" x14ac:dyDescent="0.3">
      <c r="B144" s="88">
        <v>2000639</v>
      </c>
      <c r="C144" s="2">
        <v>118</v>
      </c>
    </row>
    <row r="145" spans="2:3" x14ac:dyDescent="0.3">
      <c r="B145" s="88">
        <v>2004994</v>
      </c>
      <c r="C145" s="2">
        <v>153</v>
      </c>
    </row>
    <row r="146" spans="2:3" x14ac:dyDescent="0.3">
      <c r="B146" s="88">
        <v>2011766</v>
      </c>
      <c r="C146" s="2">
        <v>141</v>
      </c>
    </row>
    <row r="147" spans="2:3" x14ac:dyDescent="0.3">
      <c r="B147" s="88">
        <v>2022695</v>
      </c>
      <c r="C147" s="2">
        <v>99</v>
      </c>
    </row>
    <row r="148" spans="2:3" x14ac:dyDescent="0.3">
      <c r="B148" s="88">
        <v>2359802</v>
      </c>
      <c r="C148" s="2">
        <v>219</v>
      </c>
    </row>
    <row r="149" spans="2:3" x14ac:dyDescent="0.3">
      <c r="B149" s="88">
        <v>2534911</v>
      </c>
      <c r="C149" s="2">
        <v>150</v>
      </c>
    </row>
    <row r="150" spans="2:3" x14ac:dyDescent="0.3">
      <c r="B150" s="88">
        <v>2604519</v>
      </c>
      <c r="C150" s="2">
        <v>260</v>
      </c>
    </row>
    <row r="151" spans="2:3" x14ac:dyDescent="0.3">
      <c r="B151" s="88">
        <v>2626356</v>
      </c>
      <c r="C151" s="2">
        <v>239</v>
      </c>
    </row>
    <row r="152" spans="2:3" x14ac:dyDescent="0.3">
      <c r="B152" s="88">
        <v>2632280</v>
      </c>
      <c r="C152" s="2">
        <v>118</v>
      </c>
    </row>
    <row r="153" spans="2:3" x14ac:dyDescent="0.3">
      <c r="B153" s="88">
        <v>2633331</v>
      </c>
      <c r="C153" s="2">
        <v>116</v>
      </c>
    </row>
    <row r="154" spans="2:3" x14ac:dyDescent="0.3">
      <c r="B154" s="88">
        <v>2635122</v>
      </c>
      <c r="C154" s="2">
        <v>155</v>
      </c>
    </row>
    <row r="155" spans="2:3" x14ac:dyDescent="0.3">
      <c r="B155" s="88">
        <v>2655575</v>
      </c>
      <c r="C155" s="2">
        <v>152</v>
      </c>
    </row>
    <row r="156" spans="2:3" x14ac:dyDescent="0.3">
      <c r="B156" s="88">
        <v>2661806</v>
      </c>
      <c r="C156" s="2">
        <v>327</v>
      </c>
    </row>
    <row r="157" spans="2:3" x14ac:dyDescent="0.3">
      <c r="B157" s="88">
        <v>2667325</v>
      </c>
      <c r="C157" s="2">
        <v>107</v>
      </c>
    </row>
    <row r="158" spans="2:3" x14ac:dyDescent="0.3">
      <c r="B158" s="88">
        <v>2669454</v>
      </c>
      <c r="C158" s="2">
        <v>137</v>
      </c>
    </row>
    <row r="159" spans="2:3" x14ac:dyDescent="0.3">
      <c r="B159" s="88">
        <v>2670889</v>
      </c>
      <c r="C159" s="2">
        <v>403</v>
      </c>
    </row>
    <row r="160" spans="2:3" x14ac:dyDescent="0.3">
      <c r="B160" s="88">
        <v>2684563</v>
      </c>
      <c r="C160" s="2">
        <v>241</v>
      </c>
    </row>
    <row r="161" spans="2:3" x14ac:dyDescent="0.3">
      <c r="B161" s="88">
        <v>2710163</v>
      </c>
      <c r="C161" s="2">
        <v>171</v>
      </c>
    </row>
    <row r="162" spans="2:3" x14ac:dyDescent="0.3">
      <c r="B162" s="88">
        <v>2713827</v>
      </c>
      <c r="C162" s="2">
        <v>285</v>
      </c>
    </row>
    <row r="163" spans="2:3" x14ac:dyDescent="0.3">
      <c r="B163" s="88">
        <v>2715451</v>
      </c>
      <c r="C163" s="2">
        <v>333</v>
      </c>
    </row>
    <row r="164" spans="2:3" x14ac:dyDescent="0.3">
      <c r="B164" s="88">
        <v>2723656</v>
      </c>
      <c r="C164" s="2">
        <v>307</v>
      </c>
    </row>
    <row r="165" spans="2:3" x14ac:dyDescent="0.3">
      <c r="B165" s="88">
        <v>2724670</v>
      </c>
      <c r="C165" s="2">
        <v>122</v>
      </c>
    </row>
    <row r="166" spans="2:3" x14ac:dyDescent="0.3">
      <c r="B166" s="88">
        <v>2728338</v>
      </c>
      <c r="C166" s="2">
        <v>294</v>
      </c>
    </row>
    <row r="167" spans="2:3" x14ac:dyDescent="0.3">
      <c r="B167" s="88">
        <v>2728504</v>
      </c>
      <c r="C167" s="2">
        <v>303</v>
      </c>
    </row>
    <row r="168" spans="2:3" x14ac:dyDescent="0.3">
      <c r="B168" s="88">
        <v>2734051</v>
      </c>
      <c r="C168" s="2">
        <v>374</v>
      </c>
    </row>
    <row r="169" spans="2:3" x14ac:dyDescent="0.3">
      <c r="B169" s="88">
        <v>2734347</v>
      </c>
      <c r="C169" s="2">
        <v>263</v>
      </c>
    </row>
    <row r="170" spans="2:3" x14ac:dyDescent="0.3">
      <c r="B170" s="88">
        <v>2739882</v>
      </c>
      <c r="C170" s="2">
        <v>268</v>
      </c>
    </row>
    <row r="171" spans="2:3" x14ac:dyDescent="0.3">
      <c r="B171" s="88">
        <v>2741881</v>
      </c>
      <c r="C171" s="2">
        <v>272</v>
      </c>
    </row>
    <row r="172" spans="2:3" x14ac:dyDescent="0.3">
      <c r="B172" s="88">
        <v>2746115</v>
      </c>
      <c r="C172" s="2">
        <v>143</v>
      </c>
    </row>
    <row r="173" spans="2:3" x14ac:dyDescent="0.3">
      <c r="B173" s="88">
        <v>2747187</v>
      </c>
      <c r="C173" s="2">
        <v>290</v>
      </c>
    </row>
    <row r="174" spans="2:3" x14ac:dyDescent="0.3">
      <c r="B174" s="88">
        <v>2753090</v>
      </c>
      <c r="C174" s="2">
        <v>177</v>
      </c>
    </row>
    <row r="175" spans="2:3" x14ac:dyDescent="0.3">
      <c r="B175" s="88">
        <v>2753252</v>
      </c>
      <c r="C175" s="2">
        <v>217</v>
      </c>
    </row>
    <row r="176" spans="2:3" x14ac:dyDescent="0.3">
      <c r="B176" s="88">
        <v>2765788</v>
      </c>
      <c r="C176" s="2">
        <v>322</v>
      </c>
    </row>
    <row r="177" spans="2:3" x14ac:dyDescent="0.3">
      <c r="B177" s="88">
        <v>2767816</v>
      </c>
      <c r="C177" s="2">
        <v>360</v>
      </c>
    </row>
    <row r="178" spans="2:3" x14ac:dyDescent="0.3">
      <c r="B178" s="88">
        <v>2773776</v>
      </c>
      <c r="C178" s="2">
        <v>147</v>
      </c>
    </row>
    <row r="179" spans="2:3" x14ac:dyDescent="0.3">
      <c r="B179" s="88">
        <v>2781980</v>
      </c>
      <c r="C179" s="2">
        <v>348</v>
      </c>
    </row>
    <row r="180" spans="2:3" x14ac:dyDescent="0.3">
      <c r="B180" s="88">
        <v>2786183</v>
      </c>
      <c r="C180" s="2">
        <v>175</v>
      </c>
    </row>
    <row r="181" spans="2:3" x14ac:dyDescent="0.3">
      <c r="B181" s="88">
        <v>2787856</v>
      </c>
      <c r="C181" s="2">
        <v>237</v>
      </c>
    </row>
    <row r="182" spans="2:3" x14ac:dyDescent="0.3">
      <c r="B182" s="88">
        <v>2802853</v>
      </c>
      <c r="C182" s="2">
        <v>353</v>
      </c>
    </row>
    <row r="183" spans="2:3" x14ac:dyDescent="0.3">
      <c r="B183" s="88">
        <v>2804554</v>
      </c>
      <c r="C183" s="2">
        <v>240</v>
      </c>
    </row>
    <row r="184" spans="2:3" x14ac:dyDescent="0.3">
      <c r="B184" s="88">
        <v>2810919</v>
      </c>
      <c r="C184" s="2">
        <v>282</v>
      </c>
    </row>
    <row r="185" spans="2:3" x14ac:dyDescent="0.3">
      <c r="B185" s="88">
        <v>2812703</v>
      </c>
      <c r="C185" s="2">
        <v>335</v>
      </c>
    </row>
    <row r="186" spans="2:3" x14ac:dyDescent="0.3">
      <c r="B186" s="88">
        <v>2818364</v>
      </c>
      <c r="C186" s="2">
        <v>154</v>
      </c>
    </row>
    <row r="187" spans="2:3" x14ac:dyDescent="0.3">
      <c r="B187" s="88">
        <v>2821637</v>
      </c>
      <c r="C187" s="2">
        <v>222</v>
      </c>
    </row>
    <row r="188" spans="2:3" x14ac:dyDescent="0.3">
      <c r="B188" s="88">
        <v>2821915</v>
      </c>
      <c r="C188" s="2">
        <v>121</v>
      </c>
    </row>
    <row r="189" spans="2:3" x14ac:dyDescent="0.3">
      <c r="B189" s="88">
        <v>2827543</v>
      </c>
      <c r="C189" s="2">
        <v>343</v>
      </c>
    </row>
    <row r="190" spans="2:3" x14ac:dyDescent="0.3">
      <c r="B190" s="88">
        <v>2832822</v>
      </c>
      <c r="C190" s="2">
        <v>161</v>
      </c>
    </row>
    <row r="191" spans="2:3" x14ac:dyDescent="0.3">
      <c r="B191" s="88">
        <v>2838143</v>
      </c>
      <c r="C191" s="2">
        <v>288</v>
      </c>
    </row>
    <row r="192" spans="2:3" x14ac:dyDescent="0.3">
      <c r="B192" s="88">
        <v>2839845</v>
      </c>
      <c r="C192" s="2">
        <v>388</v>
      </c>
    </row>
    <row r="193" spans="2:3" x14ac:dyDescent="0.3">
      <c r="B193" s="88">
        <v>2850866</v>
      </c>
      <c r="C193" s="2">
        <v>263</v>
      </c>
    </row>
    <row r="194" spans="2:3" x14ac:dyDescent="0.3">
      <c r="B194" s="88">
        <v>2860431</v>
      </c>
      <c r="C194" s="2">
        <v>353</v>
      </c>
    </row>
    <row r="195" spans="2:3" x14ac:dyDescent="0.3">
      <c r="B195" s="88">
        <v>2869335</v>
      </c>
      <c r="C195" s="2">
        <v>452</v>
      </c>
    </row>
    <row r="196" spans="2:3" x14ac:dyDescent="0.3">
      <c r="B196" s="88">
        <v>2876836</v>
      </c>
      <c r="C196" s="2">
        <v>160</v>
      </c>
    </row>
    <row r="197" spans="2:3" x14ac:dyDescent="0.3">
      <c r="B197" s="88">
        <v>2887710</v>
      </c>
      <c r="C197" s="2">
        <v>107</v>
      </c>
    </row>
    <row r="198" spans="2:3" x14ac:dyDescent="0.3">
      <c r="B198" s="88">
        <v>2898743</v>
      </c>
      <c r="C198" s="2">
        <v>319</v>
      </c>
    </row>
    <row r="199" spans="2:3" x14ac:dyDescent="0.3">
      <c r="B199" s="88">
        <v>2922240</v>
      </c>
      <c r="C199" s="2">
        <v>219</v>
      </c>
    </row>
    <row r="200" spans="2:3" x14ac:dyDescent="0.3">
      <c r="B200" s="88">
        <v>2939403</v>
      </c>
      <c r="C200" s="2">
        <v>342</v>
      </c>
    </row>
    <row r="201" spans="2:3" x14ac:dyDescent="0.3">
      <c r="B201" s="88">
        <v>2960615</v>
      </c>
      <c r="C201" s="2">
        <v>411</v>
      </c>
    </row>
    <row r="202" spans="2:3" x14ac:dyDescent="0.3">
      <c r="B202" s="88">
        <v>3494487</v>
      </c>
      <c r="C202" s="2">
        <v>364</v>
      </c>
    </row>
    <row r="203" spans="2:3" x14ac:dyDescent="0.3">
      <c r="B203" s="88">
        <v>3517847</v>
      </c>
      <c r="C203" s="2">
        <v>326</v>
      </c>
    </row>
    <row r="204" spans="2:3" x14ac:dyDescent="0.3">
      <c r="B204" s="88">
        <v>3545837</v>
      </c>
      <c r="C204" s="2">
        <v>339</v>
      </c>
    </row>
    <row r="205" spans="2:3" x14ac:dyDescent="0.3">
      <c r="B205" s="88">
        <v>3556790</v>
      </c>
      <c r="C205" s="2">
        <v>196</v>
      </c>
    </row>
    <row r="206" spans="2:3" x14ac:dyDescent="0.3">
      <c r="B206" s="88">
        <v>3558172</v>
      </c>
      <c r="C206" s="2">
        <v>415</v>
      </c>
    </row>
    <row r="207" spans="2:3" x14ac:dyDescent="0.3">
      <c r="B207" s="88">
        <v>3565277</v>
      </c>
      <c r="C207" s="2">
        <v>206</v>
      </c>
    </row>
    <row r="208" spans="2:3" x14ac:dyDescent="0.3">
      <c r="B208" s="88">
        <v>3572213</v>
      </c>
      <c r="C208" s="2">
        <v>317</v>
      </c>
    </row>
    <row r="209" spans="2:3" x14ac:dyDescent="0.3">
      <c r="B209" s="88">
        <v>3583561</v>
      </c>
      <c r="C209" s="2">
        <v>377</v>
      </c>
    </row>
    <row r="210" spans="2:3" x14ac:dyDescent="0.3">
      <c r="B210" s="88">
        <v>3585355</v>
      </c>
      <c r="C210" s="2">
        <v>257</v>
      </c>
    </row>
    <row r="211" spans="2:3" x14ac:dyDescent="0.3">
      <c r="B211" s="88">
        <v>3585543</v>
      </c>
      <c r="C211" s="2">
        <v>326</v>
      </c>
    </row>
    <row r="212" spans="2:3" x14ac:dyDescent="0.3">
      <c r="B212" s="88">
        <v>3588570</v>
      </c>
      <c r="C212" s="2">
        <v>307</v>
      </c>
    </row>
    <row r="213" spans="2:3" x14ac:dyDescent="0.3">
      <c r="B213" s="88">
        <v>3592053</v>
      </c>
      <c r="C213" s="2">
        <v>364</v>
      </c>
    </row>
    <row r="214" spans="2:3" x14ac:dyDescent="0.3">
      <c r="B214" s="88">
        <v>3593222</v>
      </c>
      <c r="C214" s="2">
        <v>397</v>
      </c>
    </row>
    <row r="215" spans="2:3" x14ac:dyDescent="0.3">
      <c r="B215" s="88">
        <v>3594478</v>
      </c>
      <c r="C215" s="2">
        <v>389</v>
      </c>
    </row>
    <row r="216" spans="2:3" x14ac:dyDescent="0.3">
      <c r="B216" s="88">
        <v>3615153</v>
      </c>
      <c r="C216" s="2">
        <v>298</v>
      </c>
    </row>
    <row r="217" spans="2:3" x14ac:dyDescent="0.3">
      <c r="B217" s="88">
        <v>3651309</v>
      </c>
      <c r="C217" s="2">
        <v>305</v>
      </c>
    </row>
    <row r="218" spans="2:3" x14ac:dyDescent="0.3">
      <c r="B218" s="88">
        <v>3657767</v>
      </c>
      <c r="C218" s="2">
        <v>256</v>
      </c>
    </row>
    <row r="219" spans="2:3" x14ac:dyDescent="0.3">
      <c r="B219" s="88">
        <v>3683908</v>
      </c>
      <c r="C219" s="2">
        <v>193</v>
      </c>
    </row>
    <row r="220" spans="2:3" x14ac:dyDescent="0.3">
      <c r="B220" s="88">
        <v>3694697</v>
      </c>
      <c r="C220" s="2">
        <v>211</v>
      </c>
    </row>
    <row r="221" spans="2:3" x14ac:dyDescent="0.3">
      <c r="B221" s="88">
        <v>3700201</v>
      </c>
      <c r="C221" s="2">
        <v>229</v>
      </c>
    </row>
    <row r="222" spans="2:3" x14ac:dyDescent="0.3">
      <c r="B222" s="88">
        <v>3745417</v>
      </c>
      <c r="C222" s="2">
        <v>208</v>
      </c>
    </row>
    <row r="223" spans="2:3" x14ac:dyDescent="0.3">
      <c r="B223" s="88">
        <v>3754561</v>
      </c>
      <c r="C223" s="2">
        <v>227</v>
      </c>
    </row>
    <row r="224" spans="2:3" x14ac:dyDescent="0.3">
      <c r="B224" s="88">
        <v>3766332</v>
      </c>
      <c r="C224" s="2">
        <v>236</v>
      </c>
    </row>
    <row r="225" spans="2:3" x14ac:dyDescent="0.3">
      <c r="B225" s="88">
        <v>3777831</v>
      </c>
      <c r="C225" s="2">
        <v>225</v>
      </c>
    </row>
    <row r="226" spans="2:3" x14ac:dyDescent="0.3">
      <c r="B226" s="88">
        <v>3795375</v>
      </c>
      <c r="C226" s="2">
        <v>186</v>
      </c>
    </row>
    <row r="227" spans="2:3" x14ac:dyDescent="0.3">
      <c r="B227" s="88">
        <v>3889371</v>
      </c>
      <c r="C227" s="2">
        <v>328</v>
      </c>
    </row>
    <row r="228" spans="2:3" x14ac:dyDescent="0.3">
      <c r="B228" s="88">
        <v>3917871</v>
      </c>
      <c r="C228" s="2">
        <v>264</v>
      </c>
    </row>
    <row r="229" spans="2:3" x14ac:dyDescent="0.3">
      <c r="B229" s="88">
        <v>3967316</v>
      </c>
      <c r="C229" s="2">
        <v>175</v>
      </c>
    </row>
    <row r="230" spans="2:3" x14ac:dyDescent="0.3">
      <c r="B230" s="88">
        <v>4028763</v>
      </c>
      <c r="C230" s="2">
        <v>374</v>
      </c>
    </row>
    <row r="231" spans="2:3" x14ac:dyDescent="0.3">
      <c r="B231" s="88">
        <v>4032267</v>
      </c>
      <c r="C231" s="2">
        <v>407</v>
      </c>
    </row>
    <row r="232" spans="2:3" x14ac:dyDescent="0.3">
      <c r="B232" s="88">
        <v>4058257</v>
      </c>
      <c r="C232" s="2">
        <v>318</v>
      </c>
    </row>
    <row r="233" spans="2:3" x14ac:dyDescent="0.3">
      <c r="B233" s="88">
        <v>4079475</v>
      </c>
      <c r="C233" s="2">
        <v>386</v>
      </c>
    </row>
    <row r="234" spans="2:3" x14ac:dyDescent="0.3">
      <c r="B234" s="88">
        <v>4095114</v>
      </c>
      <c r="C234" s="2">
        <v>377</v>
      </c>
    </row>
    <row r="235" spans="2:3" x14ac:dyDescent="0.3">
      <c r="B235" s="88">
        <v>4139395</v>
      </c>
      <c r="C235" s="2">
        <v>390</v>
      </c>
    </row>
    <row r="236" spans="2:3" x14ac:dyDescent="0.3">
      <c r="B236" s="88">
        <v>4188969</v>
      </c>
      <c r="C236" s="2">
        <v>357</v>
      </c>
    </row>
    <row r="237" spans="2:3" x14ac:dyDescent="0.3">
      <c r="B237" s="88">
        <v>4238868</v>
      </c>
      <c r="C237" s="2">
        <v>398</v>
      </c>
    </row>
    <row r="238" spans="2:3" x14ac:dyDescent="0.3">
      <c r="B238" s="88">
        <v>4325940</v>
      </c>
      <c r="C238" s="2">
        <v>344</v>
      </c>
    </row>
    <row r="239" spans="2:3" x14ac:dyDescent="0.3">
      <c r="B239" s="88">
        <v>4336750</v>
      </c>
      <c r="C239" s="2">
        <v>271</v>
      </c>
    </row>
    <row r="240" spans="2:3" x14ac:dyDescent="0.3">
      <c r="B240" s="88">
        <v>4365242</v>
      </c>
      <c r="C240" s="2">
        <v>313</v>
      </c>
    </row>
    <row r="241" spans="2:3" x14ac:dyDescent="0.3">
      <c r="B241" s="88">
        <v>4386090</v>
      </c>
      <c r="C241" s="2">
        <v>296</v>
      </c>
    </row>
    <row r="242" spans="2:3" x14ac:dyDescent="0.3">
      <c r="B242" s="88">
        <v>4386451</v>
      </c>
      <c r="C242" s="2">
        <v>313</v>
      </c>
    </row>
    <row r="243" spans="2:3" x14ac:dyDescent="0.3">
      <c r="B243" s="88">
        <v>4389964</v>
      </c>
      <c r="C243" s="2">
        <v>291</v>
      </c>
    </row>
    <row r="244" spans="2:3" x14ac:dyDescent="0.3">
      <c r="B244" s="88">
        <v>4392118</v>
      </c>
      <c r="C244" s="2">
        <v>381</v>
      </c>
    </row>
    <row r="245" spans="2:3" x14ac:dyDescent="0.3">
      <c r="B245" s="88">
        <v>4411546</v>
      </c>
      <c r="C245" s="2">
        <v>345</v>
      </c>
    </row>
    <row r="246" spans="2:3" x14ac:dyDescent="0.3">
      <c r="B246" s="88">
        <v>4421853</v>
      </c>
      <c r="C246" s="2">
        <v>338</v>
      </c>
    </row>
    <row r="247" spans="2:3" x14ac:dyDescent="0.3">
      <c r="B247" s="88">
        <v>4461249</v>
      </c>
      <c r="C247" s="2">
        <v>292</v>
      </c>
    </row>
    <row r="248" spans="2:3" x14ac:dyDescent="0.3">
      <c r="B248" s="88">
        <v>4465332</v>
      </c>
      <c r="C248" s="2">
        <v>341</v>
      </c>
    </row>
    <row r="249" spans="2:3" x14ac:dyDescent="0.3">
      <c r="B249" s="88">
        <v>4470686</v>
      </c>
      <c r="C249" s="2">
        <v>327</v>
      </c>
    </row>
    <row r="250" spans="2:3" x14ac:dyDescent="0.3">
      <c r="B250" s="88">
        <v>4484261</v>
      </c>
      <c r="C250" s="2">
        <v>253</v>
      </c>
    </row>
    <row r="251" spans="2:3" x14ac:dyDescent="0.3">
      <c r="B251" s="88">
        <v>4506075</v>
      </c>
      <c r="C251" s="2">
        <v>345</v>
      </c>
    </row>
    <row r="252" spans="2:3" x14ac:dyDescent="0.3">
      <c r="B252" s="88">
        <v>4529479</v>
      </c>
      <c r="C252" s="2">
        <v>287</v>
      </c>
    </row>
    <row r="253" spans="2:3" x14ac:dyDescent="0.3">
      <c r="B253" s="88">
        <v>4543805</v>
      </c>
      <c r="C253" s="2">
        <v>289</v>
      </c>
    </row>
    <row r="254" spans="2:3" x14ac:dyDescent="0.3">
      <c r="B254" s="88">
        <v>4550723</v>
      </c>
      <c r="C254" s="2">
        <v>282</v>
      </c>
    </row>
    <row r="255" spans="2:3" x14ac:dyDescent="0.3">
      <c r="B255" s="88">
        <v>4561172</v>
      </c>
      <c r="C255" s="2">
        <v>328</v>
      </c>
    </row>
    <row r="256" spans="2:3" x14ac:dyDescent="0.3">
      <c r="B256" s="88">
        <v>4593341</v>
      </c>
      <c r="C256" s="2">
        <v>375</v>
      </c>
    </row>
    <row r="257" spans="2:3" x14ac:dyDescent="0.3">
      <c r="B257" s="88">
        <v>4629937</v>
      </c>
      <c r="C257" s="2">
        <v>256</v>
      </c>
    </row>
    <row r="258" spans="2:3" x14ac:dyDescent="0.3">
      <c r="B258" s="88">
        <v>4633360</v>
      </c>
      <c r="C258" s="2">
        <v>356</v>
      </c>
    </row>
    <row r="259" spans="2:3" x14ac:dyDescent="0.3">
      <c r="B259" s="88">
        <v>4643557</v>
      </c>
      <c r="C259" s="2">
        <v>381</v>
      </c>
    </row>
    <row r="260" spans="2:3" x14ac:dyDescent="0.3">
      <c r="B260" s="88">
        <v>4690668</v>
      </c>
      <c r="C260" s="2">
        <v>348</v>
      </c>
    </row>
    <row r="261" spans="2:3" x14ac:dyDescent="0.3">
      <c r="B261" s="88">
        <v>4724744</v>
      </c>
      <c r="C261" s="2">
        <v>348</v>
      </c>
    </row>
    <row r="262" spans="2:3" x14ac:dyDescent="0.3">
      <c r="B262" s="88">
        <v>4731552</v>
      </c>
      <c r="C262" s="2">
        <v>244</v>
      </c>
    </row>
    <row r="263" spans="2:3" x14ac:dyDescent="0.3">
      <c r="B263" s="88">
        <v>4735974</v>
      </c>
      <c r="C263" s="2">
        <v>251</v>
      </c>
    </row>
    <row r="264" spans="2:3" x14ac:dyDescent="0.3">
      <c r="B264" s="88">
        <v>4750734</v>
      </c>
      <c r="C264" s="2">
        <v>358</v>
      </c>
    </row>
    <row r="265" spans="2:3" x14ac:dyDescent="0.3">
      <c r="B265" s="88">
        <v>4843211</v>
      </c>
      <c r="C265" s="2">
        <v>266</v>
      </c>
    </row>
    <row r="266" spans="2:3" x14ac:dyDescent="0.3">
      <c r="B266" s="88">
        <v>4846649</v>
      </c>
      <c r="C266" s="2">
        <v>260</v>
      </c>
    </row>
    <row r="267" spans="2:3" x14ac:dyDescent="0.3">
      <c r="B267" s="88">
        <v>4917956</v>
      </c>
      <c r="C267" s="2">
        <v>254</v>
      </c>
    </row>
    <row r="268" spans="2:3" x14ac:dyDescent="0.3">
      <c r="B268" s="88">
        <v>4926905</v>
      </c>
      <c r="C268" s="2">
        <v>377</v>
      </c>
    </row>
    <row r="269" spans="2:3" x14ac:dyDescent="0.3">
      <c r="B269" s="88">
        <v>4941466</v>
      </c>
      <c r="C269" s="2">
        <v>272</v>
      </c>
    </row>
    <row r="270" spans="2:3" x14ac:dyDescent="0.3">
      <c r="B270" s="88">
        <v>5031800</v>
      </c>
      <c r="C270" s="2">
        <v>366</v>
      </c>
    </row>
    <row r="271" spans="2:3" x14ac:dyDescent="0.3">
      <c r="B271" s="88">
        <v>5039568</v>
      </c>
      <c r="C271" s="2">
        <v>286</v>
      </c>
    </row>
    <row r="272" spans="2:3" x14ac:dyDescent="0.3">
      <c r="B272" s="88">
        <v>5049758</v>
      </c>
      <c r="C272" s="2">
        <v>394</v>
      </c>
    </row>
    <row r="273" spans="2:3" x14ac:dyDescent="0.3">
      <c r="B273" s="88">
        <v>5066888</v>
      </c>
      <c r="C273" s="2">
        <v>280</v>
      </c>
    </row>
    <row r="274" spans="2:3" x14ac:dyDescent="0.3">
      <c r="B274" s="88">
        <v>5150296</v>
      </c>
      <c r="C274" s="2">
        <v>307</v>
      </c>
    </row>
    <row r="275" spans="2:3" x14ac:dyDescent="0.3">
      <c r="B275" s="88">
        <v>5151270</v>
      </c>
      <c r="C275" s="2">
        <v>415</v>
      </c>
    </row>
    <row r="276" spans="2:3" x14ac:dyDescent="0.3">
      <c r="B276" s="88">
        <v>5167393</v>
      </c>
      <c r="C276" s="2">
        <v>337</v>
      </c>
    </row>
    <row r="277" spans="2:3" x14ac:dyDescent="0.3">
      <c r="B277" s="88">
        <v>5168946</v>
      </c>
      <c r="C277" s="2">
        <v>348</v>
      </c>
    </row>
    <row r="278" spans="2:3" x14ac:dyDescent="0.3">
      <c r="B278" s="88">
        <v>5192492</v>
      </c>
      <c r="C278" s="2">
        <v>420</v>
      </c>
    </row>
    <row r="279" spans="2:3" x14ac:dyDescent="0.3">
      <c r="B279" s="88">
        <v>5195428</v>
      </c>
      <c r="C279" s="2">
        <v>275</v>
      </c>
    </row>
    <row r="280" spans="2:3" x14ac:dyDescent="0.3">
      <c r="B280" s="88">
        <v>5225189</v>
      </c>
      <c r="C280" s="2">
        <v>230</v>
      </c>
    </row>
    <row r="281" spans="2:3" x14ac:dyDescent="0.3">
      <c r="B281" s="88">
        <v>5228533</v>
      </c>
      <c r="C281" s="2">
        <v>355</v>
      </c>
    </row>
    <row r="282" spans="2:3" x14ac:dyDescent="0.3">
      <c r="B282" s="88">
        <v>5296497</v>
      </c>
      <c r="C282" s="2">
        <v>246</v>
      </c>
    </row>
    <row r="283" spans="2:3" x14ac:dyDescent="0.3">
      <c r="B283" s="88">
        <v>5423610</v>
      </c>
      <c r="C283" s="2">
        <v>595</v>
      </c>
    </row>
    <row r="284" spans="2:3" x14ac:dyDescent="0.3">
      <c r="B284" s="88">
        <v>5429786</v>
      </c>
      <c r="C284" s="2">
        <v>532</v>
      </c>
    </row>
    <row r="285" spans="2:3" x14ac:dyDescent="0.3">
      <c r="B285" s="88">
        <v>5438085</v>
      </c>
      <c r="C285" s="2">
        <v>471</v>
      </c>
    </row>
    <row r="286" spans="2:3" x14ac:dyDescent="0.3">
      <c r="B286" s="88">
        <v>5444586</v>
      </c>
      <c r="C286" s="2">
        <v>521</v>
      </c>
    </row>
    <row r="287" spans="2:3" x14ac:dyDescent="0.3">
      <c r="B287" s="88">
        <v>5494993</v>
      </c>
      <c r="C287" s="2">
        <v>642</v>
      </c>
    </row>
    <row r="288" spans="2:3" x14ac:dyDescent="0.3">
      <c r="B288" s="88">
        <v>5527204</v>
      </c>
      <c r="C288" s="2">
        <v>501</v>
      </c>
    </row>
    <row r="289" spans="2:3" x14ac:dyDescent="0.3">
      <c r="B289" s="88">
        <v>5548036</v>
      </c>
      <c r="C289" s="2">
        <v>560</v>
      </c>
    </row>
    <row r="290" spans="2:3" x14ac:dyDescent="0.3">
      <c r="B290" s="88">
        <v>5551257</v>
      </c>
      <c r="C290" s="2">
        <v>546</v>
      </c>
    </row>
    <row r="291" spans="2:3" x14ac:dyDescent="0.3">
      <c r="B291" s="88">
        <v>5559645</v>
      </c>
      <c r="C291" s="2">
        <v>647</v>
      </c>
    </row>
    <row r="292" spans="2:3" x14ac:dyDescent="0.3">
      <c r="B292" s="88">
        <v>5568992</v>
      </c>
      <c r="C292" s="2">
        <v>566</v>
      </c>
    </row>
    <row r="293" spans="2:3" x14ac:dyDescent="0.3">
      <c r="B293" s="88">
        <v>5583015</v>
      </c>
      <c r="C293" s="2">
        <v>663</v>
      </c>
    </row>
    <row r="294" spans="2:3" x14ac:dyDescent="0.3">
      <c r="B294" s="88">
        <v>5599420</v>
      </c>
      <c r="C294" s="2">
        <v>514</v>
      </c>
    </row>
    <row r="295" spans="2:3" x14ac:dyDescent="0.3">
      <c r="B295" s="88">
        <v>5637418</v>
      </c>
      <c r="C295" s="2">
        <v>398</v>
      </c>
    </row>
    <row r="296" spans="2:3" x14ac:dyDescent="0.3">
      <c r="B296" s="88">
        <v>5696384</v>
      </c>
      <c r="C296" s="2">
        <v>412</v>
      </c>
    </row>
    <row r="297" spans="2:3" x14ac:dyDescent="0.3">
      <c r="B297" s="88">
        <v>5703658</v>
      </c>
      <c r="C297" s="2">
        <v>457</v>
      </c>
    </row>
    <row r="298" spans="2:3" x14ac:dyDescent="0.3">
      <c r="B298" s="88">
        <v>5731790</v>
      </c>
      <c r="C298" s="2">
        <v>568</v>
      </c>
    </row>
    <row r="299" spans="2:3" x14ac:dyDescent="0.3">
      <c r="B299" s="88">
        <v>5750906</v>
      </c>
      <c r="C299" s="2">
        <v>562</v>
      </c>
    </row>
    <row r="300" spans="2:3" x14ac:dyDescent="0.3">
      <c r="B300" s="88">
        <v>5769992</v>
      </c>
      <c r="C300" s="2">
        <v>586</v>
      </c>
    </row>
    <row r="301" spans="2:3" x14ac:dyDescent="0.3">
      <c r="B301" s="88">
        <v>5773126</v>
      </c>
      <c r="C301" s="2">
        <v>573</v>
      </c>
    </row>
    <row r="302" spans="2:3" x14ac:dyDescent="0.3">
      <c r="B302" s="88">
        <v>5777577</v>
      </c>
      <c r="C302" s="2">
        <v>492</v>
      </c>
    </row>
    <row r="303" spans="2:3" x14ac:dyDescent="0.3">
      <c r="B303" s="88">
        <v>5784755</v>
      </c>
      <c r="C303" s="2">
        <v>620</v>
      </c>
    </row>
    <row r="304" spans="2:3" x14ac:dyDescent="0.3">
      <c r="B304" s="88">
        <v>5785496</v>
      </c>
      <c r="C304" s="2">
        <v>450</v>
      </c>
    </row>
    <row r="305" spans="2:3" x14ac:dyDescent="0.3">
      <c r="B305" s="88">
        <v>5801682</v>
      </c>
      <c r="C305" s="2">
        <v>513</v>
      </c>
    </row>
    <row r="306" spans="2:3" x14ac:dyDescent="0.3">
      <c r="B306" s="88">
        <v>5878659</v>
      </c>
      <c r="C306" s="2">
        <v>440</v>
      </c>
    </row>
    <row r="307" spans="2:3" x14ac:dyDescent="0.3">
      <c r="B307" s="88">
        <v>5886846</v>
      </c>
      <c r="C307" s="2">
        <v>418</v>
      </c>
    </row>
    <row r="308" spans="2:3" x14ac:dyDescent="0.3">
      <c r="B308" s="88">
        <v>5921207</v>
      </c>
      <c r="C308" s="2">
        <v>442</v>
      </c>
    </row>
    <row r="309" spans="2:3" x14ac:dyDescent="0.3">
      <c r="B309" s="88">
        <v>5930148</v>
      </c>
      <c r="C309" s="2">
        <v>518</v>
      </c>
    </row>
    <row r="310" spans="2:3" x14ac:dyDescent="0.3">
      <c r="B310" s="88">
        <v>6010567</v>
      </c>
      <c r="C310" s="2">
        <v>597</v>
      </c>
    </row>
    <row r="311" spans="2:3" x14ac:dyDescent="0.3">
      <c r="B311" s="88">
        <v>6056214</v>
      </c>
      <c r="C311" s="2">
        <v>554</v>
      </c>
    </row>
    <row r="312" spans="2:3" x14ac:dyDescent="0.3">
      <c r="B312" s="88">
        <v>6076034</v>
      </c>
      <c r="C312" s="2">
        <v>480</v>
      </c>
    </row>
    <row r="313" spans="2:3" x14ac:dyDescent="0.3">
      <c r="B313" s="88">
        <v>6122183</v>
      </c>
      <c r="C313" s="2">
        <v>458</v>
      </c>
    </row>
    <row r="314" spans="2:3" x14ac:dyDescent="0.3">
      <c r="B314" s="88">
        <v>6137920</v>
      </c>
      <c r="C314" s="2">
        <v>535</v>
      </c>
    </row>
    <row r="315" spans="2:3" x14ac:dyDescent="0.3">
      <c r="B315" s="88">
        <v>6144855</v>
      </c>
      <c r="C315" s="2">
        <v>630</v>
      </c>
    </row>
    <row r="316" spans="2:3" x14ac:dyDescent="0.3">
      <c r="B316" s="88">
        <v>6148835</v>
      </c>
      <c r="C316" s="2">
        <v>519</v>
      </c>
    </row>
    <row r="317" spans="2:3" x14ac:dyDescent="0.3">
      <c r="B317" s="88">
        <v>6158334</v>
      </c>
      <c r="C317" s="2">
        <v>582</v>
      </c>
    </row>
    <row r="318" spans="2:3" x14ac:dyDescent="0.3">
      <c r="B318" s="88">
        <v>6195837</v>
      </c>
      <c r="C318" s="2">
        <v>472</v>
      </c>
    </row>
    <row r="319" spans="2:3" x14ac:dyDescent="0.3">
      <c r="B319" s="88">
        <v>6207592</v>
      </c>
      <c r="C319" s="2">
        <v>387</v>
      </c>
    </row>
    <row r="320" spans="2:3" x14ac:dyDescent="0.3">
      <c r="B320" s="88">
        <v>6223260</v>
      </c>
      <c r="C320" s="2">
        <v>550</v>
      </c>
    </row>
    <row r="321" spans="2:3" x14ac:dyDescent="0.3">
      <c r="B321" s="88">
        <v>6228563</v>
      </c>
      <c r="C321" s="2">
        <v>455</v>
      </c>
    </row>
    <row r="322" spans="2:3" x14ac:dyDescent="0.3">
      <c r="B322" s="88">
        <v>6231987</v>
      </c>
      <c r="C322" s="2">
        <v>645</v>
      </c>
    </row>
    <row r="323" spans="2:3" x14ac:dyDescent="0.3">
      <c r="B323" s="88">
        <v>6246652</v>
      </c>
      <c r="C323" s="2">
        <v>295</v>
      </c>
    </row>
    <row r="324" spans="2:3" x14ac:dyDescent="0.3">
      <c r="B324" s="88">
        <v>6257657</v>
      </c>
      <c r="C324" s="2">
        <v>269</v>
      </c>
    </row>
    <row r="325" spans="2:3" x14ac:dyDescent="0.3">
      <c r="B325" s="88">
        <v>6295459</v>
      </c>
      <c r="C325" s="2">
        <v>532</v>
      </c>
    </row>
    <row r="326" spans="2:3" x14ac:dyDescent="0.3">
      <c r="B326" s="88">
        <v>6296816</v>
      </c>
      <c r="C326" s="2">
        <v>545</v>
      </c>
    </row>
    <row r="327" spans="2:3" x14ac:dyDescent="0.3">
      <c r="B327" s="88">
        <v>6324865</v>
      </c>
      <c r="C327" s="2">
        <v>350</v>
      </c>
    </row>
    <row r="328" spans="2:3" x14ac:dyDescent="0.3">
      <c r="B328" s="88">
        <v>6342469</v>
      </c>
      <c r="C328" s="2">
        <v>537</v>
      </c>
    </row>
    <row r="329" spans="2:3" x14ac:dyDescent="0.3">
      <c r="B329" s="88">
        <v>6410186</v>
      </c>
      <c r="C329" s="2">
        <v>273</v>
      </c>
    </row>
    <row r="330" spans="2:3" x14ac:dyDescent="0.3">
      <c r="B330" s="88">
        <v>6416963</v>
      </c>
      <c r="C330" s="2">
        <v>549</v>
      </c>
    </row>
    <row r="331" spans="2:3" x14ac:dyDescent="0.3">
      <c r="B331" s="88">
        <v>6426240</v>
      </c>
      <c r="C331" s="2">
        <v>456</v>
      </c>
    </row>
    <row r="332" spans="2:3" x14ac:dyDescent="0.3">
      <c r="B332" s="88">
        <v>6465755</v>
      </c>
      <c r="C332" s="2">
        <v>320</v>
      </c>
    </row>
    <row r="333" spans="2:3" x14ac:dyDescent="0.3">
      <c r="B333" s="88">
        <v>6470992</v>
      </c>
      <c r="C333" s="2">
        <v>348</v>
      </c>
    </row>
    <row r="334" spans="2:3" x14ac:dyDescent="0.3">
      <c r="B334" s="88">
        <v>6476856</v>
      </c>
      <c r="C334" s="2">
        <v>703</v>
      </c>
    </row>
    <row r="335" spans="2:3" x14ac:dyDescent="0.3">
      <c r="B335" s="88">
        <v>6509100</v>
      </c>
      <c r="C335" s="2">
        <v>299</v>
      </c>
    </row>
    <row r="336" spans="2:3" x14ac:dyDescent="0.3">
      <c r="B336" s="88">
        <v>6511176</v>
      </c>
      <c r="C336" s="2">
        <v>706</v>
      </c>
    </row>
    <row r="337" spans="2:3" x14ac:dyDescent="0.3">
      <c r="B337" s="88">
        <v>6511988</v>
      </c>
      <c r="C337" s="2">
        <v>838</v>
      </c>
    </row>
    <row r="338" spans="2:3" x14ac:dyDescent="0.3">
      <c r="B338" s="88">
        <v>6522731</v>
      </c>
      <c r="C338" s="2">
        <v>321</v>
      </c>
    </row>
    <row r="339" spans="2:3" x14ac:dyDescent="0.3">
      <c r="B339" s="88">
        <v>6523723</v>
      </c>
      <c r="C339" s="2">
        <v>270</v>
      </c>
    </row>
    <row r="340" spans="2:3" x14ac:dyDescent="0.3">
      <c r="B340" s="88">
        <v>6541242</v>
      </c>
      <c r="C340" s="2">
        <v>298</v>
      </c>
    </row>
    <row r="341" spans="2:3" x14ac:dyDescent="0.3">
      <c r="B341" s="88">
        <v>6544424</v>
      </c>
      <c r="C341" s="2">
        <v>762</v>
      </c>
    </row>
    <row r="342" spans="2:3" x14ac:dyDescent="0.3">
      <c r="B342" s="88">
        <v>6605043</v>
      </c>
      <c r="C342" s="2">
        <v>883</v>
      </c>
    </row>
    <row r="343" spans="2:3" x14ac:dyDescent="0.3">
      <c r="B343" s="88">
        <v>6628098</v>
      </c>
      <c r="C343" s="2">
        <v>365</v>
      </c>
    </row>
    <row r="344" spans="2:3" x14ac:dyDescent="0.3">
      <c r="B344" s="88">
        <v>6657196</v>
      </c>
      <c r="C344" s="2">
        <v>720</v>
      </c>
    </row>
    <row r="345" spans="2:3" x14ac:dyDescent="0.3">
      <c r="B345" s="88">
        <v>6666917</v>
      </c>
      <c r="C345" s="2">
        <v>436</v>
      </c>
    </row>
    <row r="346" spans="2:3" x14ac:dyDescent="0.3">
      <c r="B346" s="88">
        <v>6688538</v>
      </c>
      <c r="C346" s="2">
        <v>868</v>
      </c>
    </row>
    <row r="347" spans="2:3" x14ac:dyDescent="0.3">
      <c r="B347" s="88">
        <v>6707582</v>
      </c>
      <c r="C347" s="2">
        <v>356</v>
      </c>
    </row>
    <row r="348" spans="2:3" x14ac:dyDescent="0.3">
      <c r="B348" s="88">
        <v>6741921</v>
      </c>
      <c r="C348" s="2">
        <v>654</v>
      </c>
    </row>
    <row r="349" spans="2:3" x14ac:dyDescent="0.3">
      <c r="B349" s="88">
        <v>6742401</v>
      </c>
      <c r="C349" s="2">
        <v>339</v>
      </c>
    </row>
    <row r="350" spans="2:3" x14ac:dyDescent="0.3">
      <c r="B350" s="88">
        <v>6771732</v>
      </c>
      <c r="C350" s="2">
        <v>791</v>
      </c>
    </row>
    <row r="351" spans="2:3" x14ac:dyDescent="0.3">
      <c r="B351" s="88">
        <v>6778158</v>
      </c>
      <c r="C351" s="2">
        <v>416</v>
      </c>
    </row>
    <row r="352" spans="2:3" x14ac:dyDescent="0.3">
      <c r="B352" s="88">
        <v>6894869</v>
      </c>
      <c r="C352" s="2">
        <v>329</v>
      </c>
    </row>
    <row r="353" spans="2:3" x14ac:dyDescent="0.3">
      <c r="B353" s="88">
        <v>6963268</v>
      </c>
      <c r="C353" s="2">
        <v>365</v>
      </c>
    </row>
    <row r="354" spans="2:3" x14ac:dyDescent="0.3">
      <c r="B354" s="88">
        <v>6976375</v>
      </c>
      <c r="C354" s="2">
        <v>488</v>
      </c>
    </row>
    <row r="355" spans="2:3" x14ac:dyDescent="0.3">
      <c r="B355" s="88">
        <v>7437512</v>
      </c>
      <c r="C355" s="2">
        <v>643</v>
      </c>
    </row>
    <row r="356" spans="2:3" x14ac:dyDescent="0.3">
      <c r="B356" s="88">
        <v>7511879</v>
      </c>
      <c r="C356" s="2">
        <v>581</v>
      </c>
    </row>
    <row r="357" spans="2:3" x14ac:dyDescent="0.3">
      <c r="B357" s="88">
        <v>7607567</v>
      </c>
      <c r="C357" s="2">
        <v>620</v>
      </c>
    </row>
    <row r="358" spans="2:3" x14ac:dyDescent="0.3">
      <c r="B358" s="88">
        <v>7641756</v>
      </c>
      <c r="C358" s="2">
        <v>649</v>
      </c>
    </row>
    <row r="359" spans="2:3" x14ac:dyDescent="0.3">
      <c r="B359" s="88">
        <v>7678761</v>
      </c>
      <c r="C359" s="2">
        <v>550</v>
      </c>
    </row>
    <row r="360" spans="2:3" x14ac:dyDescent="0.3">
      <c r="B360" s="88">
        <v>7752831</v>
      </c>
      <c r="C360" s="2">
        <v>661</v>
      </c>
    </row>
    <row r="361" spans="2:3" x14ac:dyDescent="0.3">
      <c r="B361" s="88">
        <v>7833844</v>
      </c>
      <c r="C361" s="2">
        <v>632</v>
      </c>
    </row>
    <row r="362" spans="2:3" x14ac:dyDescent="0.3">
      <c r="B362" s="88">
        <v>7858495</v>
      </c>
      <c r="C362" s="2">
        <v>494</v>
      </c>
    </row>
    <row r="363" spans="2:3" x14ac:dyDescent="0.3">
      <c r="B363" s="88">
        <v>7945624</v>
      </c>
      <c r="C363" s="2">
        <v>511</v>
      </c>
    </row>
    <row r="364" spans="2:3" x14ac:dyDescent="0.3">
      <c r="B364" s="88">
        <v>8650548</v>
      </c>
      <c r="C364" s="2">
        <v>605</v>
      </c>
    </row>
    <row r="365" spans="2:3" x14ac:dyDescent="0.3">
      <c r="B365" s="88">
        <v>8721577</v>
      </c>
      <c r="C365" s="2">
        <v>546</v>
      </c>
    </row>
    <row r="366" spans="2:3" x14ac:dyDescent="0.3">
      <c r="B366" s="88">
        <v>8753064</v>
      </c>
      <c r="C366" s="2">
        <v>603</v>
      </c>
    </row>
    <row r="367" spans="2:3" x14ac:dyDescent="0.3">
      <c r="B367" s="88">
        <v>8793888</v>
      </c>
      <c r="C367" s="2">
        <v>571</v>
      </c>
    </row>
    <row r="368" spans="2:3" x14ac:dyDescent="0.3">
      <c r="B368" s="88">
        <v>8832406</v>
      </c>
      <c r="C368" s="2">
        <v>690</v>
      </c>
    </row>
    <row r="369" spans="2:3" x14ac:dyDescent="0.3">
      <c r="B369" s="88">
        <v>8850952</v>
      </c>
      <c r="C369" s="2">
        <v>581</v>
      </c>
    </row>
    <row r="370" spans="2:3" x14ac:dyDescent="0.3">
      <c r="B370" s="88">
        <v>8874374</v>
      </c>
      <c r="C370" s="2">
        <v>633</v>
      </c>
    </row>
    <row r="371" spans="2:3" x14ac:dyDescent="0.3">
      <c r="B371" s="88">
        <v>8904413</v>
      </c>
      <c r="C371" s="2">
        <v>754</v>
      </c>
    </row>
    <row r="372" spans="2:3" x14ac:dyDescent="0.3">
      <c r="B372" s="88">
        <v>8960557</v>
      </c>
      <c r="C372" s="2">
        <v>650</v>
      </c>
    </row>
    <row r="373" spans="2:3" x14ac:dyDescent="0.3">
      <c r="B373" s="88">
        <v>8979738</v>
      </c>
      <c r="C373" s="2">
        <v>697</v>
      </c>
    </row>
    <row r="374" spans="2:3" x14ac:dyDescent="0.3">
      <c r="B374" s="88">
        <v>9104855</v>
      </c>
      <c r="C374" s="2">
        <v>903</v>
      </c>
    </row>
    <row r="375" spans="2:3" x14ac:dyDescent="0.3">
      <c r="B375" s="88">
        <v>9228859</v>
      </c>
      <c r="C375" s="2">
        <v>783</v>
      </c>
    </row>
    <row r="376" spans="2:3" x14ac:dyDescent="0.3">
      <c r="B376" s="88">
        <v>9277834</v>
      </c>
      <c r="C376" s="2">
        <v>709</v>
      </c>
    </row>
    <row r="377" spans="2:3" x14ac:dyDescent="0.3">
      <c r="B377" s="88">
        <v>9334402</v>
      </c>
      <c r="C377" s="2">
        <v>794</v>
      </c>
    </row>
    <row r="378" spans="2:3" x14ac:dyDescent="0.3">
      <c r="B378" s="88">
        <v>9411405</v>
      </c>
      <c r="C378" s="2">
        <v>557</v>
      </c>
    </row>
    <row r="379" spans="2:3" x14ac:dyDescent="0.3">
      <c r="B379" s="88">
        <v>9439599</v>
      </c>
      <c r="C379" s="2">
        <v>740</v>
      </c>
    </row>
    <row r="380" spans="2:3" x14ac:dyDescent="0.3">
      <c r="B380" s="88">
        <v>9449909</v>
      </c>
      <c r="C380" s="2">
        <v>533</v>
      </c>
    </row>
    <row r="381" spans="2:3" x14ac:dyDescent="0.3">
      <c r="B381" s="88">
        <v>9452654</v>
      </c>
      <c r="C381" s="2">
        <v>544</v>
      </c>
    </row>
    <row r="382" spans="2:3" x14ac:dyDescent="0.3">
      <c r="B382" s="88">
        <v>9478325</v>
      </c>
      <c r="C382" s="2">
        <v>528</v>
      </c>
    </row>
    <row r="383" spans="2:3" x14ac:dyDescent="0.3">
      <c r="B383" s="88">
        <v>9486397</v>
      </c>
      <c r="C383" s="2">
        <v>797</v>
      </c>
    </row>
    <row r="384" spans="2:3" x14ac:dyDescent="0.3">
      <c r="B384" s="88">
        <v>9497667</v>
      </c>
      <c r="C384" s="2">
        <v>562</v>
      </c>
    </row>
    <row r="385" spans="2:3" x14ac:dyDescent="0.3">
      <c r="B385" s="88">
        <v>9550757</v>
      </c>
      <c r="C385" s="2">
        <v>784</v>
      </c>
    </row>
    <row r="386" spans="2:3" x14ac:dyDescent="0.3">
      <c r="B386" s="88">
        <v>9578273</v>
      </c>
      <c r="C386" s="2">
        <v>451</v>
      </c>
    </row>
    <row r="387" spans="2:3" x14ac:dyDescent="0.3">
      <c r="B387" s="88">
        <v>9583666</v>
      </c>
      <c r="C387" s="2">
        <v>452</v>
      </c>
    </row>
    <row r="388" spans="2:3" x14ac:dyDescent="0.3">
      <c r="B388" s="88">
        <v>9590802</v>
      </c>
      <c r="C388" s="2">
        <v>531</v>
      </c>
    </row>
    <row r="389" spans="2:3" x14ac:dyDescent="0.3">
      <c r="B389" s="88">
        <v>9606083</v>
      </c>
      <c r="C389" s="2">
        <v>745</v>
      </c>
    </row>
    <row r="390" spans="2:3" x14ac:dyDescent="0.3">
      <c r="B390" s="88">
        <v>9626361</v>
      </c>
      <c r="C390" s="2">
        <v>640</v>
      </c>
    </row>
    <row r="391" spans="2:3" x14ac:dyDescent="0.3">
      <c r="B391" s="88">
        <v>9630032</v>
      </c>
      <c r="C391" s="2">
        <v>499</v>
      </c>
    </row>
    <row r="392" spans="2:3" x14ac:dyDescent="0.3">
      <c r="B392" s="88">
        <v>9637114</v>
      </c>
      <c r="C392" s="2">
        <v>900</v>
      </c>
    </row>
    <row r="393" spans="2:3" x14ac:dyDescent="0.3">
      <c r="B393" s="88">
        <v>9712226</v>
      </c>
      <c r="C393" s="2">
        <v>847</v>
      </c>
    </row>
    <row r="394" spans="2:3" x14ac:dyDescent="0.3">
      <c r="B394" s="88">
        <v>9750015</v>
      </c>
      <c r="C394" s="2">
        <v>829</v>
      </c>
    </row>
    <row r="395" spans="2:3" x14ac:dyDescent="0.3">
      <c r="B395" s="88">
        <v>9778692</v>
      </c>
      <c r="C395" s="2">
        <v>717</v>
      </c>
    </row>
    <row r="396" spans="2:3" x14ac:dyDescent="0.3">
      <c r="B396" s="88">
        <v>9857670</v>
      </c>
      <c r="C396" s="2">
        <v>805</v>
      </c>
    </row>
    <row r="397" spans="2:3" x14ac:dyDescent="0.3">
      <c r="B397" s="88">
        <v>9862116</v>
      </c>
      <c r="C397" s="2">
        <v>813</v>
      </c>
    </row>
    <row r="398" spans="2:3" x14ac:dyDescent="0.3">
      <c r="B398" s="88">
        <v>9937373</v>
      </c>
      <c r="C398" s="2">
        <v>643</v>
      </c>
    </row>
    <row r="399" spans="2:3" x14ac:dyDescent="0.3">
      <c r="B399" s="88">
        <v>10008213</v>
      </c>
      <c r="C399" s="2">
        <v>685</v>
      </c>
    </row>
    <row r="400" spans="2:3" x14ac:dyDescent="0.3">
      <c r="B400" s="88">
        <v>10950600</v>
      </c>
      <c r="C400" s="2">
        <v>1136</v>
      </c>
    </row>
    <row r="401" spans="2:3" x14ac:dyDescent="0.3">
      <c r="B401" s="88">
        <v>11150145</v>
      </c>
      <c r="C401" s="2">
        <v>963</v>
      </c>
    </row>
    <row r="402" spans="2:3" x14ac:dyDescent="0.3">
      <c r="B402" s="88">
        <v>11150887</v>
      </c>
      <c r="C402" s="2">
        <v>1054</v>
      </c>
    </row>
    <row r="403" spans="2:3" x14ac:dyDescent="0.3">
      <c r="B403" s="88">
        <v>11160701</v>
      </c>
      <c r="C403" s="2">
        <v>879</v>
      </c>
    </row>
    <row r="404" spans="2:3" x14ac:dyDescent="0.3">
      <c r="B404" s="88">
        <v>11411147</v>
      </c>
      <c r="C404" s="2">
        <v>1053</v>
      </c>
    </row>
    <row r="405" spans="2:3" x14ac:dyDescent="0.3">
      <c r="B405" s="88">
        <v>11418643</v>
      </c>
      <c r="C405" s="2">
        <v>1075</v>
      </c>
    </row>
    <row r="406" spans="2:3" x14ac:dyDescent="0.3">
      <c r="B406" s="88">
        <v>11423910</v>
      </c>
      <c r="C406" s="2">
        <v>1025</v>
      </c>
    </row>
    <row r="407" spans="2:3" x14ac:dyDescent="0.3">
      <c r="B407" s="88">
        <v>11439057</v>
      </c>
      <c r="C407" s="2">
        <v>893</v>
      </c>
    </row>
    <row r="408" spans="2:3" x14ac:dyDescent="0.3">
      <c r="B408" s="88">
        <v>11448785</v>
      </c>
      <c r="C408" s="2">
        <v>825</v>
      </c>
    </row>
    <row r="409" spans="2:3" x14ac:dyDescent="0.3">
      <c r="B409" s="88">
        <v>12417301</v>
      </c>
      <c r="C409" s="2">
        <v>1508</v>
      </c>
    </row>
    <row r="410" spans="2:3" x14ac:dyDescent="0.3">
      <c r="B410" s="88">
        <v>12493561</v>
      </c>
      <c r="C410" s="2">
        <v>1069</v>
      </c>
    </row>
    <row r="411" spans="2:3" x14ac:dyDescent="0.3">
      <c r="B411" s="88">
        <v>12505573</v>
      </c>
      <c r="C411" s="2">
        <v>1423</v>
      </c>
    </row>
    <row r="412" spans="2:3" x14ac:dyDescent="0.3">
      <c r="B412" s="88">
        <v>12509280</v>
      </c>
      <c r="C412" s="2">
        <v>1232</v>
      </c>
    </row>
    <row r="413" spans="2:3" x14ac:dyDescent="0.3">
      <c r="B413" s="88">
        <v>12515391</v>
      </c>
      <c r="C413" s="2">
        <v>1141</v>
      </c>
    </row>
    <row r="414" spans="2:3" x14ac:dyDescent="0.3">
      <c r="B414" s="88">
        <v>12516596</v>
      </c>
      <c r="C414" s="2">
        <v>1232</v>
      </c>
    </row>
    <row r="415" spans="2:3" x14ac:dyDescent="0.3">
      <c r="B415" s="88">
        <v>12554832</v>
      </c>
      <c r="C415" s="2">
        <v>1176</v>
      </c>
    </row>
    <row r="416" spans="2:3" x14ac:dyDescent="0.3">
      <c r="B416" s="88">
        <v>12558572</v>
      </c>
      <c r="C416" s="2">
        <v>1215</v>
      </c>
    </row>
    <row r="417" spans="2:3" x14ac:dyDescent="0.3">
      <c r="B417" s="88">
        <v>12580258</v>
      </c>
      <c r="C417" s="2">
        <v>1207</v>
      </c>
    </row>
    <row r="418" spans="2:3" x14ac:dyDescent="0.3">
      <c r="B418" s="88">
        <v>12582295</v>
      </c>
      <c r="C418" s="2">
        <v>1526</v>
      </c>
    </row>
    <row r="419" spans="2:3" x14ac:dyDescent="0.3">
      <c r="B419" s="88">
        <v>12597899</v>
      </c>
      <c r="C419" s="2">
        <v>1168</v>
      </c>
    </row>
    <row r="420" spans="2:3" x14ac:dyDescent="0.3">
      <c r="B420" s="88">
        <v>12612513</v>
      </c>
      <c r="C420" s="2">
        <v>947</v>
      </c>
    </row>
    <row r="421" spans="2:3" x14ac:dyDescent="0.3">
      <c r="B421" s="88">
        <v>12620508</v>
      </c>
      <c r="C421" s="2">
        <v>1208</v>
      </c>
    </row>
    <row r="422" spans="2:3" x14ac:dyDescent="0.3">
      <c r="B422" s="88">
        <v>12694655</v>
      </c>
      <c r="C422" s="2">
        <v>1132</v>
      </c>
    </row>
    <row r="423" spans="2:3" x14ac:dyDescent="0.3">
      <c r="B423" s="88">
        <v>12695252</v>
      </c>
      <c r="C423" s="2">
        <v>1191</v>
      </c>
    </row>
    <row r="424" spans="2:3" x14ac:dyDescent="0.3">
      <c r="B424" s="88">
        <v>12699105</v>
      </c>
      <c r="C424" s="2">
        <v>1068</v>
      </c>
    </row>
    <row r="425" spans="2:3" x14ac:dyDescent="0.3">
      <c r="B425" s="88">
        <v>12745947</v>
      </c>
      <c r="C425" s="2">
        <v>1422</v>
      </c>
    </row>
    <row r="426" spans="2:3" x14ac:dyDescent="0.3">
      <c r="B426" s="88">
        <v>12785043</v>
      </c>
      <c r="C426" s="2">
        <v>1154</v>
      </c>
    </row>
    <row r="427" spans="2:3" x14ac:dyDescent="0.3">
      <c r="B427" s="88">
        <v>18222420</v>
      </c>
      <c r="C427" s="2">
        <v>973</v>
      </c>
    </row>
    <row r="428" spans="2:3" x14ac:dyDescent="0.3">
      <c r="B428" s="88">
        <v>18499452</v>
      </c>
      <c r="C428" s="2">
        <v>962</v>
      </c>
    </row>
    <row r="429" spans="2:3" x14ac:dyDescent="0.3">
      <c r="B429" s="88">
        <v>18587840</v>
      </c>
      <c r="C429" s="2">
        <v>1078</v>
      </c>
    </row>
    <row r="430" spans="2:3" x14ac:dyDescent="0.3">
      <c r="B430" s="88">
        <v>18614258</v>
      </c>
      <c r="C430" s="2">
        <v>1055</v>
      </c>
    </row>
    <row r="431" spans="2:3" x14ac:dyDescent="0.3">
      <c r="B431" s="88">
        <v>18717422</v>
      </c>
      <c r="C431" s="2">
        <v>1153</v>
      </c>
    </row>
    <row r="432" spans="2:3" x14ac:dyDescent="0.3">
      <c r="B432" s="88">
        <v>19138467</v>
      </c>
      <c r="C432" s="2">
        <v>1084</v>
      </c>
    </row>
    <row r="433" spans="2:3" x14ac:dyDescent="0.3">
      <c r="B433" s="88">
        <v>19158210</v>
      </c>
      <c r="C433" s="2">
        <v>2208</v>
      </c>
    </row>
    <row r="434" spans="2:3" x14ac:dyDescent="0.3">
      <c r="B434" s="88">
        <v>19219350</v>
      </c>
      <c r="C434" s="2">
        <v>2498</v>
      </c>
    </row>
    <row r="435" spans="2:3" x14ac:dyDescent="0.3">
      <c r="B435" s="88">
        <v>19229752</v>
      </c>
      <c r="C435" s="2">
        <v>2273</v>
      </c>
    </row>
    <row r="436" spans="2:3" x14ac:dyDescent="0.3">
      <c r="B436" s="88">
        <v>19265983</v>
      </c>
      <c r="C436" s="2">
        <v>1097</v>
      </c>
    </row>
    <row r="437" spans="2:3" x14ac:dyDescent="0.3">
      <c r="B437" s="88">
        <v>19423896</v>
      </c>
      <c r="C437" s="2">
        <v>2090</v>
      </c>
    </row>
    <row r="438" spans="2:3" x14ac:dyDescent="0.3">
      <c r="B438" s="88">
        <v>19427678</v>
      </c>
      <c r="C438" s="2">
        <v>2430</v>
      </c>
    </row>
    <row r="439" spans="2:3" x14ac:dyDescent="0.3">
      <c r="B439" s="88">
        <v>19502525</v>
      </c>
      <c r="C439" s="2">
        <v>2244</v>
      </c>
    </row>
    <row r="440" spans="2:3" x14ac:dyDescent="0.3">
      <c r="B440" s="88">
        <v>19540557</v>
      </c>
      <c r="C440" s="2">
        <v>2464</v>
      </c>
    </row>
    <row r="441" spans="2:3" x14ac:dyDescent="0.3">
      <c r="B441" s="88">
        <v>19650679</v>
      </c>
      <c r="C441" s="2">
        <v>2081</v>
      </c>
    </row>
    <row r="442" spans="2:3" x14ac:dyDescent="0.3">
      <c r="B442" s="88">
        <v>19682278</v>
      </c>
      <c r="C442" s="2">
        <v>2166</v>
      </c>
    </row>
    <row r="443" spans="2:3" x14ac:dyDescent="0.3">
      <c r="B443" s="88">
        <v>19862072</v>
      </c>
      <c r="C443" s="2">
        <v>1088</v>
      </c>
    </row>
    <row r="444" spans="2:3" x14ac:dyDescent="0.3">
      <c r="B444" s="88">
        <v>20175758</v>
      </c>
      <c r="C444" s="2">
        <v>1294</v>
      </c>
    </row>
    <row r="445" spans="2:3" x14ac:dyDescent="0.3">
      <c r="B445" s="88">
        <v>23721521</v>
      </c>
      <c r="C445" s="2">
        <v>1245</v>
      </c>
    </row>
    <row r="446" spans="2:3" x14ac:dyDescent="0.3">
      <c r="B446" s="88">
        <v>24014946</v>
      </c>
      <c r="C446" s="2">
        <v>1219</v>
      </c>
    </row>
    <row r="447" spans="2:3" x14ac:dyDescent="0.3">
      <c r="B447" s="88">
        <v>24558399</v>
      </c>
      <c r="C447" s="2">
        <v>1265</v>
      </c>
    </row>
    <row r="448" spans="2:3" x14ac:dyDescent="0.3">
      <c r="B448" s="88">
        <v>24742428</v>
      </c>
      <c r="C448" s="2">
        <v>1211</v>
      </c>
    </row>
    <row r="449" spans="2:3" x14ac:dyDescent="0.3">
      <c r="B449" s="88">
        <v>25228527</v>
      </c>
      <c r="C449" s="2">
        <v>1277</v>
      </c>
    </row>
    <row r="450" spans="2:3" x14ac:dyDescent="0.3">
      <c r="B450" s="88">
        <v>25416969</v>
      </c>
      <c r="C450" s="2">
        <v>1253</v>
      </c>
    </row>
    <row r="451" spans="2:3" x14ac:dyDescent="0.3">
      <c r="B451" s="88">
        <v>25610269</v>
      </c>
      <c r="C451" s="2">
        <v>1190</v>
      </c>
    </row>
    <row r="452" spans="2:3" x14ac:dyDescent="0.3">
      <c r="B452" s="88">
        <v>26031451</v>
      </c>
      <c r="C452" s="2">
        <v>1026</v>
      </c>
    </row>
    <row r="453" spans="2:3" x14ac:dyDescent="0.3">
      <c r="B453" s="88">
        <v>26462523</v>
      </c>
      <c r="C453" s="2">
        <v>1031</v>
      </c>
    </row>
    <row r="454" spans="2:3" x14ac:dyDescent="0.3">
      <c r="B454" s="88">
        <v>36308527</v>
      </c>
      <c r="C454" s="2">
        <v>2856</v>
      </c>
    </row>
    <row r="455" spans="2:3" x14ac:dyDescent="0.3">
      <c r="B455" s="88">
        <v>36388689</v>
      </c>
      <c r="C455" s="2">
        <v>2955</v>
      </c>
    </row>
    <row r="456" spans="2:3" x14ac:dyDescent="0.3">
      <c r="B456" s="88">
        <v>36968289</v>
      </c>
      <c r="C456" s="2">
        <v>3050</v>
      </c>
    </row>
    <row r="457" spans="2:3" x14ac:dyDescent="0.3">
      <c r="B457" s="88">
        <v>37285733</v>
      </c>
      <c r="C457" s="2">
        <v>2938</v>
      </c>
    </row>
    <row r="458" spans="2:3" x14ac:dyDescent="0.3">
      <c r="B458" s="88">
        <v>37571998</v>
      </c>
      <c r="C458" s="2">
        <v>3264</v>
      </c>
    </row>
    <row r="459" spans="2:3" x14ac:dyDescent="0.3">
      <c r="B459" s="88">
        <v>38025622</v>
      </c>
      <c r="C459" s="2">
        <v>2638</v>
      </c>
    </row>
    <row r="460" spans="2:3" x14ac:dyDescent="0.3">
      <c r="B460" s="88">
        <v>38395332</v>
      </c>
      <c r="C460" s="2">
        <v>3017</v>
      </c>
    </row>
    <row r="461" spans="2:3" x14ac:dyDescent="0.3">
      <c r="B461" s="88">
        <v>38522413</v>
      </c>
      <c r="C461" s="2">
        <v>2985</v>
      </c>
    </row>
    <row r="462" spans="2:3" x14ac:dyDescent="0.3">
      <c r="B462" s="88">
        <v>38563005</v>
      </c>
      <c r="C462" s="2">
        <v>2725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Integrated Data Set</vt:lpstr>
      <vt:lpstr>Statistical Analysis</vt:lpstr>
      <vt:lpstr>Study Data Set </vt:lpstr>
      <vt:lpstr>Flu Deaths 85+</vt:lpstr>
      <vt:lpstr>Population 85+</vt:lpstr>
      <vt:lpstr>Total Population</vt:lpstr>
      <vt:lpstr>Pivot Deaths 85+</vt:lpstr>
      <vt:lpstr>Pivot Population 85+</vt:lpstr>
      <vt:lpstr>Pivot Total Population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Kane</dc:creator>
  <cp:lastModifiedBy>Mary Kane</cp:lastModifiedBy>
  <dcterms:created xsi:type="dcterms:W3CDTF">2025-02-04T13:42:32Z</dcterms:created>
  <dcterms:modified xsi:type="dcterms:W3CDTF">2025-02-13T00:44:03Z</dcterms:modified>
</cp:coreProperties>
</file>